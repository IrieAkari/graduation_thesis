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66925"/>
  <xr:revisionPtr revIDLastSave="0" documentId="13_ncr:1_{C01F1EAB-3DDD-47A0-8B35-EC17F6C73AA3}" xr6:coauthVersionLast="47" xr6:coauthVersionMax="47" xr10:uidLastSave="{00000000-0000-0000-0000-000000000000}"/>
  <bookViews>
    <workbookView xWindow="-108" yWindow="-108" windowWidth="23256" windowHeight="13176" xr2:uid="{372F0F35-2DCE-4C63-8CE2-227DF1695A49}"/>
  </bookViews>
  <sheets>
    <sheet name="Str-None" sheetId="3" r:id="rId1"/>
    <sheet name="Str-Corr" sheetId="1" r:id="rId2"/>
    <sheet name="Str-Incorr" sheetId="5" r:id="rId3"/>
    <sheet name="Analysis(Str)" sheetId="7" r:id="rId4"/>
    <sheet name="Figure(Str)" sheetId="11" r:id="rId5"/>
    <sheet name="Right-None" sheetId="13" r:id="rId6"/>
    <sheet name="Right-Corr" sheetId="14" r:id="rId7"/>
    <sheet name="Right-Incorr" sheetId="15" r:id="rId8"/>
    <sheet name="Analysis(Right)" sheetId="17" r:id="rId9"/>
    <sheet name="Figure(Right)" sheetId="1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4" i="7" l="1"/>
  <c r="O105" i="7" s="1"/>
  <c r="N104" i="7"/>
  <c r="N105" i="7" s="1"/>
  <c r="M104" i="7"/>
  <c r="M105" i="7" s="1"/>
  <c r="J104" i="7"/>
  <c r="J105" i="7" s="1"/>
  <c r="I104" i="7"/>
  <c r="I105" i="7" s="1"/>
  <c r="H104" i="7"/>
  <c r="H105" i="7" s="1"/>
  <c r="E104" i="7"/>
  <c r="E105" i="7" s="1"/>
  <c r="D104" i="7"/>
  <c r="D105" i="7" s="1"/>
  <c r="C104" i="7"/>
  <c r="C105" i="7" s="1"/>
  <c r="O103" i="7"/>
  <c r="N103" i="7"/>
  <c r="M103" i="7"/>
  <c r="J103" i="7"/>
  <c r="I103" i="7"/>
  <c r="H103" i="7"/>
  <c r="E103" i="7"/>
  <c r="D103" i="7"/>
  <c r="C103" i="7"/>
  <c r="O105" i="17"/>
  <c r="N105" i="17"/>
  <c r="M105" i="17"/>
  <c r="J105" i="17"/>
  <c r="I105" i="17"/>
  <c r="H105" i="17"/>
  <c r="D105" i="17"/>
  <c r="E105" i="17"/>
  <c r="C105" i="17"/>
  <c r="O104" i="17"/>
  <c r="N104" i="17"/>
  <c r="M104" i="17"/>
  <c r="J104" i="17"/>
  <c r="I104" i="17"/>
  <c r="H104" i="17"/>
  <c r="D104" i="17"/>
  <c r="E104" i="17"/>
  <c r="C104" i="17"/>
  <c r="N103" i="17"/>
  <c r="O103" i="17"/>
  <c r="M103" i="17"/>
  <c r="D103" i="17"/>
  <c r="E103" i="17"/>
  <c r="C103" i="17"/>
  <c r="I103" i="17"/>
  <c r="J103" i="17"/>
  <c r="H103" i="17"/>
  <c r="K107" i="13"/>
  <c r="K107" i="14"/>
  <c r="K107" i="3"/>
  <c r="K107" i="1"/>
  <c r="K107" i="15"/>
  <c r="W105" i="15"/>
  <c r="W106" i="15" s="1"/>
  <c r="W104" i="15"/>
  <c r="V104" i="15"/>
  <c r="W105" i="14"/>
  <c r="W106" i="14" s="1"/>
  <c r="W104" i="14"/>
  <c r="V104" i="14"/>
  <c r="W105" i="13"/>
  <c r="W106" i="13" s="1"/>
  <c r="W104" i="13"/>
  <c r="V104" i="13"/>
  <c r="W105" i="5"/>
  <c r="W106" i="5" s="1"/>
  <c r="W104" i="5"/>
  <c r="V104" i="5"/>
  <c r="W105" i="1"/>
  <c r="W106" i="1" s="1"/>
  <c r="W104" i="1"/>
  <c r="V104" i="1"/>
  <c r="L105" i="15"/>
  <c r="L106" i="15" s="1"/>
  <c r="K105" i="15"/>
  <c r="K106" i="15" s="1"/>
  <c r="J105" i="15"/>
  <c r="J106" i="15" s="1"/>
  <c r="L104" i="15"/>
  <c r="K104" i="15"/>
  <c r="J104" i="15"/>
  <c r="L105" i="14"/>
  <c r="L106" i="14" s="1"/>
  <c r="K105" i="14"/>
  <c r="K106" i="14" s="1"/>
  <c r="J105" i="14"/>
  <c r="J106" i="14" s="1"/>
  <c r="L104" i="14"/>
  <c r="K104" i="14"/>
  <c r="J104" i="14"/>
  <c r="L105" i="13"/>
  <c r="L106" i="13" s="1"/>
  <c r="K105" i="13"/>
  <c r="K106" i="13" s="1"/>
  <c r="J105" i="13"/>
  <c r="J106" i="13" s="1"/>
  <c r="L104" i="13"/>
  <c r="K104" i="13"/>
  <c r="J104" i="13"/>
  <c r="K107" i="5"/>
  <c r="L105" i="5"/>
  <c r="L106" i="5" s="1"/>
  <c r="K105" i="5"/>
  <c r="K106" i="5" s="1"/>
  <c r="J105" i="5"/>
  <c r="J106" i="5" s="1"/>
  <c r="L104" i="5"/>
  <c r="K104" i="5"/>
  <c r="J104" i="5"/>
  <c r="L105" i="1"/>
  <c r="L106" i="1" s="1"/>
  <c r="K105" i="1"/>
  <c r="K106" i="1" s="1"/>
  <c r="J105" i="1"/>
  <c r="J106" i="1" s="1"/>
  <c r="L104" i="1"/>
  <c r="K104" i="1"/>
  <c r="J104" i="1"/>
  <c r="W52" i="15"/>
  <c r="W53" i="15"/>
  <c r="W54" i="15"/>
  <c r="W55" i="15"/>
  <c r="W56" i="15"/>
  <c r="W57" i="15"/>
  <c r="W58" i="15"/>
  <c r="W59" i="15"/>
  <c r="W60" i="15"/>
  <c r="W61" i="15"/>
  <c r="W62" i="15"/>
  <c r="W63" i="15"/>
  <c r="W64" i="15"/>
  <c r="W65" i="15"/>
  <c r="W66" i="15"/>
  <c r="W67" i="15"/>
  <c r="W68" i="15"/>
  <c r="W69" i="15"/>
  <c r="W70" i="15"/>
  <c r="W71" i="15"/>
  <c r="W72" i="15"/>
  <c r="W73" i="15"/>
  <c r="W74" i="15"/>
  <c r="W75" i="15"/>
  <c r="W76" i="15"/>
  <c r="W77" i="15"/>
  <c r="W78" i="15"/>
  <c r="W79" i="15"/>
  <c r="W80" i="15"/>
  <c r="W81" i="15"/>
  <c r="W82" i="15"/>
  <c r="W83" i="15"/>
  <c r="W84" i="15"/>
  <c r="W85" i="15"/>
  <c r="W86" i="15"/>
  <c r="W87" i="15"/>
  <c r="W88" i="15"/>
  <c r="W89" i="15"/>
  <c r="W90" i="15"/>
  <c r="W91" i="15"/>
  <c r="W92" i="15"/>
  <c r="W93" i="15"/>
  <c r="W94" i="15"/>
  <c r="W95" i="15"/>
  <c r="W96" i="15"/>
  <c r="W97" i="15"/>
  <c r="W98" i="15"/>
  <c r="W99" i="15"/>
  <c r="W100" i="15"/>
  <c r="W10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5" i="15"/>
  <c r="V96" i="15"/>
  <c r="V97" i="15"/>
  <c r="V98" i="15"/>
  <c r="V99" i="15"/>
  <c r="V100" i="15"/>
  <c r="V101" i="15"/>
  <c r="L52" i="15" a="1"/>
  <c r="L52" i="15"/>
  <c r="L53" i="15" a="1"/>
  <c r="L53" i="15" s="1"/>
  <c r="L54" i="15" a="1"/>
  <c r="L54" i="15" s="1"/>
  <c r="L55" i="15" a="1"/>
  <c r="L55" i="15"/>
  <c r="L56" i="15" a="1"/>
  <c r="L56" i="15" s="1"/>
  <c r="L57" i="15" a="1"/>
  <c r="L57" i="15"/>
  <c r="L58" i="15" a="1"/>
  <c r="L58" i="15" s="1"/>
  <c r="L59" i="15" a="1"/>
  <c r="L59" i="15" s="1"/>
  <c r="L60" i="15" a="1"/>
  <c r="L60" i="15" s="1"/>
  <c r="L61" i="15" a="1"/>
  <c r="L61" i="15" s="1"/>
  <c r="L62" i="15" a="1"/>
  <c r="L62" i="15" s="1"/>
  <c r="L63" i="15" a="1"/>
  <c r="L63" i="15"/>
  <c r="L64" i="15" a="1"/>
  <c r="L64" i="15" s="1"/>
  <c r="L65" i="15" a="1"/>
  <c r="L65" i="15" s="1"/>
  <c r="L66" i="15" a="1"/>
  <c r="L66" i="15" s="1"/>
  <c r="L67" i="15" a="1"/>
  <c r="L67" i="15" s="1"/>
  <c r="L68" i="15" a="1"/>
  <c r="L68" i="15" s="1"/>
  <c r="L69" i="15" a="1"/>
  <c r="L69" i="15"/>
  <c r="L70" i="15" a="1"/>
  <c r="L70" i="15" s="1"/>
  <c r="L71" i="15" a="1"/>
  <c r="L71" i="15" s="1"/>
  <c r="L72" i="15" a="1"/>
  <c r="L72" i="15" s="1"/>
  <c r="L73" i="15" a="1"/>
  <c r="L73" i="15" s="1"/>
  <c r="L74" i="15" a="1"/>
  <c r="L74" i="15" s="1"/>
  <c r="L75" i="15" a="1"/>
  <c r="L75" i="15"/>
  <c r="L76" i="15" a="1"/>
  <c r="L76" i="15" s="1"/>
  <c r="L77" i="15" a="1"/>
  <c r="L77" i="15" s="1"/>
  <c r="L78" i="15" a="1"/>
  <c r="L78" i="15" s="1"/>
  <c r="L79" i="15" a="1"/>
  <c r="L79" i="15" s="1"/>
  <c r="L80" i="15" a="1"/>
  <c r="L80" i="15" s="1"/>
  <c r="L81" i="15" a="1"/>
  <c r="L81" i="15"/>
  <c r="L82" i="15" a="1"/>
  <c r="L82" i="15" s="1"/>
  <c r="L83" i="15" a="1"/>
  <c r="L83" i="15" s="1"/>
  <c r="L84" i="15" a="1"/>
  <c r="L84" i="15" s="1"/>
  <c r="L85" i="15" a="1"/>
  <c r="L85" i="15" s="1"/>
  <c r="L86" i="15" a="1"/>
  <c r="L86" i="15" s="1"/>
  <c r="L87" i="15" a="1"/>
  <c r="L87" i="15"/>
  <c r="L88" i="15" a="1"/>
  <c r="L88" i="15" s="1"/>
  <c r="L89" i="15" a="1"/>
  <c r="L89" i="15" s="1"/>
  <c r="L90" i="15" a="1"/>
  <c r="L90" i="15" s="1"/>
  <c r="L91" i="15" a="1"/>
  <c r="L91" i="15" s="1"/>
  <c r="L92" i="15" a="1"/>
  <c r="L92" i="15" s="1"/>
  <c r="L93" i="15" a="1"/>
  <c r="L93" i="15"/>
  <c r="L94" i="15" a="1"/>
  <c r="L94" i="15" s="1"/>
  <c r="L95" i="15" a="1"/>
  <c r="L95" i="15" s="1"/>
  <c r="L96" i="15" a="1"/>
  <c r="L96" i="15" s="1"/>
  <c r="L97" i="15" a="1"/>
  <c r="L97" i="15" s="1"/>
  <c r="L98" i="15" a="1"/>
  <c r="L98" i="15" s="1"/>
  <c r="L99" i="15" a="1"/>
  <c r="L99" i="15"/>
  <c r="L100" i="15" a="1"/>
  <c r="L100" i="15" s="1"/>
  <c r="L101" i="15" a="1"/>
  <c r="L101" i="15" s="1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W52" i="14"/>
  <c r="W53" i="14"/>
  <c r="W54" i="14"/>
  <c r="W55" i="14"/>
  <c r="W56" i="14"/>
  <c r="W57" i="14"/>
  <c r="W58" i="14"/>
  <c r="W59" i="14"/>
  <c r="W60" i="14"/>
  <c r="W61" i="14"/>
  <c r="W62" i="14"/>
  <c r="W63" i="14"/>
  <c r="W64" i="14"/>
  <c r="W65" i="14"/>
  <c r="W66" i="14"/>
  <c r="W67" i="14"/>
  <c r="W68" i="14"/>
  <c r="W69" i="14"/>
  <c r="W70" i="14"/>
  <c r="W71" i="14"/>
  <c r="W72" i="14"/>
  <c r="W73" i="14"/>
  <c r="W74" i="14"/>
  <c r="W75" i="14"/>
  <c r="W76" i="14"/>
  <c r="W77" i="14"/>
  <c r="W78" i="14"/>
  <c r="W79" i="14"/>
  <c r="W80" i="14"/>
  <c r="W81" i="14"/>
  <c r="W82" i="14"/>
  <c r="W83" i="14"/>
  <c r="W84" i="14"/>
  <c r="W85" i="14"/>
  <c r="W86" i="14"/>
  <c r="W87" i="14"/>
  <c r="W88" i="14"/>
  <c r="W89" i="14"/>
  <c r="W90" i="14"/>
  <c r="W91" i="14"/>
  <c r="W92" i="14"/>
  <c r="W93" i="14"/>
  <c r="W94" i="14"/>
  <c r="W95" i="14"/>
  <c r="W96" i="14"/>
  <c r="W97" i="14"/>
  <c r="W98" i="14"/>
  <c r="W99" i="14"/>
  <c r="W100" i="14"/>
  <c r="W10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97" i="14"/>
  <c r="V98" i="14"/>
  <c r="V99" i="14"/>
  <c r="V100" i="14"/>
  <c r="V101" i="14"/>
  <c r="L52" i="14" a="1"/>
  <c r="L52" i="14"/>
  <c r="L53" i="14" a="1"/>
  <c r="L53" i="14" s="1"/>
  <c r="L54" i="14" a="1"/>
  <c r="L54" i="14" s="1"/>
  <c r="L55" i="14" a="1"/>
  <c r="L55" i="14"/>
  <c r="L56" i="14" a="1"/>
  <c r="L56" i="14" s="1"/>
  <c r="L57" i="14" a="1"/>
  <c r="L57" i="14"/>
  <c r="L58" i="14" a="1"/>
  <c r="L58" i="14" s="1"/>
  <c r="L59" i="14" a="1"/>
  <c r="L59" i="14" s="1"/>
  <c r="L60" i="14" a="1"/>
  <c r="L60" i="14" s="1"/>
  <c r="L61" i="14" a="1"/>
  <c r="L61" i="14" s="1"/>
  <c r="L62" i="14" a="1"/>
  <c r="L62" i="14" s="1"/>
  <c r="L63" i="14" a="1"/>
  <c r="L63" i="14"/>
  <c r="L64" i="14" a="1"/>
  <c r="L64" i="14" s="1"/>
  <c r="L65" i="14" a="1"/>
  <c r="L65" i="14" s="1"/>
  <c r="L66" i="14" a="1"/>
  <c r="L66" i="14" s="1"/>
  <c r="L67" i="14" a="1"/>
  <c r="L67" i="14" s="1"/>
  <c r="L68" i="14" a="1"/>
  <c r="L68" i="14" s="1"/>
  <c r="L69" i="14" a="1"/>
  <c r="L69" i="14"/>
  <c r="L70" i="14" a="1"/>
  <c r="L70" i="14" s="1"/>
  <c r="L71" i="14" a="1"/>
  <c r="L71" i="14" s="1"/>
  <c r="L72" i="14" a="1"/>
  <c r="L72" i="14" s="1"/>
  <c r="L73" i="14" a="1"/>
  <c r="L73" i="14" s="1"/>
  <c r="L74" i="14" a="1"/>
  <c r="L74" i="14" s="1"/>
  <c r="L75" i="14" a="1"/>
  <c r="L75" i="14"/>
  <c r="L76" i="14" a="1"/>
  <c r="L76" i="14" s="1"/>
  <c r="L77" i="14" a="1"/>
  <c r="L77" i="14" s="1"/>
  <c r="L78" i="14" a="1"/>
  <c r="L78" i="14" s="1"/>
  <c r="L79" i="14" a="1"/>
  <c r="L79" i="14" s="1"/>
  <c r="L80" i="14" a="1"/>
  <c r="L80" i="14" s="1"/>
  <c r="L81" i="14" a="1"/>
  <c r="L81" i="14"/>
  <c r="L82" i="14" a="1"/>
  <c r="L82" i="14" s="1"/>
  <c r="L83" i="14" a="1"/>
  <c r="L83" i="14" s="1"/>
  <c r="L84" i="14" a="1"/>
  <c r="L84" i="14" s="1"/>
  <c r="L85" i="14" a="1"/>
  <c r="L85" i="14" s="1"/>
  <c r="L86" i="14" a="1"/>
  <c r="L86" i="14" s="1"/>
  <c r="L87" i="14" a="1"/>
  <c r="L87" i="14"/>
  <c r="L88" i="14" a="1"/>
  <c r="L88" i="14" s="1"/>
  <c r="L89" i="14" a="1"/>
  <c r="L89" i="14" s="1"/>
  <c r="L90" i="14" a="1"/>
  <c r="L90" i="14" s="1"/>
  <c r="L91" i="14" a="1"/>
  <c r="L91" i="14" s="1"/>
  <c r="L92" i="14" a="1"/>
  <c r="L92" i="14" s="1"/>
  <c r="L93" i="14" a="1"/>
  <c r="L93" i="14"/>
  <c r="L94" i="14" a="1"/>
  <c r="L94" i="14" s="1"/>
  <c r="L95" i="14" a="1"/>
  <c r="L95" i="14" s="1"/>
  <c r="L96" i="14" a="1"/>
  <c r="L96" i="14" s="1"/>
  <c r="L97" i="14" a="1"/>
  <c r="L97" i="14" s="1"/>
  <c r="L98" i="14" a="1"/>
  <c r="L98" i="14" s="1"/>
  <c r="L99" i="14" a="1"/>
  <c r="L99" i="14"/>
  <c r="L100" i="14" a="1"/>
  <c r="L100" i="14" s="1"/>
  <c r="L101" i="14" a="1"/>
  <c r="L101" i="14" s="1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V65" i="13"/>
  <c r="V66" i="13"/>
  <c r="V67" i="13"/>
  <c r="V68" i="13"/>
  <c r="V69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V96" i="13"/>
  <c r="V97" i="13"/>
  <c r="V98" i="13"/>
  <c r="V99" i="13"/>
  <c r="V100" i="13"/>
  <c r="V101" i="13"/>
  <c r="L52" i="13" a="1"/>
  <c r="L52" i="13"/>
  <c r="L53" i="13" a="1"/>
  <c r="L53" i="13" s="1"/>
  <c r="L54" i="13" a="1"/>
  <c r="L54" i="13" s="1"/>
  <c r="L55" i="13" a="1"/>
  <c r="L55" i="13"/>
  <c r="L56" i="13" a="1"/>
  <c r="L56" i="13" s="1"/>
  <c r="L57" i="13" a="1"/>
  <c r="L57" i="13"/>
  <c r="L58" i="13" a="1"/>
  <c r="L58" i="13" s="1"/>
  <c r="L59" i="13" a="1"/>
  <c r="L59" i="13" s="1"/>
  <c r="L60" i="13" a="1"/>
  <c r="L60" i="13" s="1"/>
  <c r="L61" i="13" a="1"/>
  <c r="L61" i="13"/>
  <c r="L62" i="13" a="1"/>
  <c r="L62" i="13" s="1"/>
  <c r="L63" i="13" a="1"/>
  <c r="L63" i="13"/>
  <c r="L64" i="13" a="1"/>
  <c r="L64" i="13" s="1"/>
  <c r="L65" i="13" a="1"/>
  <c r="L65" i="13" s="1"/>
  <c r="L66" i="13" a="1"/>
  <c r="L66" i="13" s="1"/>
  <c r="L67" i="13" a="1"/>
  <c r="L67" i="13" s="1"/>
  <c r="L68" i="13" a="1"/>
  <c r="L68" i="13" s="1"/>
  <c r="L69" i="13" a="1"/>
  <c r="L69" i="13"/>
  <c r="L70" i="13" a="1"/>
  <c r="L70" i="13" s="1"/>
  <c r="L71" i="13" a="1"/>
  <c r="L71" i="13" s="1"/>
  <c r="L72" i="13" a="1"/>
  <c r="L72" i="13" s="1"/>
  <c r="L73" i="13" a="1"/>
  <c r="L73" i="13" s="1"/>
  <c r="L74" i="13" a="1"/>
  <c r="L74" i="13" s="1"/>
  <c r="L75" i="13" a="1"/>
  <c r="L75" i="13"/>
  <c r="L76" i="13" a="1"/>
  <c r="L76" i="13" s="1"/>
  <c r="L77" i="13" a="1"/>
  <c r="L77" i="13" s="1"/>
  <c r="L78" i="13" a="1"/>
  <c r="L78" i="13" s="1"/>
  <c r="L79" i="13" a="1"/>
  <c r="L79" i="13" s="1"/>
  <c r="L80" i="13" a="1"/>
  <c r="L80" i="13" s="1"/>
  <c r="L81" i="13" a="1"/>
  <c r="L81" i="13"/>
  <c r="L82" i="13" a="1"/>
  <c r="L82" i="13" s="1"/>
  <c r="L83" i="13" a="1"/>
  <c r="L83" i="13" s="1"/>
  <c r="L84" i="13" a="1"/>
  <c r="L84" i="13" s="1"/>
  <c r="L85" i="13" a="1"/>
  <c r="L85" i="13" s="1"/>
  <c r="L86" i="13" a="1"/>
  <c r="L86" i="13" s="1"/>
  <c r="L87" i="13" a="1"/>
  <c r="L87" i="13"/>
  <c r="L88" i="13" a="1"/>
  <c r="L88" i="13" s="1"/>
  <c r="L89" i="13" a="1"/>
  <c r="L89" i="13" s="1"/>
  <c r="L90" i="13" a="1"/>
  <c r="L90" i="13" s="1"/>
  <c r="L91" i="13" a="1"/>
  <c r="L91" i="13" s="1"/>
  <c r="L92" i="13" a="1"/>
  <c r="L92" i="13" s="1"/>
  <c r="L93" i="13" a="1"/>
  <c r="L93" i="13"/>
  <c r="L94" i="13" a="1"/>
  <c r="L94" i="13" s="1"/>
  <c r="L95" i="13" a="1"/>
  <c r="L95" i="13" s="1"/>
  <c r="L96" i="13" a="1"/>
  <c r="L96" i="13" s="1"/>
  <c r="L97" i="13" a="1"/>
  <c r="L97" i="13" s="1"/>
  <c r="L98" i="13" a="1"/>
  <c r="L98" i="13" s="1"/>
  <c r="L99" i="13" a="1"/>
  <c r="L99" i="13" s="1"/>
  <c r="L100" i="13" a="1"/>
  <c r="L100" i="13" s="1"/>
  <c r="L101" i="13" a="1"/>
  <c r="L101" i="13" s="1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4" i="3"/>
  <c r="K104" i="3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L52" i="5" a="1"/>
  <c r="L52" i="5"/>
  <c r="L53" i="5" a="1"/>
  <c r="L53" i="5" s="1"/>
  <c r="L54" i="5" a="1"/>
  <c r="L54" i="5" s="1"/>
  <c r="L55" i="5" a="1"/>
  <c r="L55" i="5"/>
  <c r="L56" i="5" a="1"/>
  <c r="L56" i="5" s="1"/>
  <c r="L57" i="5" a="1"/>
  <c r="L57" i="5"/>
  <c r="L58" i="5" a="1"/>
  <c r="L58" i="5"/>
  <c r="L59" i="5" a="1"/>
  <c r="L59" i="5" s="1"/>
  <c r="L60" i="5" a="1"/>
  <c r="L60" i="5" s="1"/>
  <c r="L61" i="5" a="1"/>
  <c r="L61" i="5"/>
  <c r="L62" i="5" a="1"/>
  <c r="L62" i="5"/>
  <c r="L63" i="5" a="1"/>
  <c r="L63" i="5"/>
  <c r="L64" i="5" a="1"/>
  <c r="L64" i="5" s="1"/>
  <c r="L65" i="5" a="1"/>
  <c r="L65" i="5" s="1"/>
  <c r="L66" i="5" a="1"/>
  <c r="L66" i="5" s="1"/>
  <c r="L67" i="5" a="1"/>
  <c r="L67" i="5"/>
  <c r="L68" i="5" a="1"/>
  <c r="L68" i="5"/>
  <c r="L69" i="5" a="1"/>
  <c r="L69" i="5"/>
  <c r="L70" i="5" a="1"/>
  <c r="L70" i="5" s="1"/>
  <c r="L71" i="5" a="1"/>
  <c r="L71" i="5" s="1"/>
  <c r="L72" i="5" a="1"/>
  <c r="L72" i="5" s="1"/>
  <c r="L73" i="5" a="1"/>
  <c r="L73" i="5"/>
  <c r="L74" i="5" a="1"/>
  <c r="L74" i="5" s="1"/>
  <c r="L75" i="5" a="1"/>
  <c r="L75" i="5"/>
  <c r="L76" i="5" a="1"/>
  <c r="L76" i="5" s="1"/>
  <c r="L77" i="5" a="1"/>
  <c r="L77" i="5" s="1"/>
  <c r="L78" i="5" a="1"/>
  <c r="L78" i="5" s="1"/>
  <c r="L79" i="5" a="1"/>
  <c r="L79" i="5"/>
  <c r="L80" i="5" a="1"/>
  <c r="L80" i="5" s="1"/>
  <c r="L81" i="5" a="1"/>
  <c r="L81" i="5"/>
  <c r="L82" i="5" a="1"/>
  <c r="L82" i="5" s="1"/>
  <c r="L83" i="5" a="1"/>
  <c r="L83" i="5" s="1"/>
  <c r="L84" i="5" a="1"/>
  <c r="L84" i="5" s="1"/>
  <c r="L85" i="5" a="1"/>
  <c r="L85" i="5"/>
  <c r="L86" i="5" a="1"/>
  <c r="L86" i="5" s="1"/>
  <c r="L87" i="5" a="1"/>
  <c r="L87" i="5"/>
  <c r="L88" i="5" a="1"/>
  <c r="L88" i="5" s="1"/>
  <c r="L89" i="5" a="1"/>
  <c r="L89" i="5" s="1"/>
  <c r="L90" i="5" a="1"/>
  <c r="L90" i="5" s="1"/>
  <c r="L91" i="5" a="1"/>
  <c r="L91" i="5"/>
  <c r="L92" i="5" a="1"/>
  <c r="L92" i="5" s="1"/>
  <c r="L93" i="5" a="1"/>
  <c r="L93" i="5"/>
  <c r="L94" i="5" a="1"/>
  <c r="L94" i="5" s="1"/>
  <c r="L95" i="5" a="1"/>
  <c r="L95" i="5" s="1"/>
  <c r="L96" i="5" a="1"/>
  <c r="L96" i="5" s="1"/>
  <c r="L97" i="5" a="1"/>
  <c r="L97" i="5"/>
  <c r="L98" i="5" a="1"/>
  <c r="L98" i="5" s="1"/>
  <c r="L99" i="5" a="1"/>
  <c r="L99" i="5"/>
  <c r="L100" i="5" a="1"/>
  <c r="L100" i="5" s="1"/>
  <c r="L101" i="5" a="1"/>
  <c r="L101" i="5" s="1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W97" i="1"/>
  <c r="W98" i="1"/>
  <c r="W99" i="1"/>
  <c r="W100" i="1"/>
  <c r="W101" i="1"/>
  <c r="V97" i="1"/>
  <c r="V98" i="1"/>
  <c r="V99" i="1"/>
  <c r="V100" i="1"/>
  <c r="V101" i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K97" i="1"/>
  <c r="K98" i="1"/>
  <c r="K99" i="1"/>
  <c r="K100" i="1"/>
  <c r="K101" i="1"/>
  <c r="J97" i="1"/>
  <c r="J98" i="1"/>
  <c r="J99" i="1"/>
  <c r="J100" i="1"/>
  <c r="J101" i="1"/>
  <c r="W52" i="1" l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L52" i="1" a="1"/>
  <c r="L52" i="1"/>
  <c r="L53" i="1" a="1"/>
  <c r="L53" i="1" s="1"/>
  <c r="L54" i="1" a="1"/>
  <c r="L54" i="1" s="1"/>
  <c r="L55" i="1" a="1"/>
  <c r="L55" i="1"/>
  <c r="L56" i="1" a="1"/>
  <c r="L56" i="1" s="1"/>
  <c r="L57" i="1" a="1"/>
  <c r="L57" i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/>
  <c r="L94" i="1" a="1"/>
  <c r="L94" i="1" s="1"/>
  <c r="L95" i="1" a="1"/>
  <c r="L95" i="1" s="1"/>
  <c r="L96" i="1" a="1"/>
  <c r="L96" i="1" s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W105" i="3"/>
  <c r="W104" i="3"/>
  <c r="V104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K106" i="3"/>
  <c r="L106" i="3"/>
  <c r="K105" i="3"/>
  <c r="L105" i="3"/>
  <c r="L104" i="3"/>
  <c r="J105" i="3"/>
  <c r="L70" i="3" a="1"/>
  <c r="L70" i="3" s="1"/>
  <c r="L71" i="3" a="1"/>
  <c r="L71" i="3" s="1"/>
  <c r="L72" i="3" a="1"/>
  <c r="L72" i="3" s="1"/>
  <c r="L73" i="3" a="1"/>
  <c r="L73" i="3" s="1"/>
  <c r="L74" i="3" a="1"/>
  <c r="L74" i="3" s="1"/>
  <c r="L75" i="3" a="1"/>
  <c r="L75" i="3"/>
  <c r="L76" i="3" a="1"/>
  <c r="L76" i="3" s="1"/>
  <c r="L77" i="3" a="1"/>
  <c r="L77" i="3" s="1"/>
  <c r="L78" i="3" a="1"/>
  <c r="L78" i="3" s="1"/>
  <c r="L79" i="3" a="1"/>
  <c r="L79" i="3" s="1"/>
  <c r="L80" i="3" a="1"/>
  <c r="L80" i="3" s="1"/>
  <c r="L81" i="3" a="1"/>
  <c r="L81" i="3"/>
  <c r="L82" i="3" a="1"/>
  <c r="L82" i="3" s="1"/>
  <c r="L83" i="3" a="1"/>
  <c r="L83" i="3" s="1"/>
  <c r="L84" i="3" a="1"/>
  <c r="L84" i="3" s="1"/>
  <c r="L85" i="3" a="1"/>
  <c r="L85" i="3" s="1"/>
  <c r="L86" i="3" a="1"/>
  <c r="L86" i="3" s="1"/>
  <c r="L87" i="3" a="1"/>
  <c r="L87" i="3"/>
  <c r="L88" i="3" a="1"/>
  <c r="L88" i="3" s="1"/>
  <c r="L89" i="3" a="1"/>
  <c r="L89" i="3" s="1"/>
  <c r="L90" i="3" a="1"/>
  <c r="L90" i="3" s="1"/>
  <c r="L91" i="3" a="1"/>
  <c r="L91" i="3" s="1"/>
  <c r="L92" i="3" a="1"/>
  <c r="L92" i="3" s="1"/>
  <c r="L93" i="3" a="1"/>
  <c r="L93" i="3"/>
  <c r="L94" i="3" a="1"/>
  <c r="L94" i="3" s="1"/>
  <c r="L95" i="3" a="1"/>
  <c r="L95" i="3" s="1"/>
  <c r="L96" i="3" a="1"/>
  <c r="L96" i="3" s="1"/>
  <c r="L97" i="3" a="1"/>
  <c r="L97" i="3" s="1"/>
  <c r="L98" i="3" a="1"/>
  <c r="L98" i="3" s="1"/>
  <c r="L99" i="3" a="1"/>
  <c r="L99" i="3"/>
  <c r="L100" i="3" a="1"/>
  <c r="L100" i="3" s="1"/>
  <c r="L101" i="3" a="1"/>
  <c r="L101" i="3" s="1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52" i="3"/>
  <c r="K52" i="3"/>
  <c r="L52" i="3" a="1"/>
  <c r="L52" i="3" s="1"/>
  <c r="J53" i="3"/>
  <c r="K53" i="3"/>
  <c r="L53" i="3" a="1"/>
  <c r="L53" i="3" s="1"/>
  <c r="J54" i="3"/>
  <c r="K54" i="3"/>
  <c r="L54" i="3" a="1"/>
  <c r="L54" i="3"/>
  <c r="J55" i="3"/>
  <c r="K55" i="3"/>
  <c r="L55" i="3" a="1"/>
  <c r="L55" i="3" s="1"/>
  <c r="J56" i="3"/>
  <c r="K56" i="3"/>
  <c r="L56" i="3" a="1"/>
  <c r="L56" i="3" s="1"/>
  <c r="J57" i="3"/>
  <c r="K57" i="3"/>
  <c r="L57" i="3" a="1"/>
  <c r="L57" i="3"/>
  <c r="J58" i="3"/>
  <c r="K58" i="3"/>
  <c r="L58" i="3" a="1"/>
  <c r="L58" i="3" s="1"/>
  <c r="J59" i="3"/>
  <c r="K59" i="3"/>
  <c r="L59" i="3" a="1"/>
  <c r="L59" i="3" s="1"/>
  <c r="L60" i="3" a="1"/>
  <c r="L60" i="3" s="1"/>
  <c r="L61" i="3" a="1"/>
  <c r="L61" i="3"/>
  <c r="L62" i="3" a="1"/>
  <c r="L62" i="3" s="1"/>
  <c r="L63" i="3" a="1"/>
  <c r="L63" i="3" s="1"/>
  <c r="L64" i="3" a="1"/>
  <c r="L64" i="3"/>
  <c r="L65" i="3" a="1"/>
  <c r="L65" i="3" s="1"/>
  <c r="L66" i="3" a="1"/>
  <c r="L66" i="3" s="1"/>
  <c r="L67" i="3" a="1"/>
  <c r="L67" i="3"/>
  <c r="L68" i="3" a="1"/>
  <c r="L68" i="3" s="1"/>
  <c r="L69" i="3" a="1"/>
  <c r="L69" i="3" s="1"/>
  <c r="K60" i="3"/>
  <c r="K61" i="3"/>
  <c r="K62" i="3"/>
  <c r="K63" i="3"/>
  <c r="K64" i="3"/>
  <c r="K65" i="3"/>
  <c r="K66" i="3"/>
  <c r="K67" i="3"/>
  <c r="K68" i="3"/>
  <c r="K69" i="3"/>
  <c r="J60" i="3"/>
  <c r="J61" i="3"/>
  <c r="J62" i="3"/>
  <c r="J63" i="3"/>
  <c r="J64" i="3"/>
  <c r="J65" i="3"/>
  <c r="J66" i="3"/>
  <c r="J67" i="3"/>
  <c r="J68" i="3"/>
  <c r="J69" i="3"/>
  <c r="V51" i="15"/>
  <c r="W51" i="15" s="1"/>
  <c r="L51" i="15" a="1"/>
  <c r="L51" i="15" s="1"/>
  <c r="K51" i="15"/>
  <c r="J51" i="15"/>
  <c r="V50" i="15"/>
  <c r="W50" i="15" s="1"/>
  <c r="L50" i="15" a="1"/>
  <c r="L50" i="15" s="1"/>
  <c r="K50" i="15"/>
  <c r="J50" i="15"/>
  <c r="V49" i="15"/>
  <c r="W49" i="15" s="1"/>
  <c r="L49" i="15" a="1"/>
  <c r="L49" i="15" s="1"/>
  <c r="K49" i="15"/>
  <c r="J49" i="15"/>
  <c r="V48" i="15"/>
  <c r="W48" i="15" s="1"/>
  <c r="L48" i="15" a="1"/>
  <c r="L48" i="15" s="1"/>
  <c r="K48" i="15"/>
  <c r="J48" i="15"/>
  <c r="V47" i="15"/>
  <c r="W47" i="15" s="1"/>
  <c r="L47" i="15" a="1"/>
  <c r="L47" i="15" s="1"/>
  <c r="K47" i="15"/>
  <c r="J47" i="15"/>
  <c r="V46" i="15"/>
  <c r="W46" i="15" s="1"/>
  <c r="L46" i="15" a="1"/>
  <c r="L46" i="15" s="1"/>
  <c r="K46" i="15"/>
  <c r="J46" i="15"/>
  <c r="V45" i="15"/>
  <c r="W45" i="15" s="1"/>
  <c r="L45" i="15" a="1"/>
  <c r="L45" i="15" s="1"/>
  <c r="K45" i="15"/>
  <c r="J45" i="15"/>
  <c r="V44" i="15"/>
  <c r="W44" i="15" s="1"/>
  <c r="L44" i="15" a="1"/>
  <c r="L44" i="15" s="1"/>
  <c r="K44" i="15"/>
  <c r="J44" i="15"/>
  <c r="V43" i="15"/>
  <c r="W43" i="15" s="1"/>
  <c r="L43" i="15" a="1"/>
  <c r="L43" i="15" s="1"/>
  <c r="K43" i="15"/>
  <c r="J43" i="15"/>
  <c r="V42" i="15"/>
  <c r="W42" i="15" s="1"/>
  <c r="L42" i="15" a="1"/>
  <c r="L42" i="15" s="1"/>
  <c r="K42" i="15"/>
  <c r="J42" i="15"/>
  <c r="V41" i="15"/>
  <c r="W41" i="15" s="1"/>
  <c r="L41" i="15" a="1"/>
  <c r="L41" i="15" s="1"/>
  <c r="K41" i="15"/>
  <c r="J41" i="15"/>
  <c r="V40" i="15"/>
  <c r="W40" i="15" s="1"/>
  <c r="L40" i="15" a="1"/>
  <c r="L40" i="15" s="1"/>
  <c r="K40" i="15"/>
  <c r="J40" i="15"/>
  <c r="V39" i="15"/>
  <c r="W39" i="15" s="1"/>
  <c r="L39" i="15" a="1"/>
  <c r="L39" i="15" s="1"/>
  <c r="K39" i="15"/>
  <c r="J39" i="15"/>
  <c r="V38" i="15"/>
  <c r="W38" i="15" s="1"/>
  <c r="L38" i="15" a="1"/>
  <c r="L38" i="15" s="1"/>
  <c r="K38" i="15"/>
  <c r="J38" i="15"/>
  <c r="V37" i="15"/>
  <c r="W37" i="15" s="1"/>
  <c r="L37" i="15" a="1"/>
  <c r="L37" i="15" s="1"/>
  <c r="K37" i="15"/>
  <c r="J37" i="15"/>
  <c r="V36" i="15"/>
  <c r="W36" i="15" s="1"/>
  <c r="L36" i="15" a="1"/>
  <c r="L36" i="15" s="1"/>
  <c r="K36" i="15"/>
  <c r="J36" i="15"/>
  <c r="V35" i="15"/>
  <c r="W35" i="15" s="1"/>
  <c r="L35" i="15" a="1"/>
  <c r="L35" i="15" s="1"/>
  <c r="K35" i="15"/>
  <c r="J35" i="15"/>
  <c r="V34" i="15"/>
  <c r="W34" i="15" s="1"/>
  <c r="L34" i="15" a="1"/>
  <c r="L34" i="15" s="1"/>
  <c r="K34" i="15"/>
  <c r="J34" i="15"/>
  <c r="V33" i="15"/>
  <c r="W33" i="15" s="1"/>
  <c r="L33" i="15" a="1"/>
  <c r="L33" i="15" s="1"/>
  <c r="K33" i="15"/>
  <c r="J33" i="15"/>
  <c r="V32" i="15"/>
  <c r="W32" i="15" s="1"/>
  <c r="L32" i="15" a="1"/>
  <c r="L32" i="15" s="1"/>
  <c r="K32" i="15"/>
  <c r="J32" i="15"/>
  <c r="V31" i="15"/>
  <c r="W31" i="15" s="1"/>
  <c r="L31" i="15" a="1"/>
  <c r="L31" i="15" s="1"/>
  <c r="K31" i="15"/>
  <c r="J31" i="15"/>
  <c r="V30" i="15"/>
  <c r="W30" i="15" s="1"/>
  <c r="L30" i="15" a="1"/>
  <c r="L30" i="15" s="1"/>
  <c r="K30" i="15"/>
  <c r="J30" i="15"/>
  <c r="V29" i="15"/>
  <c r="W29" i="15" s="1"/>
  <c r="L29" i="15" a="1"/>
  <c r="L29" i="15" s="1"/>
  <c r="K29" i="15"/>
  <c r="J29" i="15"/>
  <c r="V28" i="15"/>
  <c r="W28" i="15" s="1"/>
  <c r="L28" i="15" a="1"/>
  <c r="L28" i="15" s="1"/>
  <c r="K28" i="15"/>
  <c r="J28" i="15"/>
  <c r="V27" i="15"/>
  <c r="W27" i="15" s="1"/>
  <c r="L27" i="15" a="1"/>
  <c r="L27" i="15" s="1"/>
  <c r="K27" i="15"/>
  <c r="J27" i="15"/>
  <c r="V26" i="15"/>
  <c r="W26" i="15" s="1"/>
  <c r="L26" i="15" a="1"/>
  <c r="L26" i="15" s="1"/>
  <c r="K26" i="15"/>
  <c r="J26" i="15"/>
  <c r="V25" i="15"/>
  <c r="W25" i="15" s="1"/>
  <c r="L25" i="15" a="1"/>
  <c r="L25" i="15" s="1"/>
  <c r="K25" i="15"/>
  <c r="J25" i="15"/>
  <c r="V24" i="15"/>
  <c r="W24" i="15" s="1"/>
  <c r="L24" i="15" a="1"/>
  <c r="L24" i="15" s="1"/>
  <c r="K24" i="15"/>
  <c r="J24" i="15"/>
  <c r="V23" i="15"/>
  <c r="W23" i="15" s="1"/>
  <c r="L23" i="15" a="1"/>
  <c r="L23" i="15" s="1"/>
  <c r="K23" i="15"/>
  <c r="J23" i="15"/>
  <c r="V22" i="15"/>
  <c r="W22" i="15" s="1"/>
  <c r="L22" i="15" a="1"/>
  <c r="L22" i="15" s="1"/>
  <c r="K22" i="15"/>
  <c r="J22" i="15"/>
  <c r="V21" i="15"/>
  <c r="W21" i="15" s="1"/>
  <c r="L21" i="15" a="1"/>
  <c r="L21" i="15" s="1"/>
  <c r="K21" i="15"/>
  <c r="J21" i="15"/>
  <c r="V20" i="15"/>
  <c r="W20" i="15" s="1"/>
  <c r="L20" i="15" a="1"/>
  <c r="L20" i="15" s="1"/>
  <c r="K20" i="15"/>
  <c r="J20" i="15"/>
  <c r="V19" i="15"/>
  <c r="W19" i="15" s="1"/>
  <c r="L19" i="15" a="1"/>
  <c r="L19" i="15" s="1"/>
  <c r="K19" i="15"/>
  <c r="J19" i="15"/>
  <c r="V18" i="15"/>
  <c r="W18" i="15" s="1"/>
  <c r="L18" i="15" a="1"/>
  <c r="L18" i="15" s="1"/>
  <c r="K18" i="15"/>
  <c r="J18" i="15"/>
  <c r="V17" i="15"/>
  <c r="W17" i="15" s="1"/>
  <c r="L17" i="15" a="1"/>
  <c r="L17" i="15" s="1"/>
  <c r="K17" i="15"/>
  <c r="J17" i="15"/>
  <c r="V16" i="15"/>
  <c r="W16" i="15" s="1"/>
  <c r="L16" i="15" a="1"/>
  <c r="L16" i="15" s="1"/>
  <c r="K16" i="15"/>
  <c r="J16" i="15"/>
  <c r="V15" i="15"/>
  <c r="W15" i="15" s="1"/>
  <c r="L15" i="15" a="1"/>
  <c r="L15" i="15" s="1"/>
  <c r="K15" i="15"/>
  <c r="J15" i="15"/>
  <c r="V14" i="15"/>
  <c r="W14" i="15" s="1"/>
  <c r="L14" i="15" a="1"/>
  <c r="L14" i="15" s="1"/>
  <c r="K14" i="15"/>
  <c r="J14" i="15"/>
  <c r="V13" i="15"/>
  <c r="W13" i="15" s="1"/>
  <c r="L13" i="15" a="1"/>
  <c r="L13" i="15" s="1"/>
  <c r="K13" i="15"/>
  <c r="J13" i="15"/>
  <c r="V12" i="15"/>
  <c r="W12" i="15" s="1"/>
  <c r="L12" i="15" a="1"/>
  <c r="L12" i="15" s="1"/>
  <c r="K12" i="15"/>
  <c r="J12" i="15"/>
  <c r="V11" i="15"/>
  <c r="W11" i="15" s="1"/>
  <c r="L11" i="15" a="1"/>
  <c r="L11" i="15" s="1"/>
  <c r="K11" i="15"/>
  <c r="J11" i="15"/>
  <c r="V10" i="15"/>
  <c r="W10" i="15" s="1"/>
  <c r="L10" i="15" a="1"/>
  <c r="L10" i="15" s="1"/>
  <c r="K10" i="15"/>
  <c r="J10" i="15"/>
  <c r="V9" i="15"/>
  <c r="W9" i="15" s="1"/>
  <c r="L9" i="15" a="1"/>
  <c r="L9" i="15" s="1"/>
  <c r="K9" i="15"/>
  <c r="J9" i="15"/>
  <c r="V8" i="15"/>
  <c r="W8" i="15" s="1"/>
  <c r="L8" i="15" a="1"/>
  <c r="L8" i="15" s="1"/>
  <c r="K8" i="15"/>
  <c r="J8" i="15"/>
  <c r="V7" i="15"/>
  <c r="W7" i="15" s="1"/>
  <c r="L7" i="15" a="1"/>
  <c r="L7" i="15" s="1"/>
  <c r="K7" i="15"/>
  <c r="J7" i="15"/>
  <c r="V6" i="15"/>
  <c r="W6" i="15" s="1"/>
  <c r="L6" i="15" a="1"/>
  <c r="L6" i="15" s="1"/>
  <c r="K6" i="15"/>
  <c r="J6" i="15"/>
  <c r="V5" i="15"/>
  <c r="W5" i="15" s="1"/>
  <c r="L5" i="15" a="1"/>
  <c r="L5" i="15" s="1"/>
  <c r="K5" i="15"/>
  <c r="J5" i="15"/>
  <c r="V4" i="15"/>
  <c r="W4" i="15" s="1"/>
  <c r="L4" i="15" a="1"/>
  <c r="L4" i="15" s="1"/>
  <c r="K4" i="15"/>
  <c r="J4" i="15"/>
  <c r="V3" i="15"/>
  <c r="W3" i="15" s="1"/>
  <c r="L3" i="15" a="1"/>
  <c r="L3" i="15" s="1"/>
  <c r="K3" i="15"/>
  <c r="J3" i="15"/>
  <c r="V2" i="15"/>
  <c r="L2" i="15" a="1"/>
  <c r="L2" i="15" s="1"/>
  <c r="K2" i="15"/>
  <c r="J2" i="15"/>
  <c r="V3" i="14"/>
  <c r="V4" i="14"/>
  <c r="W4" i="14" s="1"/>
  <c r="V5" i="14"/>
  <c r="V6" i="14"/>
  <c r="W6" i="14" s="1"/>
  <c r="V7" i="14"/>
  <c r="W7" i="14" s="1"/>
  <c r="V8" i="14"/>
  <c r="W8" i="14" s="1"/>
  <c r="V9" i="14"/>
  <c r="V10" i="14"/>
  <c r="W10" i="14" s="1"/>
  <c r="V11" i="14"/>
  <c r="V12" i="14"/>
  <c r="W12" i="14" s="1"/>
  <c r="V13" i="14"/>
  <c r="V14" i="14"/>
  <c r="W14" i="14" s="1"/>
  <c r="V15" i="14"/>
  <c r="V16" i="14"/>
  <c r="W16" i="14" s="1"/>
  <c r="V17" i="14"/>
  <c r="V18" i="14"/>
  <c r="W18" i="14" s="1"/>
  <c r="V19" i="14"/>
  <c r="W19" i="14" s="1"/>
  <c r="V20" i="14"/>
  <c r="W20" i="14" s="1"/>
  <c r="V21" i="14"/>
  <c r="W21" i="14" s="1"/>
  <c r="V22" i="14"/>
  <c r="W22" i="14" s="1"/>
  <c r="V23" i="14"/>
  <c r="V24" i="14"/>
  <c r="W24" i="14" s="1"/>
  <c r="V25" i="14"/>
  <c r="V26" i="14"/>
  <c r="W26" i="14" s="1"/>
  <c r="V27" i="14"/>
  <c r="W27" i="14" s="1"/>
  <c r="V28" i="14"/>
  <c r="W28" i="14" s="1"/>
  <c r="V29" i="14"/>
  <c r="W29" i="14" s="1"/>
  <c r="V30" i="14"/>
  <c r="W30" i="14" s="1"/>
  <c r="V31" i="14"/>
  <c r="W31" i="14" s="1"/>
  <c r="V32" i="14"/>
  <c r="W32" i="14" s="1"/>
  <c r="V33" i="14"/>
  <c r="V34" i="14"/>
  <c r="W34" i="14" s="1"/>
  <c r="V35" i="14"/>
  <c r="V36" i="14"/>
  <c r="W36" i="14" s="1"/>
  <c r="V37" i="14"/>
  <c r="W37" i="14" s="1"/>
  <c r="V38" i="14"/>
  <c r="W38" i="14" s="1"/>
  <c r="V39" i="14"/>
  <c r="V40" i="14"/>
  <c r="V41" i="14"/>
  <c r="V42" i="14"/>
  <c r="W42" i="14" s="1"/>
  <c r="V43" i="14"/>
  <c r="W43" i="14" s="1"/>
  <c r="V44" i="14"/>
  <c r="W44" i="14" s="1"/>
  <c r="V45" i="14"/>
  <c r="W45" i="14" s="1"/>
  <c r="V46" i="14"/>
  <c r="W46" i="14" s="1"/>
  <c r="V47" i="14"/>
  <c r="V48" i="14"/>
  <c r="W48" i="14" s="1"/>
  <c r="V49" i="14"/>
  <c r="V50" i="14"/>
  <c r="W50" i="14" s="1"/>
  <c r="V51" i="14"/>
  <c r="W51" i="14" s="1"/>
  <c r="V2" i="14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2" i="13"/>
  <c r="L51" i="14" a="1"/>
  <c r="L51" i="14" s="1"/>
  <c r="K51" i="14"/>
  <c r="J51" i="14"/>
  <c r="L50" i="14" a="1"/>
  <c r="L50" i="14" s="1"/>
  <c r="K50" i="14"/>
  <c r="J50" i="14"/>
  <c r="W49" i="14"/>
  <c r="L49" i="14" a="1"/>
  <c r="L49" i="14" s="1"/>
  <c r="K49" i="14"/>
  <c r="J49" i="14"/>
  <c r="L48" i="14" a="1"/>
  <c r="L48" i="14" s="1"/>
  <c r="K48" i="14"/>
  <c r="J48" i="14"/>
  <c r="W47" i="14"/>
  <c r="L47" i="14" a="1"/>
  <c r="L47" i="14" s="1"/>
  <c r="K47" i="14"/>
  <c r="J47" i="14"/>
  <c r="L46" i="14" a="1"/>
  <c r="L46" i="14" s="1"/>
  <c r="K46" i="14"/>
  <c r="J46" i="14"/>
  <c r="L45" i="14" a="1"/>
  <c r="L45" i="14" s="1"/>
  <c r="K45" i="14"/>
  <c r="J45" i="14"/>
  <c r="L44" i="14" a="1"/>
  <c r="L44" i="14" s="1"/>
  <c r="K44" i="14"/>
  <c r="J44" i="14"/>
  <c r="L43" i="14" a="1"/>
  <c r="L43" i="14" s="1"/>
  <c r="K43" i="14"/>
  <c r="J43" i="14"/>
  <c r="L42" i="14" a="1"/>
  <c r="L42" i="14" s="1"/>
  <c r="K42" i="14"/>
  <c r="J42" i="14"/>
  <c r="W41" i="14"/>
  <c r="L41" i="14" a="1"/>
  <c r="L41" i="14" s="1"/>
  <c r="K41" i="14"/>
  <c r="J41" i="14"/>
  <c r="W40" i="14"/>
  <c r="L40" i="14" a="1"/>
  <c r="L40" i="14" s="1"/>
  <c r="K40" i="14"/>
  <c r="J40" i="14"/>
  <c r="W39" i="14"/>
  <c r="L39" i="14" a="1"/>
  <c r="L39" i="14" s="1"/>
  <c r="K39" i="14"/>
  <c r="J39" i="14"/>
  <c r="L38" i="14" a="1"/>
  <c r="L38" i="14" s="1"/>
  <c r="K38" i="14"/>
  <c r="J38" i="14"/>
  <c r="L37" i="14" a="1"/>
  <c r="L37" i="14" s="1"/>
  <c r="K37" i="14"/>
  <c r="J37" i="14"/>
  <c r="L36" i="14" a="1"/>
  <c r="L36" i="14" s="1"/>
  <c r="K36" i="14"/>
  <c r="J36" i="14"/>
  <c r="W35" i="14"/>
  <c r="L35" i="14" a="1"/>
  <c r="L35" i="14" s="1"/>
  <c r="K35" i="14"/>
  <c r="J35" i="14"/>
  <c r="L34" i="14" a="1"/>
  <c r="L34" i="14" s="1"/>
  <c r="K34" i="14"/>
  <c r="J34" i="14"/>
  <c r="W33" i="14"/>
  <c r="L33" i="14" a="1"/>
  <c r="L33" i="14" s="1"/>
  <c r="K33" i="14"/>
  <c r="J33" i="14"/>
  <c r="L32" i="14" a="1"/>
  <c r="L32" i="14" s="1"/>
  <c r="K32" i="14"/>
  <c r="J32" i="14"/>
  <c r="L31" i="14" a="1"/>
  <c r="L31" i="14" s="1"/>
  <c r="K31" i="14"/>
  <c r="J31" i="14"/>
  <c r="L30" i="14" a="1"/>
  <c r="L30" i="14" s="1"/>
  <c r="K30" i="14"/>
  <c r="J30" i="14"/>
  <c r="L29" i="14" a="1"/>
  <c r="L29" i="14" s="1"/>
  <c r="K29" i="14"/>
  <c r="J29" i="14"/>
  <c r="L28" i="14" a="1"/>
  <c r="L28" i="14" s="1"/>
  <c r="K28" i="14"/>
  <c r="J28" i="14"/>
  <c r="L27" i="14" a="1"/>
  <c r="L27" i="14" s="1"/>
  <c r="K27" i="14"/>
  <c r="J27" i="14"/>
  <c r="L26" i="14" a="1"/>
  <c r="L26" i="14" s="1"/>
  <c r="K26" i="14"/>
  <c r="J26" i="14"/>
  <c r="W25" i="14"/>
  <c r="L25" i="14" a="1"/>
  <c r="L25" i="14" s="1"/>
  <c r="K25" i="14"/>
  <c r="J25" i="14"/>
  <c r="L24" i="14" a="1"/>
  <c r="L24" i="14" s="1"/>
  <c r="K24" i="14"/>
  <c r="J24" i="14"/>
  <c r="W23" i="14"/>
  <c r="L23" i="14" a="1"/>
  <c r="L23" i="14" s="1"/>
  <c r="K23" i="14"/>
  <c r="J23" i="14"/>
  <c r="L22" i="14" a="1"/>
  <c r="L22" i="14" s="1"/>
  <c r="K22" i="14"/>
  <c r="J22" i="14"/>
  <c r="L21" i="14" a="1"/>
  <c r="L21" i="14" s="1"/>
  <c r="K21" i="14"/>
  <c r="J21" i="14"/>
  <c r="L20" i="14" a="1"/>
  <c r="L20" i="14" s="1"/>
  <c r="K20" i="14"/>
  <c r="J20" i="14"/>
  <c r="L19" i="14" a="1"/>
  <c r="L19" i="14" s="1"/>
  <c r="K19" i="14"/>
  <c r="J19" i="14"/>
  <c r="L18" i="14" a="1"/>
  <c r="L18" i="14" s="1"/>
  <c r="K18" i="14"/>
  <c r="J18" i="14"/>
  <c r="W17" i="14"/>
  <c r="L17" i="14" a="1"/>
  <c r="L17" i="14" s="1"/>
  <c r="K17" i="14"/>
  <c r="J17" i="14"/>
  <c r="L16" i="14" a="1"/>
  <c r="L16" i="14" s="1"/>
  <c r="K16" i="14"/>
  <c r="J16" i="14"/>
  <c r="W15" i="14"/>
  <c r="L15" i="14" a="1"/>
  <c r="L15" i="14" s="1"/>
  <c r="K15" i="14"/>
  <c r="J15" i="14"/>
  <c r="L14" i="14" a="1"/>
  <c r="L14" i="14" s="1"/>
  <c r="K14" i="14"/>
  <c r="J14" i="14"/>
  <c r="W13" i="14"/>
  <c r="L13" i="14" a="1"/>
  <c r="L13" i="14" s="1"/>
  <c r="K13" i="14"/>
  <c r="J13" i="14"/>
  <c r="L12" i="14" a="1"/>
  <c r="L12" i="14" s="1"/>
  <c r="K12" i="14"/>
  <c r="J12" i="14"/>
  <c r="W11" i="14"/>
  <c r="L11" i="14" a="1"/>
  <c r="L11" i="14" s="1"/>
  <c r="K11" i="14"/>
  <c r="J11" i="14"/>
  <c r="L10" i="14" a="1"/>
  <c r="L10" i="14" s="1"/>
  <c r="K10" i="14"/>
  <c r="J10" i="14"/>
  <c r="W9" i="14"/>
  <c r="L9" i="14" a="1"/>
  <c r="L9" i="14" s="1"/>
  <c r="K9" i="14"/>
  <c r="J9" i="14"/>
  <c r="L8" i="14" a="1"/>
  <c r="L8" i="14" s="1"/>
  <c r="K8" i="14"/>
  <c r="J8" i="14"/>
  <c r="L7" i="14"/>
  <c r="L7" i="14" a="1"/>
  <c r="K7" i="14"/>
  <c r="J7" i="14"/>
  <c r="L6" i="14" a="1"/>
  <c r="L6" i="14" s="1"/>
  <c r="K6" i="14"/>
  <c r="J6" i="14"/>
  <c r="W5" i="14"/>
  <c r="L5" i="14" a="1"/>
  <c r="L5" i="14" s="1"/>
  <c r="K5" i="14"/>
  <c r="J5" i="14"/>
  <c r="L4" i="14" a="1"/>
  <c r="L4" i="14" s="1"/>
  <c r="K4" i="14"/>
  <c r="J4" i="14"/>
  <c r="W3" i="14"/>
  <c r="L3" i="14" a="1"/>
  <c r="L3" i="14" s="1"/>
  <c r="K3" i="14"/>
  <c r="J3" i="14"/>
  <c r="W2" i="14"/>
  <c r="L2" i="14" a="1"/>
  <c r="L2" i="14" s="1"/>
  <c r="K2" i="14"/>
  <c r="J2" i="14"/>
  <c r="W2" i="15" l="1"/>
  <c r="W51" i="13" l="1"/>
  <c r="L51" i="13" a="1"/>
  <c r="L51" i="13" s="1"/>
  <c r="K51" i="13"/>
  <c r="J51" i="13"/>
  <c r="W50" i="13"/>
  <c r="L50" i="13" a="1"/>
  <c r="L50" i="13" s="1"/>
  <c r="K50" i="13"/>
  <c r="J50" i="13"/>
  <c r="W49" i="13"/>
  <c r="L49" i="13" a="1"/>
  <c r="L49" i="13" s="1"/>
  <c r="K49" i="13"/>
  <c r="J49" i="13"/>
  <c r="W48" i="13"/>
  <c r="L48" i="13" a="1"/>
  <c r="L48" i="13" s="1"/>
  <c r="K48" i="13"/>
  <c r="J48" i="13"/>
  <c r="W47" i="13"/>
  <c r="L47" i="13" a="1"/>
  <c r="L47" i="13" s="1"/>
  <c r="K47" i="13"/>
  <c r="J47" i="13"/>
  <c r="W46" i="13"/>
  <c r="L46" i="13" a="1"/>
  <c r="L46" i="13" s="1"/>
  <c r="K46" i="13"/>
  <c r="J46" i="13"/>
  <c r="W45" i="13"/>
  <c r="L45" i="13" a="1"/>
  <c r="L45" i="13" s="1"/>
  <c r="K45" i="13"/>
  <c r="J45" i="13"/>
  <c r="W44" i="13"/>
  <c r="L44" i="13" a="1"/>
  <c r="L44" i="13" s="1"/>
  <c r="K44" i="13"/>
  <c r="J44" i="13"/>
  <c r="W43" i="13"/>
  <c r="L43" i="13" a="1"/>
  <c r="L43" i="13" s="1"/>
  <c r="K43" i="13"/>
  <c r="J43" i="13"/>
  <c r="W42" i="13"/>
  <c r="L42" i="13" a="1"/>
  <c r="L42" i="13" s="1"/>
  <c r="K42" i="13"/>
  <c r="J42" i="13"/>
  <c r="W41" i="13"/>
  <c r="L41" i="13" a="1"/>
  <c r="L41" i="13" s="1"/>
  <c r="K41" i="13"/>
  <c r="J41" i="13"/>
  <c r="W40" i="13"/>
  <c r="L40" i="13" a="1"/>
  <c r="L40" i="13" s="1"/>
  <c r="K40" i="13"/>
  <c r="J40" i="13"/>
  <c r="W39" i="13"/>
  <c r="L39" i="13" a="1"/>
  <c r="L39" i="13" s="1"/>
  <c r="K39" i="13"/>
  <c r="J39" i="13"/>
  <c r="W38" i="13"/>
  <c r="L38" i="13" a="1"/>
  <c r="L38" i="13" s="1"/>
  <c r="K38" i="13"/>
  <c r="J38" i="13"/>
  <c r="W37" i="13"/>
  <c r="L37" i="13" a="1"/>
  <c r="L37" i="13" s="1"/>
  <c r="K37" i="13"/>
  <c r="J37" i="13"/>
  <c r="W36" i="13"/>
  <c r="L36" i="13" a="1"/>
  <c r="L36" i="13" s="1"/>
  <c r="K36" i="13"/>
  <c r="J36" i="13"/>
  <c r="W35" i="13"/>
  <c r="L35" i="13" a="1"/>
  <c r="L35" i="13" s="1"/>
  <c r="K35" i="13"/>
  <c r="J35" i="13"/>
  <c r="W34" i="13"/>
  <c r="L34" i="13" a="1"/>
  <c r="L34" i="13" s="1"/>
  <c r="K34" i="13"/>
  <c r="J34" i="13"/>
  <c r="W33" i="13"/>
  <c r="L33" i="13" a="1"/>
  <c r="L33" i="13" s="1"/>
  <c r="K33" i="13"/>
  <c r="J33" i="13"/>
  <c r="W32" i="13"/>
  <c r="L32" i="13" a="1"/>
  <c r="L32" i="13" s="1"/>
  <c r="K32" i="13"/>
  <c r="J32" i="13"/>
  <c r="W31" i="13"/>
  <c r="L31" i="13" a="1"/>
  <c r="L31" i="13" s="1"/>
  <c r="K31" i="13"/>
  <c r="J31" i="13"/>
  <c r="W30" i="13"/>
  <c r="L30" i="13" a="1"/>
  <c r="L30" i="13" s="1"/>
  <c r="K30" i="13"/>
  <c r="J30" i="13"/>
  <c r="W29" i="13"/>
  <c r="L29" i="13" a="1"/>
  <c r="L29" i="13" s="1"/>
  <c r="K29" i="13"/>
  <c r="J29" i="13"/>
  <c r="W28" i="13"/>
  <c r="L28" i="13" a="1"/>
  <c r="L28" i="13" s="1"/>
  <c r="K28" i="13"/>
  <c r="J28" i="13"/>
  <c r="W27" i="13"/>
  <c r="L27" i="13" a="1"/>
  <c r="L27" i="13" s="1"/>
  <c r="K27" i="13"/>
  <c r="J27" i="13"/>
  <c r="W26" i="13"/>
  <c r="L26" i="13" a="1"/>
  <c r="L26" i="13" s="1"/>
  <c r="K26" i="13"/>
  <c r="J26" i="13"/>
  <c r="W25" i="13"/>
  <c r="L25" i="13" a="1"/>
  <c r="L25" i="13" s="1"/>
  <c r="K25" i="13"/>
  <c r="J25" i="13"/>
  <c r="W24" i="13"/>
  <c r="L24" i="13" a="1"/>
  <c r="L24" i="13" s="1"/>
  <c r="K24" i="13"/>
  <c r="J24" i="13"/>
  <c r="W23" i="13"/>
  <c r="L23" i="13" a="1"/>
  <c r="L23" i="13" s="1"/>
  <c r="K23" i="13"/>
  <c r="J23" i="13"/>
  <c r="W22" i="13"/>
  <c r="L22" i="13" a="1"/>
  <c r="L22" i="13" s="1"/>
  <c r="K22" i="13"/>
  <c r="J22" i="13"/>
  <c r="W21" i="13"/>
  <c r="L21" i="13" a="1"/>
  <c r="L21" i="13" s="1"/>
  <c r="K21" i="13"/>
  <c r="J21" i="13"/>
  <c r="W20" i="13"/>
  <c r="L20" i="13" a="1"/>
  <c r="L20" i="13" s="1"/>
  <c r="K20" i="13"/>
  <c r="J20" i="13"/>
  <c r="W19" i="13"/>
  <c r="L19" i="13" a="1"/>
  <c r="L19" i="13" s="1"/>
  <c r="K19" i="13"/>
  <c r="J19" i="13"/>
  <c r="W18" i="13"/>
  <c r="L18" i="13" a="1"/>
  <c r="L18" i="13" s="1"/>
  <c r="K18" i="13"/>
  <c r="J18" i="13"/>
  <c r="W17" i="13"/>
  <c r="L17" i="13" a="1"/>
  <c r="L17" i="13" s="1"/>
  <c r="K17" i="13"/>
  <c r="J17" i="13"/>
  <c r="W16" i="13"/>
  <c r="L16" i="13" a="1"/>
  <c r="L16" i="13" s="1"/>
  <c r="K16" i="13"/>
  <c r="J16" i="13"/>
  <c r="W15" i="13"/>
  <c r="L15" i="13" a="1"/>
  <c r="L15" i="13" s="1"/>
  <c r="K15" i="13"/>
  <c r="J15" i="13"/>
  <c r="W14" i="13"/>
  <c r="L14" i="13" a="1"/>
  <c r="L14" i="13" s="1"/>
  <c r="K14" i="13"/>
  <c r="J14" i="13"/>
  <c r="W13" i="13"/>
  <c r="L13" i="13" a="1"/>
  <c r="L13" i="13" s="1"/>
  <c r="K13" i="13"/>
  <c r="J13" i="13"/>
  <c r="W12" i="13"/>
  <c r="L12" i="13" a="1"/>
  <c r="L12" i="13" s="1"/>
  <c r="K12" i="13"/>
  <c r="J12" i="13"/>
  <c r="W11" i="13"/>
  <c r="L11" i="13" a="1"/>
  <c r="L11" i="13" s="1"/>
  <c r="K11" i="13"/>
  <c r="J11" i="13"/>
  <c r="W10" i="13"/>
  <c r="L10" i="13" a="1"/>
  <c r="L10" i="13" s="1"/>
  <c r="K10" i="13"/>
  <c r="J10" i="13"/>
  <c r="W9" i="13"/>
  <c r="L9" i="13" a="1"/>
  <c r="L9" i="13" s="1"/>
  <c r="K9" i="13"/>
  <c r="J9" i="13"/>
  <c r="W8" i="13"/>
  <c r="L8" i="13" a="1"/>
  <c r="L8" i="13" s="1"/>
  <c r="K8" i="13"/>
  <c r="J8" i="13"/>
  <c r="W7" i="13"/>
  <c r="L7" i="13" a="1"/>
  <c r="L7" i="13" s="1"/>
  <c r="K7" i="13"/>
  <c r="J7" i="13"/>
  <c r="W6" i="13"/>
  <c r="L6" i="13" a="1"/>
  <c r="L6" i="13" s="1"/>
  <c r="K6" i="13"/>
  <c r="J6" i="13"/>
  <c r="W5" i="13"/>
  <c r="L5" i="13" a="1"/>
  <c r="L5" i="13" s="1"/>
  <c r="K5" i="13"/>
  <c r="J5" i="13"/>
  <c r="W4" i="13"/>
  <c r="L4" i="13" a="1"/>
  <c r="L4" i="13" s="1"/>
  <c r="K4" i="13"/>
  <c r="J4" i="13"/>
  <c r="W3" i="13"/>
  <c r="L3" i="13" a="1"/>
  <c r="L3" i="13" s="1"/>
  <c r="K3" i="13"/>
  <c r="J3" i="13"/>
  <c r="L2" i="13" a="1"/>
  <c r="L2" i="13" s="1"/>
  <c r="K2" i="13"/>
  <c r="J2" i="13"/>
  <c r="W2" i="13" l="1"/>
  <c r="V51" i="5"/>
  <c r="W51" i="5" s="1"/>
  <c r="L51" i="5"/>
  <c r="L51" i="5" a="1"/>
  <c r="K51" i="5"/>
  <c r="J51" i="5"/>
  <c r="V50" i="5"/>
  <c r="W50" i="5" s="1"/>
  <c r="L50" i="5" a="1"/>
  <c r="L50" i="5" s="1"/>
  <c r="K50" i="5"/>
  <c r="J50" i="5"/>
  <c r="V49" i="5"/>
  <c r="W49" i="5" s="1"/>
  <c r="L49" i="5" a="1"/>
  <c r="L49" i="5" s="1"/>
  <c r="K49" i="5"/>
  <c r="J49" i="5"/>
  <c r="V48" i="5"/>
  <c r="W48" i="5" s="1"/>
  <c r="L48" i="5" a="1"/>
  <c r="L48" i="5" s="1"/>
  <c r="K48" i="5"/>
  <c r="J48" i="5"/>
  <c r="V47" i="5"/>
  <c r="W47" i="5" s="1"/>
  <c r="L47" i="5" a="1"/>
  <c r="L47" i="5" s="1"/>
  <c r="K47" i="5"/>
  <c r="J47" i="5"/>
  <c r="V46" i="5"/>
  <c r="W46" i="5" s="1"/>
  <c r="L46" i="5" a="1"/>
  <c r="L46" i="5" s="1"/>
  <c r="K46" i="5"/>
  <c r="J46" i="5"/>
  <c r="V45" i="5"/>
  <c r="W45" i="5" s="1"/>
  <c r="L45" i="5" a="1"/>
  <c r="L45" i="5" s="1"/>
  <c r="K45" i="5"/>
  <c r="J45" i="5"/>
  <c r="V44" i="5"/>
  <c r="W44" i="5" s="1"/>
  <c r="L44" i="5" a="1"/>
  <c r="L44" i="5" s="1"/>
  <c r="K44" i="5"/>
  <c r="J44" i="5"/>
  <c r="V43" i="5"/>
  <c r="W43" i="5" s="1"/>
  <c r="L43" i="5"/>
  <c r="L43" i="5" a="1"/>
  <c r="K43" i="5"/>
  <c r="J43" i="5"/>
  <c r="V42" i="5"/>
  <c r="W42" i="5" s="1"/>
  <c r="L42" i="5" a="1"/>
  <c r="L42" i="5" s="1"/>
  <c r="K42" i="5"/>
  <c r="J42" i="5"/>
  <c r="V41" i="5"/>
  <c r="W41" i="5" s="1"/>
  <c r="L41" i="5" a="1"/>
  <c r="L41" i="5" s="1"/>
  <c r="K41" i="5"/>
  <c r="J41" i="5"/>
  <c r="V40" i="5"/>
  <c r="W40" i="5" s="1"/>
  <c r="L40" i="5" a="1"/>
  <c r="L40" i="5" s="1"/>
  <c r="K40" i="5"/>
  <c r="J40" i="5"/>
  <c r="V39" i="5"/>
  <c r="W39" i="5" s="1"/>
  <c r="L39" i="5" a="1"/>
  <c r="L39" i="5" s="1"/>
  <c r="K39" i="5"/>
  <c r="J39" i="5"/>
  <c r="V38" i="5"/>
  <c r="W38" i="5" s="1"/>
  <c r="L38" i="5" a="1"/>
  <c r="L38" i="5" s="1"/>
  <c r="K38" i="5"/>
  <c r="J38" i="5"/>
  <c r="V37" i="5"/>
  <c r="W37" i="5" s="1"/>
  <c r="L37" i="5" a="1"/>
  <c r="L37" i="5" s="1"/>
  <c r="K37" i="5"/>
  <c r="J37" i="5"/>
  <c r="V36" i="5"/>
  <c r="W36" i="5" s="1"/>
  <c r="L36" i="5" a="1"/>
  <c r="L36" i="5" s="1"/>
  <c r="K36" i="5"/>
  <c r="J36" i="5"/>
  <c r="V35" i="5"/>
  <c r="W35" i="5" s="1"/>
  <c r="L35" i="5" a="1"/>
  <c r="L35" i="5" s="1"/>
  <c r="K35" i="5"/>
  <c r="J35" i="5"/>
  <c r="V34" i="5"/>
  <c r="W34" i="5" s="1"/>
  <c r="L34" i="5" a="1"/>
  <c r="L34" i="5" s="1"/>
  <c r="K34" i="5"/>
  <c r="J34" i="5"/>
  <c r="V33" i="5"/>
  <c r="W33" i="5" s="1"/>
  <c r="L33" i="5" a="1"/>
  <c r="L33" i="5" s="1"/>
  <c r="K33" i="5"/>
  <c r="J33" i="5"/>
  <c r="V32" i="5"/>
  <c r="W32" i="5" s="1"/>
  <c r="L32" i="5" a="1"/>
  <c r="L32" i="5" s="1"/>
  <c r="K32" i="5"/>
  <c r="J32" i="5"/>
  <c r="V31" i="5"/>
  <c r="W31" i="5" s="1"/>
  <c r="L31" i="5" a="1"/>
  <c r="L31" i="5" s="1"/>
  <c r="K31" i="5"/>
  <c r="J31" i="5"/>
  <c r="V30" i="5"/>
  <c r="W30" i="5" s="1"/>
  <c r="L30" i="5" a="1"/>
  <c r="L30" i="5" s="1"/>
  <c r="K30" i="5"/>
  <c r="J30" i="5"/>
  <c r="V29" i="5"/>
  <c r="W29" i="5" s="1"/>
  <c r="L29" i="5" a="1"/>
  <c r="L29" i="5" s="1"/>
  <c r="K29" i="5"/>
  <c r="J29" i="5"/>
  <c r="W28" i="5"/>
  <c r="V28" i="5"/>
  <c r="L28" i="5" a="1"/>
  <c r="L28" i="5" s="1"/>
  <c r="K28" i="5"/>
  <c r="J28" i="5"/>
  <c r="V27" i="5"/>
  <c r="W27" i="5" s="1"/>
  <c r="L27" i="5" a="1"/>
  <c r="L27" i="5" s="1"/>
  <c r="K27" i="5"/>
  <c r="J27" i="5"/>
  <c r="V26" i="5"/>
  <c r="W26" i="5" s="1"/>
  <c r="L26" i="5" a="1"/>
  <c r="L26" i="5" s="1"/>
  <c r="K26" i="5"/>
  <c r="J26" i="5"/>
  <c r="V25" i="5"/>
  <c r="W25" i="5" s="1"/>
  <c r="L25" i="5" a="1"/>
  <c r="L25" i="5" s="1"/>
  <c r="K25" i="5"/>
  <c r="J25" i="5"/>
  <c r="V24" i="5"/>
  <c r="W24" i="5" s="1"/>
  <c r="L24" i="5" a="1"/>
  <c r="L24" i="5" s="1"/>
  <c r="K24" i="5"/>
  <c r="J24" i="5"/>
  <c r="V23" i="5"/>
  <c r="W23" i="5" s="1"/>
  <c r="L23" i="5" a="1"/>
  <c r="L23" i="5" s="1"/>
  <c r="K23" i="5"/>
  <c r="J23" i="5"/>
  <c r="V22" i="5"/>
  <c r="W22" i="5" s="1"/>
  <c r="L22" i="5" a="1"/>
  <c r="L22" i="5" s="1"/>
  <c r="K22" i="5"/>
  <c r="J22" i="5"/>
  <c r="V21" i="5"/>
  <c r="W21" i="5" s="1"/>
  <c r="L21" i="5" a="1"/>
  <c r="L21" i="5" s="1"/>
  <c r="K21" i="5"/>
  <c r="J21" i="5"/>
  <c r="V20" i="5"/>
  <c r="W20" i="5" s="1"/>
  <c r="L20" i="5" a="1"/>
  <c r="L20" i="5" s="1"/>
  <c r="K20" i="5"/>
  <c r="J20" i="5"/>
  <c r="V19" i="5"/>
  <c r="W19" i="5" s="1"/>
  <c r="L19" i="5" a="1"/>
  <c r="L19" i="5" s="1"/>
  <c r="K19" i="5"/>
  <c r="J19" i="5"/>
  <c r="V18" i="5"/>
  <c r="W18" i="5" s="1"/>
  <c r="L18" i="5" a="1"/>
  <c r="L18" i="5" s="1"/>
  <c r="K18" i="5"/>
  <c r="J18" i="5"/>
  <c r="V17" i="5"/>
  <c r="W17" i="5" s="1"/>
  <c r="L17" i="5" a="1"/>
  <c r="L17" i="5" s="1"/>
  <c r="K17" i="5"/>
  <c r="J17" i="5"/>
  <c r="V16" i="5"/>
  <c r="W16" i="5" s="1"/>
  <c r="L16" i="5" a="1"/>
  <c r="L16" i="5" s="1"/>
  <c r="K16" i="5"/>
  <c r="J16" i="5"/>
  <c r="V15" i="5"/>
  <c r="W15" i="5" s="1"/>
  <c r="L15" i="5" a="1"/>
  <c r="L15" i="5" s="1"/>
  <c r="K15" i="5"/>
  <c r="J15" i="5"/>
  <c r="V14" i="5"/>
  <c r="W14" i="5" s="1"/>
  <c r="L14" i="5" a="1"/>
  <c r="L14" i="5" s="1"/>
  <c r="K14" i="5"/>
  <c r="J14" i="5"/>
  <c r="V13" i="5"/>
  <c r="W13" i="5" s="1"/>
  <c r="L13" i="5" a="1"/>
  <c r="L13" i="5" s="1"/>
  <c r="K13" i="5"/>
  <c r="J13" i="5"/>
  <c r="V12" i="5"/>
  <c r="W12" i="5" s="1"/>
  <c r="L12" i="5" a="1"/>
  <c r="L12" i="5" s="1"/>
  <c r="K12" i="5"/>
  <c r="J12" i="5"/>
  <c r="V11" i="5"/>
  <c r="W11" i="5" s="1"/>
  <c r="L11" i="5"/>
  <c r="L11" i="5" a="1"/>
  <c r="K11" i="5"/>
  <c r="J11" i="5"/>
  <c r="V10" i="5"/>
  <c r="W10" i="5" s="1"/>
  <c r="L10" i="5" a="1"/>
  <c r="L10" i="5" s="1"/>
  <c r="K10" i="5"/>
  <c r="J10" i="5"/>
  <c r="V9" i="5"/>
  <c r="W9" i="5" s="1"/>
  <c r="L9" i="5" a="1"/>
  <c r="L9" i="5" s="1"/>
  <c r="K9" i="5"/>
  <c r="J9" i="5"/>
  <c r="V8" i="5"/>
  <c r="W8" i="5" s="1"/>
  <c r="L8" i="5" a="1"/>
  <c r="L8" i="5" s="1"/>
  <c r="K8" i="5"/>
  <c r="J8" i="5"/>
  <c r="V7" i="5"/>
  <c r="W7" i="5" s="1"/>
  <c r="L7" i="5" a="1"/>
  <c r="L7" i="5" s="1"/>
  <c r="K7" i="5"/>
  <c r="J7" i="5"/>
  <c r="V6" i="5"/>
  <c r="W6" i="5" s="1"/>
  <c r="L6" i="5" a="1"/>
  <c r="L6" i="5" s="1"/>
  <c r="K6" i="5"/>
  <c r="J6" i="5"/>
  <c r="V5" i="5"/>
  <c r="W5" i="5" s="1"/>
  <c r="L5" i="5" a="1"/>
  <c r="L5" i="5" s="1"/>
  <c r="K5" i="5"/>
  <c r="J5" i="5"/>
  <c r="W4" i="5"/>
  <c r="V4" i="5"/>
  <c r="L4" i="5" a="1"/>
  <c r="L4" i="5" s="1"/>
  <c r="K4" i="5"/>
  <c r="J4" i="5"/>
  <c r="V3" i="5"/>
  <c r="W3" i="5" s="1"/>
  <c r="L3" i="5" a="1"/>
  <c r="L3" i="5" s="1"/>
  <c r="K3" i="5"/>
  <c r="J3" i="5"/>
  <c r="V2" i="5"/>
  <c r="L2" i="5" a="1"/>
  <c r="L2" i="5" s="1"/>
  <c r="K2" i="5"/>
  <c r="J2" i="5"/>
  <c r="L41" i="3" a="1"/>
  <c r="L41" i="3" s="1"/>
  <c r="K40" i="3"/>
  <c r="L40" i="3" a="1"/>
  <c r="L40" i="3" s="1"/>
  <c r="L39" i="3" a="1"/>
  <c r="L39" i="3" s="1"/>
  <c r="K38" i="3"/>
  <c r="L38" i="3" a="1"/>
  <c r="L38" i="3" s="1"/>
  <c r="L37" i="3" a="1"/>
  <c r="L37" i="3" s="1"/>
  <c r="K36" i="3"/>
  <c r="L36" i="3" a="1"/>
  <c r="L36" i="3" s="1"/>
  <c r="L35" i="3" a="1"/>
  <c r="L35" i="3" s="1"/>
  <c r="K34" i="3"/>
  <c r="L34" i="3" a="1"/>
  <c r="L34" i="3" s="1"/>
  <c r="L33" i="3" a="1"/>
  <c r="L33" i="3" s="1"/>
  <c r="K32" i="3"/>
  <c r="L32" i="3" a="1"/>
  <c r="L32" i="3" s="1"/>
  <c r="L31" i="3" a="1"/>
  <c r="L31" i="3" s="1"/>
  <c r="K30" i="3"/>
  <c r="L30" i="3" a="1"/>
  <c r="L30" i="3" s="1"/>
  <c r="L29" i="3" a="1"/>
  <c r="L29" i="3" s="1"/>
  <c r="K28" i="3"/>
  <c r="L28" i="3" a="1"/>
  <c r="L28" i="3" s="1"/>
  <c r="L27" i="3" a="1"/>
  <c r="L27" i="3" s="1"/>
  <c r="K26" i="3"/>
  <c r="L26" i="3" a="1"/>
  <c r="L26" i="3" s="1"/>
  <c r="L25" i="3" a="1"/>
  <c r="L25" i="3" s="1"/>
  <c r="K24" i="3"/>
  <c r="L24" i="3" a="1"/>
  <c r="L24" i="3" s="1"/>
  <c r="L23" i="3" a="1"/>
  <c r="L23" i="3" s="1"/>
  <c r="K22" i="3"/>
  <c r="L22" i="3" a="1"/>
  <c r="L22" i="3" s="1"/>
  <c r="L21" i="3" a="1"/>
  <c r="L21" i="3" s="1"/>
  <c r="K20" i="3"/>
  <c r="L20" i="3" a="1"/>
  <c r="L20" i="3" s="1"/>
  <c r="L19" i="3" a="1"/>
  <c r="L19" i="3" s="1"/>
  <c r="K18" i="3"/>
  <c r="L18" i="3" a="1"/>
  <c r="L18" i="3" s="1"/>
  <c r="L17" i="3" a="1"/>
  <c r="L17" i="3" s="1"/>
  <c r="K16" i="3"/>
  <c r="L16" i="3" a="1"/>
  <c r="L16" i="3" s="1"/>
  <c r="L15" i="3" a="1"/>
  <c r="L15" i="3" s="1"/>
  <c r="K14" i="3"/>
  <c r="L14" i="3" a="1"/>
  <c r="L14" i="3" s="1"/>
  <c r="L13" i="3" a="1"/>
  <c r="L13" i="3" s="1"/>
  <c r="K12" i="3"/>
  <c r="L12" i="3" a="1"/>
  <c r="L12" i="3" s="1"/>
  <c r="L11" i="3" a="1"/>
  <c r="L11" i="3" s="1"/>
  <c r="K10" i="3"/>
  <c r="L10" i="3" a="1"/>
  <c r="L10" i="3" s="1"/>
  <c r="L9" i="3" a="1"/>
  <c r="L9" i="3" s="1"/>
  <c r="K8" i="3"/>
  <c r="L8" i="3" a="1"/>
  <c r="L8" i="3" s="1"/>
  <c r="L7" i="3" a="1"/>
  <c r="L7" i="3" s="1"/>
  <c r="K6" i="3"/>
  <c r="L6" i="3" a="1"/>
  <c r="L6" i="3" s="1"/>
  <c r="L5" i="3" a="1"/>
  <c r="L5" i="3" s="1"/>
  <c r="K4" i="3"/>
  <c r="L4" i="3" a="1"/>
  <c r="L4" i="3" s="1"/>
  <c r="L3" i="3" a="1"/>
  <c r="L3" i="3" s="1"/>
  <c r="K2" i="3"/>
  <c r="L2" i="3" a="1"/>
  <c r="L2" i="3" s="1"/>
  <c r="V51" i="3"/>
  <c r="W51" i="3" s="1"/>
  <c r="L51" i="3" a="1"/>
  <c r="L51" i="3" s="1"/>
  <c r="K51" i="3"/>
  <c r="J51" i="3"/>
  <c r="V50" i="3"/>
  <c r="W50" i="3" s="1"/>
  <c r="L50" i="3" a="1"/>
  <c r="L50" i="3" s="1"/>
  <c r="K50" i="3"/>
  <c r="J50" i="3"/>
  <c r="V49" i="3"/>
  <c r="W49" i="3" s="1"/>
  <c r="L49" i="3" a="1"/>
  <c r="L49" i="3" s="1"/>
  <c r="K49" i="3"/>
  <c r="J49" i="3"/>
  <c r="V48" i="3"/>
  <c r="W48" i="3" s="1"/>
  <c r="L48" i="3" a="1"/>
  <c r="L48" i="3" s="1"/>
  <c r="K48" i="3"/>
  <c r="J48" i="3"/>
  <c r="V47" i="3"/>
  <c r="W47" i="3" s="1"/>
  <c r="L47" i="3" a="1"/>
  <c r="L47" i="3" s="1"/>
  <c r="K47" i="3"/>
  <c r="J47" i="3"/>
  <c r="V46" i="3"/>
  <c r="W46" i="3" s="1"/>
  <c r="L46" i="3" a="1"/>
  <c r="L46" i="3" s="1"/>
  <c r="K46" i="3"/>
  <c r="J46" i="3"/>
  <c r="V45" i="3"/>
  <c r="W45" i="3" s="1"/>
  <c r="L45" i="3" a="1"/>
  <c r="L45" i="3" s="1"/>
  <c r="K45" i="3"/>
  <c r="J45" i="3"/>
  <c r="V44" i="3"/>
  <c r="W44" i="3" s="1"/>
  <c r="L44" i="3" a="1"/>
  <c r="L44" i="3" s="1"/>
  <c r="K44" i="3"/>
  <c r="J44" i="3"/>
  <c r="V43" i="3"/>
  <c r="W43" i="3" s="1"/>
  <c r="L43" i="3" a="1"/>
  <c r="L43" i="3" s="1"/>
  <c r="K43" i="3"/>
  <c r="J43" i="3"/>
  <c r="V42" i="3"/>
  <c r="W42" i="3" s="1"/>
  <c r="L42" i="3" a="1"/>
  <c r="L42" i="3" s="1"/>
  <c r="K42" i="3"/>
  <c r="J42" i="3"/>
  <c r="V41" i="3"/>
  <c r="W41" i="3" s="1"/>
  <c r="V40" i="3"/>
  <c r="W40" i="3" s="1"/>
  <c r="J40" i="3"/>
  <c r="V39" i="3"/>
  <c r="W39" i="3" s="1"/>
  <c r="V38" i="3"/>
  <c r="W38" i="3" s="1"/>
  <c r="J38" i="3"/>
  <c r="V37" i="3"/>
  <c r="W37" i="3" s="1"/>
  <c r="V36" i="3"/>
  <c r="W36" i="3" s="1"/>
  <c r="J36" i="3"/>
  <c r="V35" i="3"/>
  <c r="W35" i="3" s="1"/>
  <c r="V34" i="3"/>
  <c r="W34" i="3" s="1"/>
  <c r="J34" i="3"/>
  <c r="V33" i="3"/>
  <c r="W33" i="3" s="1"/>
  <c r="V32" i="3"/>
  <c r="W32" i="3" s="1"/>
  <c r="J32" i="3"/>
  <c r="V31" i="3"/>
  <c r="W31" i="3" s="1"/>
  <c r="V30" i="3"/>
  <c r="W30" i="3" s="1"/>
  <c r="J30" i="3"/>
  <c r="V29" i="3"/>
  <c r="W29" i="3" s="1"/>
  <c r="V28" i="3"/>
  <c r="W28" i="3" s="1"/>
  <c r="J28" i="3"/>
  <c r="V27" i="3"/>
  <c r="W27" i="3" s="1"/>
  <c r="V26" i="3"/>
  <c r="W26" i="3" s="1"/>
  <c r="J26" i="3"/>
  <c r="V25" i="3"/>
  <c r="W25" i="3" s="1"/>
  <c r="V24" i="3"/>
  <c r="W24" i="3" s="1"/>
  <c r="J24" i="3"/>
  <c r="V23" i="3"/>
  <c r="W23" i="3" s="1"/>
  <c r="V22" i="3"/>
  <c r="W22" i="3" s="1"/>
  <c r="J22" i="3"/>
  <c r="V21" i="3"/>
  <c r="W21" i="3" s="1"/>
  <c r="V20" i="3"/>
  <c r="W20" i="3" s="1"/>
  <c r="J20" i="3"/>
  <c r="V19" i="3"/>
  <c r="W19" i="3" s="1"/>
  <c r="V18" i="3"/>
  <c r="W18" i="3" s="1"/>
  <c r="J18" i="3"/>
  <c r="V17" i="3"/>
  <c r="W17" i="3" s="1"/>
  <c r="V16" i="3"/>
  <c r="W16" i="3" s="1"/>
  <c r="J16" i="3"/>
  <c r="V15" i="3"/>
  <c r="W15" i="3" s="1"/>
  <c r="V14" i="3"/>
  <c r="W14" i="3" s="1"/>
  <c r="J14" i="3"/>
  <c r="V13" i="3"/>
  <c r="W13" i="3" s="1"/>
  <c r="V12" i="3"/>
  <c r="W12" i="3" s="1"/>
  <c r="J12" i="3"/>
  <c r="V11" i="3"/>
  <c r="W11" i="3" s="1"/>
  <c r="V10" i="3"/>
  <c r="W10" i="3" s="1"/>
  <c r="J10" i="3"/>
  <c r="V9" i="3"/>
  <c r="W9" i="3" s="1"/>
  <c r="V8" i="3"/>
  <c r="W8" i="3" s="1"/>
  <c r="J8" i="3"/>
  <c r="V7" i="3"/>
  <c r="W7" i="3" s="1"/>
  <c r="V6" i="3"/>
  <c r="W6" i="3" s="1"/>
  <c r="J6" i="3"/>
  <c r="V5" i="3"/>
  <c r="W5" i="3" s="1"/>
  <c r="V4" i="3"/>
  <c r="W4" i="3" s="1"/>
  <c r="J4" i="3"/>
  <c r="V3" i="3"/>
  <c r="W3" i="3" s="1"/>
  <c r="V2" i="3"/>
  <c r="W2" i="3" s="1"/>
  <c r="J2" i="3"/>
  <c r="W29" i="1"/>
  <c r="W45" i="1"/>
  <c r="V3" i="1"/>
  <c r="V4" i="1"/>
  <c r="W4" i="1" s="1"/>
  <c r="V5" i="1"/>
  <c r="W5" i="1" s="1"/>
  <c r="V6" i="1"/>
  <c r="W6" i="1" s="1"/>
  <c r="V7" i="1"/>
  <c r="W7" i="1" s="1"/>
  <c r="V8" i="1"/>
  <c r="W8" i="1" s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2" i="1"/>
  <c r="W2" i="1" s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L2" i="1" a="1"/>
  <c r="L2" i="1" s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  <c r="W3" i="1" l="1"/>
  <c r="W2" i="5"/>
  <c r="J3" i="3"/>
  <c r="J5" i="3"/>
  <c r="J7" i="3"/>
  <c r="J9" i="3"/>
  <c r="J11" i="3"/>
  <c r="J13" i="3"/>
  <c r="J15" i="3"/>
  <c r="J17" i="3"/>
  <c r="J19" i="3"/>
  <c r="J21" i="3"/>
  <c r="J23" i="3"/>
  <c r="J25" i="3"/>
  <c r="J27" i="3"/>
  <c r="J29" i="3"/>
  <c r="J31" i="3"/>
  <c r="J33" i="3"/>
  <c r="J35" i="3"/>
  <c r="J37" i="3"/>
  <c r="J39" i="3"/>
  <c r="J41" i="3"/>
  <c r="K3" i="3"/>
  <c r="K5" i="3"/>
  <c r="K7" i="3"/>
  <c r="K9" i="3"/>
  <c r="K11" i="3"/>
  <c r="K13" i="3"/>
  <c r="K15" i="3"/>
  <c r="K17" i="3"/>
  <c r="K19" i="3"/>
  <c r="K21" i="3"/>
  <c r="K23" i="3"/>
  <c r="K25" i="3"/>
  <c r="K27" i="3"/>
  <c r="K29" i="3"/>
  <c r="K31" i="3"/>
  <c r="K33" i="3"/>
  <c r="K35" i="3"/>
  <c r="K37" i="3"/>
  <c r="K39" i="3"/>
  <c r="K41" i="3"/>
  <c r="W106" i="3"/>
  <c r="J106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<sst xmlns="http://schemas.openxmlformats.org/spreadsheetml/2006/main" count="458" uniqueCount="47">
  <si>
    <t>AC</t>
    <phoneticPr fontId="1"/>
  </si>
  <si>
    <t>Average</t>
    <phoneticPr fontId="1"/>
  </si>
  <si>
    <t>Positive</t>
    <phoneticPr fontId="1"/>
  </si>
  <si>
    <t>OnOff</t>
    <phoneticPr fontId="1"/>
  </si>
  <si>
    <t>Theta</t>
    <phoneticPr fontId="1"/>
  </si>
  <si>
    <t>rand</t>
    <phoneticPr fontId="1"/>
  </si>
  <si>
    <t>Degree</t>
    <phoneticPr fontId="1"/>
  </si>
  <si>
    <t>Var</t>
    <phoneticPr fontId="1"/>
  </si>
  <si>
    <t>Error</t>
    <phoneticPr fontId="1"/>
  </si>
  <si>
    <t>None</t>
    <phoneticPr fontId="1"/>
  </si>
  <si>
    <t>Correct</t>
    <phoneticPr fontId="1"/>
  </si>
  <si>
    <t>Incorrect</t>
    <phoneticPr fontId="1"/>
  </si>
  <si>
    <t>Straight</t>
    <phoneticPr fontId="1"/>
  </si>
  <si>
    <t>With Compassion</t>
    <phoneticPr fontId="1"/>
  </si>
  <si>
    <t>With Wrong Compassion</t>
    <phoneticPr fontId="1"/>
  </si>
  <si>
    <t>分散分析: 一元配置</t>
  </si>
  <si>
    <t>概要</t>
  </si>
  <si>
    <t>グループ</t>
  </si>
  <si>
    <t>データの個数</t>
  </si>
  <si>
    <t>合計</t>
  </si>
  <si>
    <t>平均</t>
  </si>
  <si>
    <t>分散</t>
  </si>
  <si>
    <t>None</t>
  </si>
  <si>
    <t>Correct</t>
  </si>
  <si>
    <t>Incorrect</t>
  </si>
  <si>
    <t>分散分析表</t>
  </si>
  <si>
    <t>変動要因</t>
  </si>
  <si>
    <t>変動</t>
  </si>
  <si>
    <t>自由度</t>
  </si>
  <si>
    <t>観測された分散比</t>
  </si>
  <si>
    <t>P-値</t>
  </si>
  <si>
    <t>F 境界値</t>
  </si>
  <si>
    <t>グループ間</t>
  </si>
  <si>
    <t>グループ内</t>
  </si>
  <si>
    <t>t-検定: 等分散を仮定した２標本による検定</t>
  </si>
  <si>
    <t>観測数</t>
  </si>
  <si>
    <t>プールされた分散</t>
  </si>
  <si>
    <t>仮説平均との差異</t>
  </si>
  <si>
    <t xml:space="preserve">t </t>
  </si>
  <si>
    <t>P(T&lt;=t) 片側</t>
  </si>
  <si>
    <t>t 境界値 片側</t>
  </si>
  <si>
    <t>P(T&lt;=t) 両側</t>
  </si>
  <si>
    <t>t 境界値 両側</t>
  </si>
  <si>
    <t>AC count</t>
    <phoneticPr fontId="1"/>
  </si>
  <si>
    <t>AC value</t>
    <phoneticPr fontId="1"/>
  </si>
  <si>
    <t>AC positive count</t>
    <phoneticPr fontId="1"/>
  </si>
  <si>
    <t>NO Compassion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</si>
</sst>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71442753593624"/>
          <c:y val="0.17327684916578409"/>
          <c:w val="0.76673003957406882"/>
          <c:h val="0.61391098004360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'Figure(Str)'!$A$2</c:f>
              <c:strCache>
                <c:ptCount val="1"/>
                <c:pt idx="0">
                  <c:v>NO Compassion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  <a:beve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'Figure(Str)'!$B$7:$D$7</c15:sqref>
                    </c15:fullRef>
                  </c:ext>
                </c:extLst>
                <c:f>'Figure(Str)'!$B$7</c:f>
                <c:numCache>
                  <c:formatCode>General</c:formatCode>
                  <c:ptCount val="1"/>
                  <c:pt idx="0">
                    <c:v>7.8680595262614755E-2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'Figure(Str)'!$B$7:$D$7</c15:sqref>
                    </c15:fullRef>
                  </c:ext>
                </c:extLst>
                <c:f>'Figure(Str)'!$B$7</c:f>
                <c:numCache>
                  <c:formatCode>General</c:formatCode>
                  <c:ptCount val="1"/>
                  <c:pt idx="0">
                    <c:v>7.8680595262614755E-2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'Figure(Str)'!$B$1:$D$1</c15:sqref>
                  </c15:fullRef>
                </c:ext>
              </c:extLst>
              <c:f>'Figure(Str)'!$B$1</c:f>
              <c:strCache>
                <c:ptCount val="1"/>
                <c:pt idx="0">
                  <c:v>AC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'Figure(Str)'!$B$2:$D$2</c15:sqref>
                  </c15:fullRef>
                </c:ext>
              </c:extLst>
              <c:f>'Figure(Str)'!$B$2</c:f>
              <c:numCache>
                <c:formatCode>General</c:formatCode>
                <c:ptCount val="1"/>
                <c:pt idx="0">
                  <c:v>-0.99309446434183257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A0-4AED-B95D-3CB4889725D4}"/>
            </c:ext>
          </c:extLst>
        </c:ser>
        <c:ser>
          <c:idx val="1"/>
          <c:order val="1"/>
          <c:tx>
            <c:strRef>
              <c:f>'Figure(Str)'!$A$3</c:f>
              <c:strCache>
                <c:ptCount val="1"/>
                <c:pt idx="0">
                  <c:v>With Compassion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'Figure(Str)'!$B$8:$D$8</c15:sqref>
                    </c15:fullRef>
                  </c:ext>
                </c:extLst>
                <c:f>'Figure(Str)'!$B$8</c:f>
                <c:numCache>
                  <c:formatCode>General</c:formatCode>
                  <c:ptCount val="1"/>
                  <c:pt idx="0">
                    <c:v>7.1457432743612867E-2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'Figure(Str)'!$B$9:$D$9</c15:sqref>
                    </c15:fullRef>
                  </c:ext>
                </c:extLst>
                <c:f>'Figure(Str)'!$B$9</c:f>
                <c:numCache>
                  <c:formatCode>General</c:formatCode>
                  <c:ptCount val="1"/>
                  <c:pt idx="0">
                    <c:v>6.7891291183752395E-2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bevel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'Figure(Str)'!$B$1:$D$1</c15:sqref>
                  </c15:fullRef>
                </c:ext>
              </c:extLst>
              <c:f>'Figure(Str)'!$B$1</c:f>
              <c:strCache>
                <c:ptCount val="1"/>
                <c:pt idx="0">
                  <c:v>AC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'Figure(Str)'!$B$3:$D$3</c15:sqref>
                  </c15:fullRef>
                </c:ext>
              </c:extLst>
              <c:f>'Figure(Str)'!$B$3</c:f>
              <c:numCache>
                <c:formatCode>General</c:formatCode>
                <c:ptCount val="1"/>
                <c:pt idx="0">
                  <c:v>-0.76640110533208616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A0-4AED-B95D-3CB4889725D4}"/>
            </c:ext>
          </c:extLst>
        </c:ser>
        <c:ser>
          <c:idx val="2"/>
          <c:order val="2"/>
          <c:tx>
            <c:strRef>
              <c:f>'Figure(Str)'!$A$4</c:f>
              <c:strCache>
                <c:ptCount val="1"/>
                <c:pt idx="0">
                  <c:v>With Wrong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  <a:beve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'Figure(Str)'!$B$9:$D$9</c15:sqref>
                    </c15:fullRef>
                  </c:ext>
                </c:extLst>
                <c:f>'Figure(Str)'!$B$9</c:f>
                <c:numCache>
                  <c:formatCode>General</c:formatCode>
                  <c:ptCount val="1"/>
                  <c:pt idx="0">
                    <c:v>6.7891291183752395E-2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'Figure(Str)'!$B$9:$D$9</c15:sqref>
                    </c15:fullRef>
                  </c:ext>
                </c:extLst>
                <c:f>'Figure(Str)'!$B$9</c:f>
                <c:numCache>
                  <c:formatCode>General</c:formatCode>
                  <c:ptCount val="1"/>
                  <c:pt idx="0">
                    <c:v>6.7891291183752395E-2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bevel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'Figure(Str)'!$B$1:$D$1</c15:sqref>
                  </c15:fullRef>
                </c:ext>
              </c:extLst>
              <c:f>'Figure(Str)'!$B$1</c:f>
              <c:strCache>
                <c:ptCount val="1"/>
                <c:pt idx="0">
                  <c:v>AC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'Figure(Str)'!$B$4:$D$4</c15:sqref>
                  </c15:fullRef>
                </c:ext>
              </c:extLst>
              <c:f>'Figure(Str)'!$B$4</c:f>
              <c:numCache>
                <c:formatCode>General</c:formatCode>
                <c:ptCount val="1"/>
                <c:pt idx="0">
                  <c:v>-0.85505321872909401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A0-4AED-B95D-3CB488972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781135"/>
        <c:axId val="1019782383"/>
      </c:barChart>
      <c:catAx>
        <c:axId val="101978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 altLang="ja-JP" sz="1600" i="1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Generative</a:t>
                </a:r>
                <a:r>
                  <a:rPr lang="en-US" altLang="ja-JP" sz="1600" i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model </a:t>
                </a:r>
                <a:r>
                  <a:rPr lang="en-US" altLang="ja-JP" sz="16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in the Robot</a:t>
                </a:r>
                <a:endParaRPr lang="ja-JP" altLang="en-US" sz="160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0.32204484367230218"/>
              <c:y val="5.191905415335299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ja-JP"/>
          </a:p>
        </c:txPr>
        <c:crossAx val="1019782383"/>
        <c:crosses val="autoZero"/>
        <c:auto val="1"/>
        <c:lblAlgn val="ctr"/>
        <c:lblOffset val="100"/>
        <c:noMultiLvlLbl val="0"/>
      </c:catAx>
      <c:valAx>
        <c:axId val="1019782383"/>
        <c:scaling>
          <c:orientation val="minMax"/>
          <c:max val="0"/>
          <c:min val="-1.2"/>
        </c:scaling>
        <c:delete val="0"/>
        <c:axPos val="l"/>
        <c:majorGridlines>
          <c:spPr>
            <a:ln w="12700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Open Sans SemiBold" pitchFamily="2" charset="0"/>
                <a:cs typeface="Varela Round" panose="00000500000000000000" pitchFamily="2" charset="-79"/>
              </a:defRPr>
            </a:pPr>
            <a:endParaRPr lang="ja-JP"/>
          </a:p>
        </c:txPr>
        <c:crossAx val="1019781135"/>
        <c:crosses val="autoZero"/>
        <c:crossBetween val="between"/>
        <c:majorUnit val="0.4"/>
      </c:valAx>
      <c:spPr>
        <a:noFill/>
        <a:ln w="19050">
          <a:noFill/>
        </a:ln>
        <a:effectLst/>
      </c:spPr>
    </c:plotArea>
    <c:legend>
      <c:legendPos val="t"/>
      <c:layout>
        <c:manualLayout>
          <c:xMode val="edge"/>
          <c:yMode val="edge"/>
          <c:x val="0.14132976087993493"/>
          <c:y val="0.88137434834990358"/>
          <c:w val="0.8586702568914637"/>
          <c:h val="0.10669613666712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127017689510393"/>
          <c:y val="0.21090455600060939"/>
          <c:w val="0.73817431799608246"/>
          <c:h val="0.61391098004360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'Figure(Str)'!$A$2</c:f>
              <c:strCache>
                <c:ptCount val="1"/>
                <c:pt idx="0">
                  <c:v>NO Compassion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  <a:beve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'Figure(Str)'!$B$7:$D$7</c15:sqref>
                    </c15:fullRef>
                  </c:ext>
                </c:extLst>
                <c:f>'Figure(Str)'!$C$7</c:f>
                <c:numCache>
                  <c:formatCode>General</c:formatCode>
                  <c:ptCount val="1"/>
                  <c:pt idx="0">
                    <c:v>0.13594949494949488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'Figure(Str)'!$B$7:$D$7</c15:sqref>
                    </c15:fullRef>
                  </c:ext>
                </c:extLst>
                <c:f>'Figure(Str)'!$C$7</c:f>
                <c:numCache>
                  <c:formatCode>General</c:formatCode>
                  <c:ptCount val="1"/>
                  <c:pt idx="0">
                    <c:v>0.13594949494949488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'Figure(Str)'!$B$1:$D$1</c15:sqref>
                  </c15:fullRef>
                </c:ext>
              </c:extLst>
              <c:f>'Figure(Str)'!$C$1</c:f>
              <c:strCache>
                <c:ptCount val="1"/>
                <c:pt idx="0">
                  <c:v>AC count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'Figure(Str)'!$B$2:$D$2</c15:sqref>
                  </c15:fullRef>
                </c:ext>
              </c:extLst>
              <c:f>'Figure(Str)'!$C$2</c:f>
              <c:numCache>
                <c:formatCode>General</c:formatCode>
                <c:ptCount val="1"/>
                <c:pt idx="0">
                  <c:v>3.79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B-47A5-B9BA-52A6EA330AD2}"/>
            </c:ext>
          </c:extLst>
        </c:ser>
        <c:ser>
          <c:idx val="1"/>
          <c:order val="1"/>
          <c:tx>
            <c:strRef>
              <c:f>'Figure(Str)'!$A$3</c:f>
              <c:strCache>
                <c:ptCount val="1"/>
                <c:pt idx="0">
                  <c:v>With Compassion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'Figure(Str)'!$B$8:$D$8</c15:sqref>
                    </c15:fullRef>
                  </c:ext>
                </c:extLst>
                <c:f>'Figure(Str)'!$C$8</c:f>
                <c:numCache>
                  <c:formatCode>General</c:formatCode>
                  <c:ptCount val="1"/>
                  <c:pt idx="0">
                    <c:v>8.5606060606060602E-2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'Figure(Str)'!$B$9:$D$9</c15:sqref>
                    </c15:fullRef>
                  </c:ext>
                </c:extLst>
                <c:f>'Figure(Str)'!$C$9</c:f>
                <c:numCache>
                  <c:formatCode>General</c:formatCode>
                  <c:ptCount val="1"/>
                  <c:pt idx="0">
                    <c:v>9.6808080808080718E-2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bevel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'Figure(Str)'!$B$1:$D$1</c15:sqref>
                  </c15:fullRef>
                </c:ext>
              </c:extLst>
              <c:f>'Figure(Str)'!$C$1</c:f>
              <c:strCache>
                <c:ptCount val="1"/>
                <c:pt idx="0">
                  <c:v>AC count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'Figure(Str)'!$B$3:$D$3</c15:sqref>
                  </c15:fullRef>
                </c:ext>
              </c:extLst>
              <c:f>'Figure(Str)'!$C$3</c:f>
              <c:numCache>
                <c:formatCode>General</c:formatCode>
                <c:ptCount val="1"/>
                <c:pt idx="0">
                  <c:v>4.1500000000000004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1B-47A5-B9BA-52A6EA330AD2}"/>
            </c:ext>
          </c:extLst>
        </c:ser>
        <c:ser>
          <c:idx val="2"/>
          <c:order val="2"/>
          <c:tx>
            <c:strRef>
              <c:f>'Figure(Str)'!$A$4</c:f>
              <c:strCache>
                <c:ptCount val="1"/>
                <c:pt idx="0">
                  <c:v>With Wrong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  <a:beve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'Figure(Str)'!$B$9:$D$9</c15:sqref>
                    </c15:fullRef>
                  </c:ext>
                </c:extLst>
                <c:f>'Figure(Str)'!$C$9</c:f>
                <c:numCache>
                  <c:formatCode>General</c:formatCode>
                  <c:ptCount val="1"/>
                  <c:pt idx="0">
                    <c:v>9.6808080808080718E-2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'Figure(Str)'!$B$9:$D$9</c15:sqref>
                    </c15:fullRef>
                  </c:ext>
                </c:extLst>
                <c:f>'Figure(Str)'!$C$9</c:f>
                <c:numCache>
                  <c:formatCode>General</c:formatCode>
                  <c:ptCount val="1"/>
                  <c:pt idx="0">
                    <c:v>9.6808080808080718E-2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bevel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'Figure(Str)'!$B$1:$D$1</c15:sqref>
                  </c15:fullRef>
                </c:ext>
              </c:extLst>
              <c:f>'Figure(Str)'!$C$1</c:f>
              <c:strCache>
                <c:ptCount val="1"/>
                <c:pt idx="0">
                  <c:v>AC count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'Figure(Str)'!$B$4:$D$4</c15:sqref>
                  </c15:fullRef>
                </c:ext>
              </c:extLst>
              <c:f>'Figure(Str)'!$C$4</c:f>
              <c:numCache>
                <c:formatCode>General</c:formatCode>
                <c:ptCount val="1"/>
                <c:pt idx="0">
                  <c:v>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1B-47A5-B9BA-52A6EA330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781135"/>
        <c:axId val="1019782383"/>
      </c:barChart>
      <c:catAx>
        <c:axId val="101978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 altLang="ja-JP" sz="1600" i="1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Generative</a:t>
                </a:r>
                <a:r>
                  <a:rPr lang="en-US" altLang="ja-JP" sz="1600" i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model </a:t>
                </a:r>
                <a:r>
                  <a:rPr lang="en-US" altLang="ja-JP" sz="16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in the Robot</a:t>
                </a:r>
                <a:endParaRPr lang="ja-JP" altLang="en-US" sz="160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0.31980271896064799"/>
              <c:y val="0.881653657834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ja-JP"/>
          </a:p>
        </c:txPr>
        <c:crossAx val="1019782383"/>
        <c:crosses val="autoZero"/>
        <c:auto val="1"/>
        <c:lblAlgn val="ctr"/>
        <c:lblOffset val="100"/>
        <c:noMultiLvlLbl val="0"/>
      </c:catAx>
      <c:valAx>
        <c:axId val="1019782383"/>
        <c:scaling>
          <c:orientation val="minMax"/>
          <c:max val="4.5"/>
          <c:min val="3"/>
        </c:scaling>
        <c:delete val="0"/>
        <c:axPos val="l"/>
        <c:majorGridlines>
          <c:spPr>
            <a:ln w="12700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Open Sans SemiBold" pitchFamily="2" charset="0"/>
                <a:cs typeface="Varela Round" panose="00000500000000000000" pitchFamily="2" charset="-79"/>
              </a:defRPr>
            </a:pPr>
            <a:endParaRPr lang="ja-JP"/>
          </a:p>
        </c:txPr>
        <c:crossAx val="1019781135"/>
        <c:crosses val="autoZero"/>
        <c:crossBetween val="between"/>
        <c:majorUnit val="0.5"/>
      </c:valAx>
      <c:spPr>
        <a:noFill/>
        <a:ln w="19050">
          <a:noFill/>
        </a:ln>
        <a:effectLst/>
      </c:spPr>
    </c:plotArea>
    <c:legend>
      <c:legendPos val="t"/>
      <c:layout>
        <c:manualLayout>
          <c:xMode val="edge"/>
          <c:yMode val="edge"/>
          <c:x val="0.1413297431085363"/>
          <c:y val="1.4421520730966907E-3"/>
          <c:w val="0.8586702568914637"/>
          <c:h val="0.10669613666712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16998920285466"/>
          <c:y val="0.21090455600060939"/>
          <c:w val="0.73774453778561966"/>
          <c:h val="0.61391098004360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'Figure(Str)'!$A$2</c:f>
              <c:strCache>
                <c:ptCount val="1"/>
                <c:pt idx="0">
                  <c:v>NO Compassion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  <a:beve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'Figure(Str)'!$B$7:$D$7</c15:sqref>
                    </c15:fullRef>
                  </c:ext>
                </c:extLst>
                <c:f>'Figure(Str)'!$D$7</c:f>
                <c:numCache>
                  <c:formatCode>General</c:formatCode>
                  <c:ptCount val="1"/>
                  <c:pt idx="0">
                    <c:v>6.8139643781101142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'Figure(Str)'!$B$7:$D$7</c15:sqref>
                    </c15:fullRef>
                  </c:ext>
                </c:extLst>
                <c:f>'Figure(Str)'!$D$7</c:f>
                <c:numCache>
                  <c:formatCode>General</c:formatCode>
                  <c:ptCount val="1"/>
                  <c:pt idx="0">
                    <c:v>6.8139643781101142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'Figure(Str)'!$B$1:$D$1</c15:sqref>
                  </c15:fullRef>
                </c:ext>
              </c:extLst>
              <c:f>'Figure(Str)'!$D$1</c:f>
              <c:strCache>
                <c:ptCount val="1"/>
                <c:pt idx="0">
                  <c:v>Theta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'Figure(Str)'!$B$2:$D$2</c15:sqref>
                  </c15:fullRef>
                </c:ext>
              </c:extLst>
              <c:f>'Figure(Str)'!$D$2</c:f>
              <c:numCache>
                <c:formatCode>General</c:formatCode>
                <c:ptCount val="1"/>
                <c:pt idx="0">
                  <c:v>23.734265975923236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A-42E2-BE1D-7A20D99E8B56}"/>
            </c:ext>
          </c:extLst>
        </c:ser>
        <c:ser>
          <c:idx val="1"/>
          <c:order val="1"/>
          <c:tx>
            <c:strRef>
              <c:f>'Figure(Str)'!$A$3</c:f>
              <c:strCache>
                <c:ptCount val="1"/>
                <c:pt idx="0">
                  <c:v>With Compassion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'Figure(Str)'!$B$8:$D$8</c15:sqref>
                    </c15:fullRef>
                  </c:ext>
                </c:extLst>
                <c:f>'Figure(Str)'!$D$8</c:f>
                <c:numCache>
                  <c:formatCode>General</c:formatCode>
                  <c:ptCount val="1"/>
                  <c:pt idx="0">
                    <c:v>5.3854997539735665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'Figure(Str)'!$B$9:$D$9</c15:sqref>
                    </c15:fullRef>
                  </c:ext>
                </c:extLst>
                <c:f>'Figure(Str)'!$D$9</c:f>
                <c:numCache>
                  <c:formatCode>General</c:formatCode>
                  <c:ptCount val="1"/>
                  <c:pt idx="0">
                    <c:v>7.0724823704946429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bevel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'Figure(Str)'!$B$1:$D$1</c15:sqref>
                  </c15:fullRef>
                </c:ext>
              </c:extLst>
              <c:f>'Figure(Str)'!$D$1</c:f>
              <c:strCache>
                <c:ptCount val="1"/>
                <c:pt idx="0">
                  <c:v>Theta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'Figure(Str)'!$B$3:$D$3</c15:sqref>
                  </c15:fullRef>
                </c:ext>
              </c:extLst>
              <c:f>'Figure(Str)'!$D$3</c:f>
              <c:numCache>
                <c:formatCode>General</c:formatCode>
                <c:ptCount val="1"/>
                <c:pt idx="0">
                  <c:v>20.553787140366854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3A-42E2-BE1D-7A20D99E8B56}"/>
            </c:ext>
          </c:extLst>
        </c:ser>
        <c:ser>
          <c:idx val="2"/>
          <c:order val="2"/>
          <c:tx>
            <c:strRef>
              <c:f>'Figure(Str)'!$A$4</c:f>
              <c:strCache>
                <c:ptCount val="1"/>
                <c:pt idx="0">
                  <c:v>With Wrong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  <a:beve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'Figure(Str)'!$B$9:$D$9</c15:sqref>
                    </c15:fullRef>
                  </c:ext>
                </c:extLst>
                <c:f>'Figure(Str)'!$D$9</c:f>
                <c:numCache>
                  <c:formatCode>General</c:formatCode>
                  <c:ptCount val="1"/>
                  <c:pt idx="0">
                    <c:v>7.0724823704946429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'Figure(Str)'!$B$9:$D$9</c15:sqref>
                    </c15:fullRef>
                  </c:ext>
                </c:extLst>
                <c:f>'Figure(Str)'!$D$9</c:f>
                <c:numCache>
                  <c:formatCode>General</c:formatCode>
                  <c:ptCount val="1"/>
                  <c:pt idx="0">
                    <c:v>7.0724823704946429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bevel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'Figure(Str)'!$B$1:$D$1</c15:sqref>
                  </c15:fullRef>
                </c:ext>
              </c:extLst>
              <c:f>'Figure(Str)'!$D$1</c:f>
              <c:strCache>
                <c:ptCount val="1"/>
                <c:pt idx="0">
                  <c:v>Theta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'Figure(Str)'!$B$4:$D$4</c15:sqref>
                  </c15:fullRef>
                </c:ext>
              </c:extLst>
              <c:f>'Figure(Str)'!$D$4</c:f>
              <c:numCache>
                <c:formatCode>General</c:formatCode>
                <c:ptCount val="1"/>
                <c:pt idx="0">
                  <c:v>22.807566151906485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3A-42E2-BE1D-7A20D99E8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781135"/>
        <c:axId val="1019782383"/>
      </c:barChart>
      <c:catAx>
        <c:axId val="101978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 altLang="ja-JP" sz="1600" i="1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Generative</a:t>
                </a:r>
                <a:r>
                  <a:rPr lang="en-US" altLang="ja-JP" sz="1600" i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model </a:t>
                </a:r>
                <a:r>
                  <a:rPr lang="en-US" altLang="ja-JP" sz="16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in the Robot</a:t>
                </a:r>
                <a:endParaRPr lang="ja-JP" altLang="en-US" sz="160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0.31980271896064799"/>
              <c:y val="0.881653657834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ja-JP"/>
          </a:p>
        </c:txPr>
        <c:crossAx val="1019782383"/>
        <c:crosses val="autoZero"/>
        <c:auto val="1"/>
        <c:lblAlgn val="ctr"/>
        <c:lblOffset val="100"/>
        <c:noMultiLvlLbl val="0"/>
      </c:catAx>
      <c:valAx>
        <c:axId val="1019782383"/>
        <c:scaling>
          <c:orientation val="minMax"/>
          <c:max val="40"/>
          <c:min val="0"/>
        </c:scaling>
        <c:delete val="0"/>
        <c:axPos val="l"/>
        <c:majorGridlines>
          <c:spPr>
            <a:ln w="12700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Open Sans SemiBold" pitchFamily="2" charset="0"/>
                <a:cs typeface="Varela Round" panose="00000500000000000000" pitchFamily="2" charset="-79"/>
              </a:defRPr>
            </a:pPr>
            <a:endParaRPr lang="ja-JP"/>
          </a:p>
        </c:txPr>
        <c:crossAx val="1019781135"/>
        <c:crosses val="autoZero"/>
        <c:crossBetween val="between"/>
        <c:majorUnit val="10"/>
      </c:valAx>
      <c:spPr>
        <a:noFill/>
        <a:ln w="19050">
          <a:noFill/>
        </a:ln>
        <a:effectLst/>
      </c:spPr>
    </c:plotArea>
    <c:legend>
      <c:legendPos val="t"/>
      <c:layout>
        <c:manualLayout>
          <c:xMode val="edge"/>
          <c:yMode val="edge"/>
          <c:x val="0.1413297431085363"/>
          <c:y val="1.4421520730966907E-3"/>
          <c:w val="0.8586702568914637"/>
          <c:h val="0.10669613666712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71442753593624"/>
          <c:y val="0.17327684916578409"/>
          <c:w val="0.76673003957406882"/>
          <c:h val="0.61391098004360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'Figure(Right)'!$A$2</c:f>
              <c:strCache>
                <c:ptCount val="1"/>
                <c:pt idx="0">
                  <c:v>NO Compassion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  <a:beve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'Figure(Right)'!$B$7:$D$7</c15:sqref>
                    </c15:fullRef>
                  </c:ext>
                </c:extLst>
                <c:f>'Figure(Right)'!$B$7</c:f>
                <c:numCache>
                  <c:formatCode>General</c:formatCode>
                  <c:ptCount val="1"/>
                  <c:pt idx="0">
                    <c:v>0.11542434475566363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'Figure(Right)'!$B$7:$D$7</c15:sqref>
                    </c15:fullRef>
                  </c:ext>
                </c:extLst>
                <c:f>'Figure(Right)'!$B$7</c:f>
                <c:numCache>
                  <c:formatCode>General</c:formatCode>
                  <c:ptCount val="1"/>
                  <c:pt idx="0">
                    <c:v>0.11542434475566363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'Figure(Right)'!$B$1:$D$1</c15:sqref>
                  </c15:fullRef>
                </c:ext>
              </c:extLst>
              <c:f>'Figure(Right)'!$B$1</c:f>
              <c:strCache>
                <c:ptCount val="1"/>
                <c:pt idx="0">
                  <c:v>AC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'Figure(Right)'!$B$2:$D$2</c15:sqref>
                  </c15:fullRef>
                </c:ext>
              </c:extLst>
              <c:f>'Figure(Right)'!$B$2</c:f>
              <c:numCache>
                <c:formatCode>General</c:formatCode>
                <c:ptCount val="1"/>
                <c:pt idx="0">
                  <c:v>-0.8769535612049576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0-4013-AAAC-A6A29C8459B1}"/>
            </c:ext>
          </c:extLst>
        </c:ser>
        <c:ser>
          <c:idx val="1"/>
          <c:order val="1"/>
          <c:tx>
            <c:strRef>
              <c:f>'Figure(Right)'!$A$3</c:f>
              <c:strCache>
                <c:ptCount val="1"/>
                <c:pt idx="0">
                  <c:v>With Compassion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'Figure(Right)'!$B$8:$D$8</c15:sqref>
                    </c15:fullRef>
                  </c:ext>
                </c:extLst>
                <c:f>'Figure(Right)'!$B$8</c:f>
                <c:numCache>
                  <c:formatCode>General</c:formatCode>
                  <c:ptCount val="1"/>
                  <c:pt idx="0">
                    <c:v>0.1076078675023486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'Figure(Right)'!$B$9:$D$9</c15:sqref>
                    </c15:fullRef>
                  </c:ext>
                </c:extLst>
                <c:f>'Figure(Right)'!$B$9</c:f>
                <c:numCache>
                  <c:formatCode>General</c:formatCode>
                  <c:ptCount val="1"/>
                  <c:pt idx="0">
                    <c:v>0.1147849757218485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bevel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'Figure(Right)'!$B$1:$D$1</c15:sqref>
                  </c15:fullRef>
                </c:ext>
              </c:extLst>
              <c:f>'Figure(Right)'!$B$1</c:f>
              <c:strCache>
                <c:ptCount val="1"/>
                <c:pt idx="0">
                  <c:v>AC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'Figure(Right)'!$B$3:$D$3</c15:sqref>
                  </c15:fullRef>
                </c:ext>
              </c:extLst>
              <c:f>'Figure(Right)'!$B$3</c:f>
              <c:numCache>
                <c:formatCode>General</c:formatCode>
                <c:ptCount val="1"/>
                <c:pt idx="0">
                  <c:v>-0.4696505551844592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0-4013-AAAC-A6A29C8459B1}"/>
            </c:ext>
          </c:extLst>
        </c:ser>
        <c:ser>
          <c:idx val="2"/>
          <c:order val="2"/>
          <c:tx>
            <c:strRef>
              <c:f>'Figure(Right)'!$A$4</c:f>
              <c:strCache>
                <c:ptCount val="1"/>
                <c:pt idx="0">
                  <c:v>With Wrong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  <a:beve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'Figure(Right)'!$B$9:$D$9</c15:sqref>
                    </c15:fullRef>
                  </c:ext>
                </c:extLst>
                <c:f>'Figure(Right)'!$B$9</c:f>
                <c:numCache>
                  <c:formatCode>General</c:formatCode>
                  <c:ptCount val="1"/>
                  <c:pt idx="0">
                    <c:v>0.1147849757218485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'Figure(Right)'!$B$9:$D$9</c15:sqref>
                    </c15:fullRef>
                  </c:ext>
                </c:extLst>
                <c:f>'Figure(Right)'!$B$9</c:f>
                <c:numCache>
                  <c:formatCode>General</c:formatCode>
                  <c:ptCount val="1"/>
                  <c:pt idx="0">
                    <c:v>0.1147849757218485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bevel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'Figure(Right)'!$B$1:$D$1</c15:sqref>
                  </c15:fullRef>
                </c:ext>
              </c:extLst>
              <c:f>'Figure(Right)'!$B$1</c:f>
              <c:strCache>
                <c:ptCount val="1"/>
                <c:pt idx="0">
                  <c:v>AC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'Figure(Right)'!$B$4:$D$4</c15:sqref>
                  </c15:fullRef>
                </c:ext>
              </c:extLst>
              <c:f>'Figure(Right)'!$B$4</c:f>
              <c:numCache>
                <c:formatCode>General</c:formatCode>
                <c:ptCount val="1"/>
                <c:pt idx="0">
                  <c:v>-0.74730956288261841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E0-4013-AAAC-A6A29C845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781135"/>
        <c:axId val="1019782383"/>
      </c:barChart>
      <c:catAx>
        <c:axId val="101978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 altLang="ja-JP" sz="1600" i="1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Generative</a:t>
                </a:r>
                <a:r>
                  <a:rPr lang="en-US" altLang="ja-JP" sz="1600" i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model </a:t>
                </a:r>
                <a:r>
                  <a:rPr lang="en-US" altLang="ja-JP" sz="16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in the Robot</a:t>
                </a:r>
                <a:endParaRPr lang="ja-JP" altLang="en-US" sz="160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0.32204484367230218"/>
              <c:y val="5.191905415335299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ja-JP"/>
          </a:p>
        </c:txPr>
        <c:crossAx val="1019782383"/>
        <c:crosses val="autoZero"/>
        <c:auto val="1"/>
        <c:lblAlgn val="ctr"/>
        <c:lblOffset val="100"/>
        <c:noMultiLvlLbl val="0"/>
      </c:catAx>
      <c:valAx>
        <c:axId val="1019782383"/>
        <c:scaling>
          <c:orientation val="minMax"/>
          <c:max val="0"/>
          <c:min val="-1.2"/>
        </c:scaling>
        <c:delete val="0"/>
        <c:axPos val="l"/>
        <c:majorGridlines>
          <c:spPr>
            <a:ln w="12700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Open Sans SemiBold" pitchFamily="2" charset="0"/>
                <a:cs typeface="Varela Round" panose="00000500000000000000" pitchFamily="2" charset="-79"/>
              </a:defRPr>
            </a:pPr>
            <a:endParaRPr lang="ja-JP"/>
          </a:p>
        </c:txPr>
        <c:crossAx val="1019781135"/>
        <c:crosses val="autoZero"/>
        <c:crossBetween val="between"/>
        <c:majorUnit val="0.4"/>
      </c:valAx>
      <c:spPr>
        <a:noFill/>
        <a:ln w="19050">
          <a:noFill/>
        </a:ln>
        <a:effectLst/>
      </c:spPr>
    </c:plotArea>
    <c:legend>
      <c:legendPos val="t"/>
      <c:layout>
        <c:manualLayout>
          <c:xMode val="edge"/>
          <c:yMode val="edge"/>
          <c:x val="0.14132976087993493"/>
          <c:y val="0.88137434834990358"/>
          <c:w val="0.8586702568914637"/>
          <c:h val="0.10669613666712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51593856640682"/>
          <c:y val="0.21090455600060939"/>
          <c:w val="0.73192859864784443"/>
          <c:h val="0.61391098004360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'Figure(Right)'!$A$2</c:f>
              <c:strCache>
                <c:ptCount val="1"/>
                <c:pt idx="0">
                  <c:v>NO Compassion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  <a:beve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'Figure(Right)'!$B$7:$D$7</c15:sqref>
                    </c15:fullRef>
                  </c:ext>
                </c:extLst>
                <c:f>'Figure(Right)'!$C$7</c:f>
                <c:numCache>
                  <c:formatCode>General</c:formatCode>
                  <c:ptCount val="1"/>
                  <c:pt idx="0">
                    <c:v>0.15429292929292932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'Figure(Right)'!$B$7:$D$7</c15:sqref>
                    </c15:fullRef>
                  </c:ext>
                </c:extLst>
                <c:f>'Figure(Right)'!$C$7</c:f>
                <c:numCache>
                  <c:formatCode>General</c:formatCode>
                  <c:ptCount val="1"/>
                  <c:pt idx="0">
                    <c:v>0.15429292929292932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'Figure(Right)'!$B$1:$D$1</c15:sqref>
                  </c15:fullRef>
                </c:ext>
              </c:extLst>
              <c:f>'Figure(Right)'!$C$1</c:f>
              <c:strCache>
                <c:ptCount val="1"/>
                <c:pt idx="0">
                  <c:v>AC count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'Figure(Right)'!$B$2:$D$2</c15:sqref>
                  </c15:fullRef>
                </c:ext>
              </c:extLst>
              <c:f>'Figure(Right)'!$C$2</c:f>
              <c:numCache>
                <c:formatCode>General</c:formatCode>
                <c:ptCount val="1"/>
                <c:pt idx="0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4-4963-B730-11CB7A448B77}"/>
            </c:ext>
          </c:extLst>
        </c:ser>
        <c:ser>
          <c:idx val="1"/>
          <c:order val="1"/>
          <c:tx>
            <c:strRef>
              <c:f>'Figure(Right)'!$A$3</c:f>
              <c:strCache>
                <c:ptCount val="1"/>
                <c:pt idx="0">
                  <c:v>With Compassion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'Figure(Right)'!$B$8:$D$8</c15:sqref>
                    </c15:fullRef>
                  </c:ext>
                </c:extLst>
                <c:f>'Figure(Right)'!$C$8</c:f>
                <c:numCache>
                  <c:formatCode>General</c:formatCode>
                  <c:ptCount val="1"/>
                  <c:pt idx="0">
                    <c:v>0.16157575757575762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'Figure(Right)'!$B$9:$D$9</c15:sqref>
                    </c15:fullRef>
                  </c:ext>
                </c:extLst>
                <c:f>'Figure(Right)'!$C$9</c:f>
                <c:numCache>
                  <c:formatCode>General</c:formatCode>
                  <c:ptCount val="1"/>
                  <c:pt idx="0">
                    <c:v>0.15672727272727269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bevel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'Figure(Right)'!$B$1:$D$1</c15:sqref>
                  </c15:fullRef>
                </c:ext>
              </c:extLst>
              <c:f>'Figure(Right)'!$C$1</c:f>
              <c:strCache>
                <c:ptCount val="1"/>
                <c:pt idx="0">
                  <c:v>AC count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'Figure(Right)'!$B$3:$D$3</c15:sqref>
                  </c15:fullRef>
                </c:ext>
              </c:extLst>
              <c:f>'Figure(Right)'!$C$3</c:f>
              <c:numCache>
                <c:formatCode>General</c:formatCode>
                <c:ptCount val="1"/>
                <c:pt idx="0">
                  <c:v>3.02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4-4963-B730-11CB7A448B77}"/>
            </c:ext>
          </c:extLst>
        </c:ser>
        <c:ser>
          <c:idx val="2"/>
          <c:order val="2"/>
          <c:tx>
            <c:strRef>
              <c:f>'Figure(Right)'!$A$4</c:f>
              <c:strCache>
                <c:ptCount val="1"/>
                <c:pt idx="0">
                  <c:v>With Wrong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  <a:beve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'Figure(Right)'!$B$9:$D$9</c15:sqref>
                    </c15:fullRef>
                  </c:ext>
                </c:extLst>
                <c:f>'Figure(Right)'!$C$9</c:f>
                <c:numCache>
                  <c:formatCode>General</c:formatCode>
                  <c:ptCount val="1"/>
                  <c:pt idx="0">
                    <c:v>0.15672727272727269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'Figure(Right)'!$B$9:$D$9</c15:sqref>
                    </c15:fullRef>
                  </c:ext>
                </c:extLst>
                <c:f>'Figure(Right)'!$C$9</c:f>
                <c:numCache>
                  <c:formatCode>General</c:formatCode>
                  <c:ptCount val="1"/>
                  <c:pt idx="0">
                    <c:v>0.15672727272727269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bevel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'Figure(Right)'!$B$1:$D$1</c15:sqref>
                  </c15:fullRef>
                </c:ext>
              </c:extLst>
              <c:f>'Figure(Right)'!$C$1</c:f>
              <c:strCache>
                <c:ptCount val="1"/>
                <c:pt idx="0">
                  <c:v>AC count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'Figure(Right)'!$B$4:$D$4</c15:sqref>
                  </c15:fullRef>
                </c:ext>
              </c:extLst>
              <c:f>'Figure(Right)'!$C$4</c:f>
              <c:numCache>
                <c:formatCode>General</c:formatCode>
                <c:ptCount val="1"/>
                <c:pt idx="0">
                  <c:v>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34-4963-B730-11CB7A448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781135"/>
        <c:axId val="1019782383"/>
      </c:barChart>
      <c:catAx>
        <c:axId val="101978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 altLang="ja-JP" sz="1600" i="1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Generative</a:t>
                </a:r>
                <a:r>
                  <a:rPr lang="en-US" altLang="ja-JP" sz="1600" i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model </a:t>
                </a:r>
                <a:r>
                  <a:rPr lang="en-US" altLang="ja-JP" sz="16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in the Robot</a:t>
                </a:r>
                <a:endParaRPr lang="ja-JP" altLang="en-US" sz="160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0.31980271896064799"/>
              <c:y val="0.881653657834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ja-JP"/>
          </a:p>
        </c:txPr>
        <c:crossAx val="1019782383"/>
        <c:crosses val="autoZero"/>
        <c:auto val="1"/>
        <c:lblAlgn val="ctr"/>
        <c:lblOffset val="100"/>
        <c:noMultiLvlLbl val="0"/>
      </c:catAx>
      <c:valAx>
        <c:axId val="1019782383"/>
        <c:scaling>
          <c:orientation val="minMax"/>
          <c:min val="1.5"/>
        </c:scaling>
        <c:delete val="0"/>
        <c:axPos val="l"/>
        <c:majorGridlines>
          <c:spPr>
            <a:ln w="12700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Open Sans SemiBold" pitchFamily="2" charset="0"/>
                <a:cs typeface="Varela Round" panose="00000500000000000000" pitchFamily="2" charset="-79"/>
              </a:defRPr>
            </a:pPr>
            <a:endParaRPr lang="ja-JP"/>
          </a:p>
        </c:txPr>
        <c:crossAx val="1019781135"/>
        <c:crosses val="autoZero"/>
        <c:crossBetween val="between"/>
        <c:majorUnit val="0.5"/>
      </c:valAx>
      <c:spPr>
        <a:noFill/>
        <a:ln w="19050">
          <a:noFill/>
        </a:ln>
        <a:effectLst/>
      </c:spPr>
    </c:plotArea>
    <c:legend>
      <c:legendPos val="t"/>
      <c:layout>
        <c:manualLayout>
          <c:xMode val="edge"/>
          <c:yMode val="edge"/>
          <c:x val="0.1413297431085363"/>
          <c:y val="1.4421520730966907E-3"/>
          <c:w val="0.8586702568914637"/>
          <c:h val="0.10669613666712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816903568872073"/>
          <c:y val="0.21090455600060939"/>
          <c:w val="0.72127552237788461"/>
          <c:h val="0.61391098004360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'Figure(Right)'!$A$2</c:f>
              <c:strCache>
                <c:ptCount val="1"/>
                <c:pt idx="0">
                  <c:v>NO Compassion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  <a:beve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'Figure(Right)'!$B$7:$D$7</c15:sqref>
                    </c15:fullRef>
                  </c:ext>
                </c:extLst>
                <c:f>'Figure(Right)'!$D$7</c:f>
                <c:numCache>
                  <c:formatCode>General</c:formatCode>
                  <c:ptCount val="1"/>
                  <c:pt idx="0">
                    <c:v>3.8079714983104269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'Figure(Right)'!$B$7:$D$7</c15:sqref>
                    </c15:fullRef>
                  </c:ext>
                </c:extLst>
                <c:f>'Figure(Right)'!$D$7</c:f>
                <c:numCache>
                  <c:formatCode>General</c:formatCode>
                  <c:ptCount val="1"/>
                  <c:pt idx="0">
                    <c:v>3.8079714983104269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'Figure(Right)'!$B$1:$D$1</c15:sqref>
                  </c15:fullRef>
                </c:ext>
              </c:extLst>
              <c:f>'Figure(Right)'!$D$1</c:f>
              <c:strCache>
                <c:ptCount val="1"/>
                <c:pt idx="0">
                  <c:v>Theta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'Figure(Right)'!$B$2:$D$2</c15:sqref>
                  </c15:fullRef>
                </c:ext>
              </c:extLst>
              <c:f>'Figure(Right)'!$D$2</c:f>
              <c:numCache>
                <c:formatCode>General</c:formatCode>
                <c:ptCount val="1"/>
                <c:pt idx="0">
                  <c:v>22.333752989588604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9-429F-923B-C3C7E1EB6FD3}"/>
            </c:ext>
          </c:extLst>
        </c:ser>
        <c:ser>
          <c:idx val="1"/>
          <c:order val="1"/>
          <c:tx>
            <c:strRef>
              <c:f>'Figure(Right)'!$A$3</c:f>
              <c:strCache>
                <c:ptCount val="1"/>
                <c:pt idx="0">
                  <c:v>With Compassion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'Figure(Right)'!$B$8:$D$8</c15:sqref>
                    </c15:fullRef>
                  </c:ext>
                </c:extLst>
                <c:f>'Figure(Right)'!$D$8</c:f>
                <c:numCache>
                  <c:formatCode>General</c:formatCode>
                  <c:ptCount val="1"/>
                  <c:pt idx="0">
                    <c:v>2.2146215929133692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'Figure(Right)'!$B$9:$D$9</c15:sqref>
                    </c15:fullRef>
                  </c:ext>
                </c:extLst>
                <c:f>'Figure(Right)'!$D$9</c:f>
                <c:numCache>
                  <c:formatCode>General</c:formatCode>
                  <c:ptCount val="1"/>
                  <c:pt idx="0">
                    <c:v>3.3555273027709966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bevel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'Figure(Right)'!$B$1:$D$1</c15:sqref>
                  </c15:fullRef>
                </c:ext>
              </c:extLst>
              <c:f>'Figure(Right)'!$D$1</c:f>
              <c:strCache>
                <c:ptCount val="1"/>
                <c:pt idx="0">
                  <c:v>Theta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'Figure(Right)'!$B$3:$D$3</c15:sqref>
                  </c15:fullRef>
                </c:ext>
              </c:extLst>
              <c:f>'Figure(Right)'!$D$3</c:f>
              <c:numCache>
                <c:formatCode>General</c:formatCode>
                <c:ptCount val="1"/>
                <c:pt idx="0">
                  <c:v>21.754804162841069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D9-429F-923B-C3C7E1EB6FD3}"/>
            </c:ext>
          </c:extLst>
        </c:ser>
        <c:ser>
          <c:idx val="2"/>
          <c:order val="2"/>
          <c:tx>
            <c:strRef>
              <c:f>'Figure(Right)'!$A$4</c:f>
              <c:strCache>
                <c:ptCount val="1"/>
                <c:pt idx="0">
                  <c:v>With Wrong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  <a:beve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'Figure(Right)'!$B$9:$D$9</c15:sqref>
                    </c15:fullRef>
                  </c:ext>
                </c:extLst>
                <c:f>'Figure(Right)'!$D$9</c:f>
                <c:numCache>
                  <c:formatCode>General</c:formatCode>
                  <c:ptCount val="1"/>
                  <c:pt idx="0">
                    <c:v>3.3555273027709966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'Figure(Right)'!$B$9:$D$9</c15:sqref>
                    </c15:fullRef>
                  </c:ext>
                </c:extLst>
                <c:f>'Figure(Right)'!$D$9</c:f>
                <c:numCache>
                  <c:formatCode>General</c:formatCode>
                  <c:ptCount val="1"/>
                  <c:pt idx="0">
                    <c:v>3.3555273027709966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bevel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'Figure(Right)'!$B$1:$D$1</c15:sqref>
                  </c15:fullRef>
                </c:ext>
              </c:extLst>
              <c:f>'Figure(Right)'!$D$1</c:f>
              <c:strCache>
                <c:ptCount val="1"/>
                <c:pt idx="0">
                  <c:v>Theta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'Figure(Right)'!$B$4:$D$4</c15:sqref>
                  </c15:fullRef>
                </c:ext>
              </c:extLst>
              <c:f>'Figure(Right)'!$D$4</c:f>
              <c:numCache>
                <c:formatCode>General</c:formatCode>
                <c:ptCount val="1"/>
                <c:pt idx="0">
                  <c:v>22.414218801882889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D9-429F-923B-C3C7E1EB6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781135"/>
        <c:axId val="1019782383"/>
      </c:barChart>
      <c:catAx>
        <c:axId val="101978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 altLang="ja-JP" sz="1600" i="1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Generative</a:t>
                </a:r>
                <a:r>
                  <a:rPr lang="en-US" altLang="ja-JP" sz="1600" i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model </a:t>
                </a:r>
                <a:r>
                  <a:rPr lang="en-US" altLang="ja-JP" sz="16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in the Robot</a:t>
                </a:r>
                <a:endParaRPr lang="ja-JP" altLang="en-US" sz="160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0.31980271896064799"/>
              <c:y val="0.881653657834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ja-JP"/>
          </a:p>
        </c:txPr>
        <c:crossAx val="1019782383"/>
        <c:crosses val="autoZero"/>
        <c:auto val="1"/>
        <c:lblAlgn val="ctr"/>
        <c:lblOffset val="100"/>
        <c:noMultiLvlLbl val="0"/>
      </c:catAx>
      <c:valAx>
        <c:axId val="1019782383"/>
        <c:scaling>
          <c:orientation val="minMax"/>
          <c:max val="40"/>
          <c:min val="0"/>
        </c:scaling>
        <c:delete val="0"/>
        <c:axPos val="l"/>
        <c:majorGridlines>
          <c:spPr>
            <a:ln w="12700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Open Sans SemiBold" pitchFamily="2" charset="0"/>
                <a:cs typeface="Varela Round" panose="00000500000000000000" pitchFamily="2" charset="-79"/>
              </a:defRPr>
            </a:pPr>
            <a:endParaRPr lang="ja-JP"/>
          </a:p>
        </c:txPr>
        <c:crossAx val="1019781135"/>
        <c:crosses val="autoZero"/>
        <c:crossBetween val="between"/>
        <c:majorUnit val="10"/>
      </c:valAx>
      <c:spPr>
        <a:noFill/>
        <a:ln w="19050">
          <a:noFill/>
        </a:ln>
        <a:effectLst/>
      </c:spPr>
    </c:plotArea>
    <c:legend>
      <c:legendPos val="t"/>
      <c:layout>
        <c:manualLayout>
          <c:xMode val="edge"/>
          <c:yMode val="edge"/>
          <c:x val="0.1413297431085363"/>
          <c:y val="1.4421520730966907E-3"/>
          <c:w val="0.8586702568914637"/>
          <c:h val="0.106696136667127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238124</xdr:rowOff>
    </xdr:from>
    <xdr:to>
      <xdr:col>13</xdr:col>
      <xdr:colOff>28575</xdr:colOff>
      <xdr:row>18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9686030-3403-4C24-ADB0-7A501E1E0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419100</xdr:colOff>
      <xdr:row>1</xdr:row>
      <xdr:rowOff>0</xdr:rowOff>
    </xdr:from>
    <xdr:to>
      <xdr:col>22</xdr:col>
      <xdr:colOff>28575</xdr:colOff>
      <xdr:row>18</xdr:row>
      <xdr:rowOff>2072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3F258BEA-CD75-4971-93C4-5F7A4DEC5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504826</xdr:colOff>
      <xdr:row>1</xdr:row>
      <xdr:rowOff>0</xdr:rowOff>
    </xdr:from>
    <xdr:to>
      <xdr:col>31</xdr:col>
      <xdr:colOff>28576</xdr:colOff>
      <xdr:row>18</xdr:row>
      <xdr:rowOff>2072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17C99D7E-97BF-464D-96AB-B5A4B2D98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0.11917</cdr:x>
      <cdr:y>0.79529</cdr:y>
    </cdr:from>
    <cdr:to>
      <cdr:x>0.28497</cdr:x>
      <cdr:y>0.88235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4FAB60E3-FA37-FFCD-0F45-3DF158774037}"/>
            </a:ext>
          </a:extLst>
        </cdr:cNvPr>
        <cdr:cNvSpPr txBox="1"/>
      </cdr:nvSpPr>
      <cdr:spPr>
        <a:xfrm xmlns:a="http://schemas.openxmlformats.org/drawingml/2006/main">
          <a:off x="657225" y="3219451"/>
          <a:ext cx="914400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bIns="0" rtlCol="0"/>
        <a:lstStyle xmlns:a="http://schemas.openxmlformats.org/drawingml/2006/main"/>
        <a:p xmlns:a="http://schemas.openxmlformats.org/drawingml/2006/main">
          <a:pPr algn="ctr"/>
          <a:r>
            <a:rPr lang="en-US" altLang="ja-JP" sz="120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(×10</a:t>
          </a:r>
          <a:r>
            <a:rPr lang="en-US" altLang="ja-JP" sz="1200" baseline="3000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-15 </a:t>
          </a:r>
          <a:r>
            <a:rPr lang="en-US" altLang="ja-JP" sz="1200" baseline="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)</a:t>
          </a:r>
          <a:endParaRPr lang="ja-JP" altLang="en-US" sz="1200">
            <a:latin typeface="Varela Round" panose="00000500000000000000" pitchFamily="2" charset="-79"/>
            <a:ea typeface="+mn-ea"/>
            <a:cs typeface="Varela Round" panose="00000500000000000000" pitchFamily="2" charset="-79"/>
          </a:endParaRPr>
        </a:p>
      </cdr:txBody>
    </cdr:sp>
  </cdr:relSizeAnchor>
  <cdr:relSizeAnchor xmlns:cdr="http://schemas.openxmlformats.org/drawingml/2006/chartDrawing">
    <cdr:from>
      <cdr:x>0.00806</cdr:x>
      <cdr:y>0</cdr:y>
    </cdr:from>
    <cdr:to>
      <cdr:x>0.07196</cdr:x>
      <cdr:y>0.98588</cdr:y>
    </cdr:to>
    <cdr:sp macro="" textlink="">
      <cdr:nvSpPr>
        <cdr:cNvPr id="3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CBF4C218-FA83-3C13-8E4F-21ECCC8D53E8}"/>
            </a:ext>
          </a:extLst>
        </cdr:cNvPr>
        <cdr:cNvSpPr txBox="1"/>
      </cdr:nvSpPr>
      <cdr:spPr>
        <a:xfrm xmlns:a="http://schemas.openxmlformats.org/drawingml/2006/main" rot="16200000">
          <a:off x="-1774824" y="1819275"/>
          <a:ext cx="3990976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Average </a:t>
          </a:r>
          <a:r>
            <a:rPr lang="en-US" altLang="ja-JP" sz="1600" b="0" i="1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AC</a:t>
          </a: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 value of </a:t>
          </a:r>
          <a:r>
            <a:rPr lang="en-US" altLang="ja-JP" sz="1600" b="0" i="1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Human</a:t>
          </a:r>
          <a:endParaRPr lang="en-US" altLang="ja-JP" sz="1600" b="0" i="0" baseline="0">
            <a:effectLst/>
            <a:latin typeface="Segoe UI Semibold" panose="020B0702040204020203" pitchFamily="34" charset="0"/>
            <a:ea typeface="+mn-ea"/>
            <a:cs typeface="Segoe UI Semibold" panose="020B0702040204020203" pitchFamily="34" charset="0"/>
          </a:endParaRPr>
        </a:p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going straight (n=100)  </a:t>
          </a:r>
          <a:endParaRPr lang="ja-JP" altLang="ja-JP" sz="1600"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  <a:p xmlns:a="http://schemas.openxmlformats.org/drawingml/2006/main">
          <a:pPr algn="ctr"/>
          <a:endParaRPr lang="ja-JP" altLang="en-US" sz="1600">
            <a:latin typeface="Segoe UI Semibold" panose="020B0702040204020203" pitchFamily="34" charset="0"/>
            <a:ea typeface="+mn-ea"/>
            <a:cs typeface="Segoe UI Semibold" panose="020B0702040204020203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0.13549</cdr:x>
      <cdr:y>0.10153</cdr:y>
    </cdr:from>
    <cdr:to>
      <cdr:x>0.4101</cdr:x>
      <cdr:y>0.18859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4FAB60E3-FA37-FFCD-0F45-3DF158774037}"/>
            </a:ext>
          </a:extLst>
        </cdr:cNvPr>
        <cdr:cNvSpPr txBox="1"/>
      </cdr:nvSpPr>
      <cdr:spPr>
        <a:xfrm xmlns:a="http://schemas.openxmlformats.org/drawingml/2006/main">
          <a:off x="783331" y="411206"/>
          <a:ext cx="1587720" cy="3526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72000" bIns="0" rtlCol="0"/>
        <a:lstStyle xmlns:a="http://schemas.openxmlformats.org/drawingml/2006/main"/>
        <a:p xmlns:a="http://schemas.openxmlformats.org/drawingml/2006/main">
          <a:pPr algn="ctr"/>
          <a:r>
            <a:rPr lang="en-US" altLang="ja-JP" sz="120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[ times / 8 times</a:t>
          </a:r>
          <a:r>
            <a:rPr lang="en-US" altLang="ja-JP" sz="1200" baseline="3000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 </a:t>
          </a:r>
          <a:r>
            <a:rPr lang="en-US" altLang="ja-JP" sz="1200" baseline="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]</a:t>
          </a:r>
          <a:endParaRPr lang="ja-JP" altLang="en-US" sz="1200">
            <a:latin typeface="Varela Round" panose="00000500000000000000" pitchFamily="2" charset="-79"/>
            <a:ea typeface="+mn-ea"/>
            <a:cs typeface="Varela Round" panose="00000500000000000000" pitchFamily="2" charset="-79"/>
          </a:endParaRPr>
        </a:p>
      </cdr:txBody>
    </cdr:sp>
  </cdr:relSizeAnchor>
  <cdr:relSizeAnchor xmlns:cdr="http://schemas.openxmlformats.org/drawingml/2006/chartDrawing">
    <cdr:from>
      <cdr:x>0.0414</cdr:x>
      <cdr:y>0</cdr:y>
    </cdr:from>
    <cdr:to>
      <cdr:x>0.10531</cdr:x>
      <cdr:y>0.98588</cdr:y>
    </cdr:to>
    <cdr:sp macro="" textlink="">
      <cdr:nvSpPr>
        <cdr:cNvPr id="3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CBF4C218-FA83-3C13-8E4F-21ECCC8D53E8}"/>
            </a:ext>
          </a:extLst>
        </cdr:cNvPr>
        <cdr:cNvSpPr txBox="1"/>
      </cdr:nvSpPr>
      <cdr:spPr>
        <a:xfrm xmlns:a="http://schemas.openxmlformats.org/drawingml/2006/main" rot="16200000">
          <a:off x="-1572367" y="1811750"/>
          <a:ext cx="3993008" cy="3695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Average number of times of positive </a:t>
          </a:r>
          <a:r>
            <a:rPr lang="en-US" altLang="ja-JP" sz="1600" b="0" i="1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AC</a:t>
          </a: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 </a:t>
          </a:r>
          <a:b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</a:b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in </a:t>
          </a:r>
          <a:r>
            <a:rPr lang="en-US" altLang="ja-JP" sz="1600" b="0" i="1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Human</a:t>
          </a: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 going straight (n=100)  </a:t>
          </a:r>
          <a:endParaRPr lang="ja-JP" altLang="ja-JP" sz="1600"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  <a:p xmlns:a="http://schemas.openxmlformats.org/drawingml/2006/main">
          <a:pPr algn="ctr"/>
          <a:endParaRPr lang="ja-JP" altLang="en-US" sz="1600">
            <a:latin typeface="Segoe UI Semibold" panose="020B0702040204020203" pitchFamily="34" charset="0"/>
            <a:ea typeface="+mn-ea"/>
            <a:cs typeface="Segoe UI Semibold" panose="020B0702040204020203" pitchFamily="34" charset="0"/>
          </a:endParaRPr>
        </a:p>
      </cdr:txBody>
    </cdr:sp>
  </cdr:relSizeAnchor>
  <cdr:relSizeAnchor xmlns:cdr="http://schemas.openxmlformats.org/drawingml/2006/chartDrawing">
    <cdr:from>
      <cdr:x>0.44783</cdr:x>
      <cdr:y>0.21912</cdr:y>
    </cdr:from>
    <cdr:to>
      <cdr:x>0.58416</cdr:x>
      <cdr:y>0.41374</cdr:y>
    </cdr:to>
    <cdr:grpSp>
      <cdr:nvGrpSpPr>
        <cdr:cNvPr id="14" name="グループ化 13">
          <a:extLst xmlns:a="http://schemas.openxmlformats.org/drawingml/2006/main">
            <a:ext uri="{FF2B5EF4-FFF2-40B4-BE49-F238E27FC236}">
              <a16:creationId xmlns:a16="http://schemas.microsoft.com/office/drawing/2014/main" id="{7B7ADE89-9541-67DE-5782-CFC0DC0CF827}"/>
            </a:ext>
          </a:extLst>
        </cdr:cNvPr>
        <cdr:cNvGrpSpPr/>
      </cdr:nvGrpSpPr>
      <cdr:grpSpPr>
        <a:xfrm xmlns:a="http://schemas.openxmlformats.org/drawingml/2006/main" flipV="1">
          <a:off x="2538021" y="851998"/>
          <a:ext cx="772633" cy="756736"/>
          <a:chOff x="2408296" y="2621922"/>
          <a:chExt cx="653990" cy="961858"/>
        </a:xfrm>
      </cdr:grpSpPr>
      <cdr:cxnSp macro="">
        <cdr:nvCxnSpPr>
          <cdr:cNvPr id="5" name="直線コネクタ 4">
            <a:extLst xmlns:a="http://schemas.openxmlformats.org/drawingml/2006/main">
              <a:ext uri="{FF2B5EF4-FFF2-40B4-BE49-F238E27FC236}">
                <a16:creationId xmlns:a16="http://schemas.microsoft.com/office/drawing/2014/main" id="{BE7FFAE8-02A4-4B26-A7E0-C7F6E599FE46}"/>
              </a:ext>
            </a:extLst>
          </cdr:cNvPr>
          <cdr:cNvCxnSpPr/>
        </cdr:nvCxnSpPr>
        <cdr:spPr>
          <a:xfrm xmlns:a="http://schemas.openxmlformats.org/drawingml/2006/main">
            <a:off x="2408296" y="2621922"/>
            <a:ext cx="0" cy="960908"/>
          </a:xfrm>
          <a:prstGeom xmlns:a="http://schemas.openxmlformats.org/drawingml/2006/main" prst="line">
            <a:avLst/>
          </a:prstGeom>
          <a:ln xmlns:a="http://schemas.openxmlformats.org/drawingml/2006/main" w="19050" cap="rnd">
            <a:solidFill>
              <a:schemeClr val="tx1">
                <a:lumMod val="95000"/>
                <a:lumOff val="5000"/>
              </a:schemeClr>
            </a:solidFill>
            <a:bevel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7" name="直線コネクタ 6">
            <a:extLst xmlns:a="http://schemas.openxmlformats.org/drawingml/2006/main">
              <a:ext uri="{FF2B5EF4-FFF2-40B4-BE49-F238E27FC236}">
                <a16:creationId xmlns:a16="http://schemas.microsoft.com/office/drawing/2014/main" id="{253C641D-4BB5-5082-36CD-DD1053B41F6C}"/>
              </a:ext>
            </a:extLst>
          </cdr:cNvPr>
          <cdr:cNvCxnSpPr/>
        </cdr:nvCxnSpPr>
        <cdr:spPr>
          <a:xfrm xmlns:a="http://schemas.openxmlformats.org/drawingml/2006/main">
            <a:off x="2413577" y="3582530"/>
            <a:ext cx="639168" cy="0"/>
          </a:xfrm>
          <a:prstGeom xmlns:a="http://schemas.openxmlformats.org/drawingml/2006/main" prst="line">
            <a:avLst/>
          </a:prstGeom>
          <a:ln xmlns:a="http://schemas.openxmlformats.org/drawingml/2006/main" w="19050" cap="rnd">
            <a:solidFill>
              <a:schemeClr val="tx1">
                <a:lumMod val="95000"/>
                <a:lumOff val="5000"/>
              </a:schemeClr>
            </a:solidFill>
            <a:bevel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9" name="直線コネクタ 8">
            <a:extLst xmlns:a="http://schemas.openxmlformats.org/drawingml/2006/main">
              <a:ext uri="{FF2B5EF4-FFF2-40B4-BE49-F238E27FC236}">
                <a16:creationId xmlns:a16="http://schemas.microsoft.com/office/drawing/2014/main" id="{A0A58C8F-EB33-AF68-4F7A-D8FB5F853659}"/>
              </a:ext>
            </a:extLst>
          </cdr:cNvPr>
          <cdr:cNvCxnSpPr/>
        </cdr:nvCxnSpPr>
        <cdr:spPr>
          <a:xfrm xmlns:a="http://schemas.openxmlformats.org/drawingml/2006/main" flipV="1">
            <a:off x="3062286" y="3243120"/>
            <a:ext cx="0" cy="340660"/>
          </a:xfrm>
          <a:prstGeom xmlns:a="http://schemas.openxmlformats.org/drawingml/2006/main" prst="line">
            <a:avLst/>
          </a:prstGeom>
          <a:ln xmlns:a="http://schemas.openxmlformats.org/drawingml/2006/main" w="19050" cap="rnd">
            <a:solidFill>
              <a:schemeClr val="tx1">
                <a:lumMod val="95000"/>
                <a:lumOff val="5000"/>
              </a:schemeClr>
            </a:solidFill>
            <a:bevel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0.4732</cdr:x>
      <cdr:y>0.17046</cdr:y>
    </cdr:from>
    <cdr:to>
      <cdr:x>0.56618</cdr:x>
      <cdr:y>0.23457</cdr:y>
    </cdr:to>
    <cdr:sp macro="" textlink="">
      <cdr:nvSpPr>
        <cdr:cNvPr id="8" name="テキスト ボックス 7">
          <a:extLst xmlns:a="http://schemas.openxmlformats.org/drawingml/2006/main">
            <a:ext uri="{FF2B5EF4-FFF2-40B4-BE49-F238E27FC236}">
              <a16:creationId xmlns:a16="http://schemas.microsoft.com/office/drawing/2014/main" id="{6CB11933-E15D-C98A-623F-94D4CF126AD0}"/>
            </a:ext>
          </a:extLst>
        </cdr:cNvPr>
        <cdr:cNvSpPr txBox="1"/>
      </cdr:nvSpPr>
      <cdr:spPr>
        <a:xfrm xmlns:a="http://schemas.openxmlformats.org/drawingml/2006/main">
          <a:off x="2735880" y="690402"/>
          <a:ext cx="537584" cy="2596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0" bIns="0" rtlCol="0"/>
        <a:lstStyle xmlns:a="http://schemas.openxmlformats.org/drawingml/2006/main"/>
        <a:p xmlns:a="http://schemas.openxmlformats.org/drawingml/2006/main">
          <a:pPr algn="ctr"/>
          <a:r>
            <a:rPr lang="en-US" altLang="ja-JP" sz="160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**</a:t>
          </a:r>
          <a:endParaRPr lang="ja-JP" altLang="en-US" sz="1600">
            <a:latin typeface="Varela Round" panose="00000500000000000000" pitchFamily="2" charset="-79"/>
            <a:ea typeface="+mn-ea"/>
            <a:cs typeface="Varela Round" panose="00000500000000000000" pitchFamily="2" charset="-79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0.16655</cdr:x>
      <cdr:y>0.10153</cdr:y>
    </cdr:from>
    <cdr:to>
      <cdr:x>0.29089</cdr:x>
      <cdr:y>0.18859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4FAB60E3-FA37-FFCD-0F45-3DF158774037}"/>
            </a:ext>
          </a:extLst>
        </cdr:cNvPr>
        <cdr:cNvSpPr txBox="1"/>
      </cdr:nvSpPr>
      <cdr:spPr>
        <a:xfrm xmlns:a="http://schemas.openxmlformats.org/drawingml/2006/main">
          <a:off x="948637" y="411217"/>
          <a:ext cx="708286" cy="3526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72000" bIns="0" rtlCol="0"/>
        <a:lstStyle xmlns:a="http://schemas.openxmlformats.org/drawingml/2006/main"/>
        <a:p xmlns:a="http://schemas.openxmlformats.org/drawingml/2006/main">
          <a:pPr algn="ctr"/>
          <a:r>
            <a:rPr lang="en-US" altLang="ja-JP" sz="120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[  °</a:t>
          </a:r>
          <a:r>
            <a:rPr lang="en-US" altLang="ja-JP" sz="1200" baseline="3000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 </a:t>
          </a:r>
          <a:r>
            <a:rPr lang="en-US" altLang="ja-JP" sz="1200" baseline="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]</a:t>
          </a:r>
          <a:endParaRPr lang="ja-JP" altLang="en-US" sz="1200">
            <a:latin typeface="Varela Round" panose="00000500000000000000" pitchFamily="2" charset="-79"/>
            <a:ea typeface="+mn-ea"/>
            <a:cs typeface="Varela Round" panose="00000500000000000000" pitchFamily="2" charset="-79"/>
          </a:endParaRPr>
        </a:p>
      </cdr:txBody>
    </cdr:sp>
  </cdr:relSizeAnchor>
  <cdr:relSizeAnchor xmlns:cdr="http://schemas.openxmlformats.org/drawingml/2006/chartDrawing">
    <cdr:from>
      <cdr:x>0.01669</cdr:x>
      <cdr:y>0</cdr:y>
    </cdr:from>
    <cdr:to>
      <cdr:x>0.0806</cdr:x>
      <cdr:y>0.98588</cdr:y>
    </cdr:to>
    <cdr:sp macro="" textlink="">
      <cdr:nvSpPr>
        <cdr:cNvPr id="3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CBF4C218-FA83-3C13-8E4F-21ECCC8D53E8}"/>
            </a:ext>
          </a:extLst>
        </cdr:cNvPr>
        <cdr:cNvSpPr txBox="1"/>
      </cdr:nvSpPr>
      <cdr:spPr>
        <a:xfrm xmlns:a="http://schemas.openxmlformats.org/drawingml/2006/main" rot="16200000">
          <a:off x="-1728216" y="1820272"/>
          <a:ext cx="3993008" cy="352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Average direction change of </a:t>
          </a:r>
          <a:r>
            <a:rPr lang="en-US" altLang="ja-JP" sz="1600" b="0" i="1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Human</a:t>
          </a:r>
          <a:b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</a:b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going straight at 1 step in Passing</a:t>
          </a:r>
        </a:p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(n=100)  </a:t>
          </a:r>
          <a:endParaRPr lang="ja-JP" altLang="ja-JP" sz="1600"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  <a:p xmlns:a="http://schemas.openxmlformats.org/drawingml/2006/main">
          <a:pPr algn="ctr"/>
          <a:endParaRPr lang="ja-JP" altLang="en-US" sz="1600">
            <a:latin typeface="Segoe UI Semibold" panose="020B0702040204020203" pitchFamily="34" charset="0"/>
            <a:ea typeface="+mn-ea"/>
            <a:cs typeface="Segoe UI Semibold" panose="020B0702040204020203" pitchFamily="34" charset="0"/>
          </a:endParaRPr>
        </a:p>
      </cdr:txBody>
    </cdr:sp>
  </cdr:relSizeAnchor>
  <cdr:relSizeAnchor xmlns:cdr="http://schemas.openxmlformats.org/drawingml/2006/chartDrawing">
    <cdr:from>
      <cdr:x>0.45139</cdr:x>
      <cdr:y>0.21912</cdr:y>
    </cdr:from>
    <cdr:to>
      <cdr:x>0.58772</cdr:x>
      <cdr:y>0.40215</cdr:y>
    </cdr:to>
    <cdr:grpSp>
      <cdr:nvGrpSpPr>
        <cdr:cNvPr id="14" name="グループ化 13">
          <a:extLst xmlns:a="http://schemas.openxmlformats.org/drawingml/2006/main">
            <a:ext uri="{FF2B5EF4-FFF2-40B4-BE49-F238E27FC236}">
              <a16:creationId xmlns:a16="http://schemas.microsoft.com/office/drawing/2014/main" id="{7B7ADE89-9541-67DE-5782-CFC0DC0CF827}"/>
            </a:ext>
          </a:extLst>
        </cdr:cNvPr>
        <cdr:cNvGrpSpPr/>
      </cdr:nvGrpSpPr>
      <cdr:grpSpPr>
        <a:xfrm xmlns:a="http://schemas.openxmlformats.org/drawingml/2006/main" flipV="1">
          <a:off x="2519501" y="851998"/>
          <a:ext cx="760946" cy="711671"/>
          <a:chOff x="2408296" y="2679215"/>
          <a:chExt cx="653990" cy="904565"/>
        </a:xfrm>
      </cdr:grpSpPr>
      <cdr:cxnSp macro="">
        <cdr:nvCxnSpPr>
          <cdr:cNvPr id="5" name="直線コネクタ 4">
            <a:extLst xmlns:a="http://schemas.openxmlformats.org/drawingml/2006/main">
              <a:ext uri="{FF2B5EF4-FFF2-40B4-BE49-F238E27FC236}">
                <a16:creationId xmlns:a16="http://schemas.microsoft.com/office/drawing/2014/main" id="{BE7FFAE8-02A4-4B26-A7E0-C7F6E599FE46}"/>
              </a:ext>
            </a:extLst>
          </cdr:cNvPr>
          <cdr:cNvCxnSpPr/>
        </cdr:nvCxnSpPr>
        <cdr:spPr>
          <a:xfrm xmlns:a="http://schemas.openxmlformats.org/drawingml/2006/main">
            <a:off x="2408296" y="3004657"/>
            <a:ext cx="0" cy="578173"/>
          </a:xfrm>
          <a:prstGeom xmlns:a="http://schemas.openxmlformats.org/drawingml/2006/main" prst="line">
            <a:avLst/>
          </a:prstGeom>
          <a:ln xmlns:a="http://schemas.openxmlformats.org/drawingml/2006/main" w="19050" cap="rnd">
            <a:solidFill>
              <a:schemeClr val="tx1">
                <a:lumMod val="95000"/>
                <a:lumOff val="5000"/>
              </a:schemeClr>
            </a:solidFill>
            <a:bevel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7" name="直線コネクタ 6">
            <a:extLst xmlns:a="http://schemas.openxmlformats.org/drawingml/2006/main">
              <a:ext uri="{FF2B5EF4-FFF2-40B4-BE49-F238E27FC236}">
                <a16:creationId xmlns:a16="http://schemas.microsoft.com/office/drawing/2014/main" id="{253C641D-4BB5-5082-36CD-DD1053B41F6C}"/>
              </a:ext>
            </a:extLst>
          </cdr:cNvPr>
          <cdr:cNvCxnSpPr/>
        </cdr:nvCxnSpPr>
        <cdr:spPr>
          <a:xfrm xmlns:a="http://schemas.openxmlformats.org/drawingml/2006/main">
            <a:off x="2413577" y="3582530"/>
            <a:ext cx="639168" cy="0"/>
          </a:xfrm>
          <a:prstGeom xmlns:a="http://schemas.openxmlformats.org/drawingml/2006/main" prst="line">
            <a:avLst/>
          </a:prstGeom>
          <a:ln xmlns:a="http://schemas.openxmlformats.org/drawingml/2006/main" w="19050" cap="rnd">
            <a:solidFill>
              <a:schemeClr val="tx1">
                <a:lumMod val="95000"/>
                <a:lumOff val="5000"/>
              </a:schemeClr>
            </a:solidFill>
            <a:bevel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9" name="直線コネクタ 8">
            <a:extLst xmlns:a="http://schemas.openxmlformats.org/drawingml/2006/main">
              <a:ext uri="{FF2B5EF4-FFF2-40B4-BE49-F238E27FC236}">
                <a16:creationId xmlns:a16="http://schemas.microsoft.com/office/drawing/2014/main" id="{A0A58C8F-EB33-AF68-4F7A-D8FB5F853659}"/>
              </a:ext>
            </a:extLst>
          </cdr:cNvPr>
          <cdr:cNvCxnSpPr/>
        </cdr:nvCxnSpPr>
        <cdr:spPr>
          <a:xfrm xmlns:a="http://schemas.openxmlformats.org/drawingml/2006/main" flipV="1">
            <a:off x="3062286" y="2679215"/>
            <a:ext cx="0" cy="904565"/>
          </a:xfrm>
          <a:prstGeom xmlns:a="http://schemas.openxmlformats.org/drawingml/2006/main" prst="line">
            <a:avLst/>
          </a:prstGeom>
          <a:ln xmlns:a="http://schemas.openxmlformats.org/drawingml/2006/main" w="19050" cap="rnd">
            <a:solidFill>
              <a:schemeClr val="tx1">
                <a:lumMod val="95000"/>
                <a:lumOff val="5000"/>
              </a:schemeClr>
            </a:solidFill>
            <a:bevel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0.47509</cdr:x>
      <cdr:y>0.17046</cdr:y>
    </cdr:from>
    <cdr:to>
      <cdr:x>0.56807</cdr:x>
      <cdr:y>0.23457</cdr:y>
    </cdr:to>
    <cdr:sp macro="" textlink="">
      <cdr:nvSpPr>
        <cdr:cNvPr id="8" name="テキスト ボックス 7">
          <a:extLst xmlns:a="http://schemas.openxmlformats.org/drawingml/2006/main">
            <a:ext uri="{FF2B5EF4-FFF2-40B4-BE49-F238E27FC236}">
              <a16:creationId xmlns:a16="http://schemas.microsoft.com/office/drawing/2014/main" id="{6CB11933-E15D-C98A-623F-94D4CF126AD0}"/>
            </a:ext>
          </a:extLst>
        </cdr:cNvPr>
        <cdr:cNvSpPr txBox="1"/>
      </cdr:nvSpPr>
      <cdr:spPr>
        <a:xfrm xmlns:a="http://schemas.openxmlformats.org/drawingml/2006/main">
          <a:off x="2706103" y="690397"/>
          <a:ext cx="529609" cy="2596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0" bIns="0" rtlCol="0"/>
        <a:lstStyle xmlns:a="http://schemas.openxmlformats.org/drawingml/2006/main"/>
        <a:p xmlns:a="http://schemas.openxmlformats.org/drawingml/2006/main">
          <a:pPr algn="ctr"/>
          <a:r>
            <a:rPr lang="en-US" altLang="ja-JP" sz="160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**</a:t>
          </a:r>
          <a:endParaRPr lang="ja-JP" altLang="en-US" sz="1600">
            <a:latin typeface="Varela Round" panose="00000500000000000000" pitchFamily="2" charset="-79"/>
            <a:ea typeface="+mn-ea"/>
            <a:cs typeface="Varela Round" panose="00000500000000000000" pitchFamily="2" charset="-79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238124</xdr:rowOff>
    </xdr:from>
    <xdr:to>
      <xdr:col>13</xdr:col>
      <xdr:colOff>28575</xdr:colOff>
      <xdr:row>18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0CF2806-57BF-47A5-8463-56D9E72CD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361950</xdr:colOff>
      <xdr:row>1</xdr:row>
      <xdr:rowOff>0</xdr:rowOff>
    </xdr:from>
    <xdr:to>
      <xdr:col>22</xdr:col>
      <xdr:colOff>28575</xdr:colOff>
      <xdr:row>18</xdr:row>
      <xdr:rowOff>2072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FF26A05-FD5C-4854-8058-1E4E80008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333376</xdr:colOff>
      <xdr:row>1</xdr:row>
      <xdr:rowOff>0</xdr:rowOff>
    </xdr:from>
    <xdr:to>
      <xdr:col>31</xdr:col>
      <xdr:colOff>28576</xdr:colOff>
      <xdr:row>18</xdr:row>
      <xdr:rowOff>2072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ABACAFF-A40D-442E-9C7D-BBE7FB0F2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0.11917</cdr:x>
      <cdr:y>0.79529</cdr:y>
    </cdr:from>
    <cdr:to>
      <cdr:x>0.28497</cdr:x>
      <cdr:y>0.88235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4FAB60E3-FA37-FFCD-0F45-3DF158774037}"/>
            </a:ext>
          </a:extLst>
        </cdr:cNvPr>
        <cdr:cNvSpPr txBox="1"/>
      </cdr:nvSpPr>
      <cdr:spPr>
        <a:xfrm xmlns:a="http://schemas.openxmlformats.org/drawingml/2006/main">
          <a:off x="657225" y="3219451"/>
          <a:ext cx="914400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bIns="0" rtlCol="0"/>
        <a:lstStyle xmlns:a="http://schemas.openxmlformats.org/drawingml/2006/main"/>
        <a:p xmlns:a="http://schemas.openxmlformats.org/drawingml/2006/main">
          <a:pPr algn="ctr"/>
          <a:r>
            <a:rPr lang="en-US" altLang="ja-JP" sz="120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(×10</a:t>
          </a:r>
          <a:r>
            <a:rPr lang="en-US" altLang="ja-JP" sz="1200" baseline="3000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-15 </a:t>
          </a:r>
          <a:r>
            <a:rPr lang="en-US" altLang="ja-JP" sz="1200" baseline="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)</a:t>
          </a:r>
          <a:endParaRPr lang="ja-JP" altLang="en-US" sz="1200">
            <a:latin typeface="Varela Round" panose="00000500000000000000" pitchFamily="2" charset="-79"/>
            <a:ea typeface="+mn-ea"/>
            <a:cs typeface="Varela Round" panose="00000500000000000000" pitchFamily="2" charset="-79"/>
          </a:endParaRPr>
        </a:p>
      </cdr:txBody>
    </cdr:sp>
  </cdr:relSizeAnchor>
  <cdr:relSizeAnchor xmlns:cdr="http://schemas.openxmlformats.org/drawingml/2006/chartDrawing">
    <cdr:from>
      <cdr:x>0.00806</cdr:x>
      <cdr:y>0</cdr:y>
    </cdr:from>
    <cdr:to>
      <cdr:x>0.07196</cdr:x>
      <cdr:y>0.98588</cdr:y>
    </cdr:to>
    <cdr:sp macro="" textlink="">
      <cdr:nvSpPr>
        <cdr:cNvPr id="3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CBF4C218-FA83-3C13-8E4F-21ECCC8D53E8}"/>
            </a:ext>
          </a:extLst>
        </cdr:cNvPr>
        <cdr:cNvSpPr txBox="1"/>
      </cdr:nvSpPr>
      <cdr:spPr>
        <a:xfrm xmlns:a="http://schemas.openxmlformats.org/drawingml/2006/main" rot="16200000">
          <a:off x="-1774824" y="1819275"/>
          <a:ext cx="3990976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Average </a:t>
          </a:r>
          <a:r>
            <a:rPr lang="en-US" altLang="ja-JP" sz="1600" b="0" i="1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AC</a:t>
          </a: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 value of </a:t>
          </a:r>
          <a:r>
            <a:rPr lang="en-US" altLang="ja-JP" sz="1600" b="0" i="1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Human</a:t>
          </a:r>
          <a:endParaRPr lang="en-US" altLang="ja-JP" sz="1600" b="0" i="0" baseline="0">
            <a:effectLst/>
            <a:latin typeface="Segoe UI Semibold" panose="020B0702040204020203" pitchFamily="34" charset="0"/>
            <a:ea typeface="+mn-ea"/>
            <a:cs typeface="Segoe UI Semibold" panose="020B0702040204020203" pitchFamily="34" charset="0"/>
          </a:endParaRPr>
        </a:p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going straight and right side (n=100)  </a:t>
          </a:r>
          <a:endParaRPr lang="ja-JP" altLang="ja-JP" sz="1600"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  <a:p xmlns:a="http://schemas.openxmlformats.org/drawingml/2006/main">
          <a:pPr algn="ctr"/>
          <a:endParaRPr lang="ja-JP" altLang="en-US" sz="1600">
            <a:latin typeface="Segoe UI Semibold" panose="020B0702040204020203" pitchFamily="34" charset="0"/>
            <a:ea typeface="+mn-ea"/>
            <a:cs typeface="Segoe UI Semibold" panose="020B0702040204020203" pitchFamily="34" charset="0"/>
          </a:endParaRPr>
        </a:p>
      </cdr:txBody>
    </cdr:sp>
  </cdr:relSizeAnchor>
  <cdr:relSizeAnchor xmlns:cdr="http://schemas.openxmlformats.org/drawingml/2006/chartDrawing">
    <cdr:from>
      <cdr:x>0.43523</cdr:x>
      <cdr:y>0.49647</cdr:y>
    </cdr:from>
    <cdr:to>
      <cdr:x>0.56477</cdr:x>
      <cdr:y>0.76943</cdr:y>
    </cdr:to>
    <cdr:grpSp>
      <cdr:nvGrpSpPr>
        <cdr:cNvPr id="4" name="グループ化 3">
          <a:extLst xmlns:a="http://schemas.openxmlformats.org/drawingml/2006/main">
            <a:ext uri="{FF2B5EF4-FFF2-40B4-BE49-F238E27FC236}">
              <a16:creationId xmlns:a16="http://schemas.microsoft.com/office/drawing/2014/main" id="{BB851375-A9C2-B868-2835-1C3C8131040C}"/>
            </a:ext>
          </a:extLst>
        </cdr:cNvPr>
        <cdr:cNvGrpSpPr/>
      </cdr:nvGrpSpPr>
      <cdr:grpSpPr>
        <a:xfrm xmlns:a="http://schemas.openxmlformats.org/drawingml/2006/main" flipV="1">
          <a:off x="2347219" y="1928436"/>
          <a:ext cx="698617" cy="1060258"/>
          <a:chOff x="0" y="-14762"/>
          <a:chExt cx="653990" cy="1348326"/>
        </a:xfrm>
      </cdr:grpSpPr>
      <cdr:cxnSp macro="">
        <cdr:nvCxnSpPr>
          <cdr:cNvPr id="6" name="直線コネクタ 5">
            <a:extLst xmlns:a="http://schemas.openxmlformats.org/drawingml/2006/main">
              <a:ext uri="{FF2B5EF4-FFF2-40B4-BE49-F238E27FC236}">
                <a16:creationId xmlns:a16="http://schemas.microsoft.com/office/drawing/2014/main" id="{E3F3257A-8EEA-240D-4F65-4D75CF4D8535}"/>
              </a:ext>
            </a:extLst>
          </cdr:cNvPr>
          <cdr:cNvCxnSpPr/>
        </cdr:nvCxnSpPr>
        <cdr:spPr>
          <a:xfrm xmlns:a="http://schemas.openxmlformats.org/drawingml/2006/main">
            <a:off x="0" y="-13603"/>
            <a:ext cx="0" cy="335981"/>
          </a:xfrm>
          <a:prstGeom xmlns:a="http://schemas.openxmlformats.org/drawingml/2006/main" prst="line">
            <a:avLst/>
          </a:prstGeom>
          <a:ln xmlns:a="http://schemas.openxmlformats.org/drawingml/2006/main" w="19050" cap="rnd">
            <a:solidFill>
              <a:schemeClr val="tx1">
                <a:lumMod val="95000"/>
                <a:lumOff val="5000"/>
              </a:schemeClr>
            </a:solidFill>
            <a:bevel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7" name="直線コネクタ 6">
            <a:extLst xmlns:a="http://schemas.openxmlformats.org/drawingml/2006/main">
              <a:ext uri="{FF2B5EF4-FFF2-40B4-BE49-F238E27FC236}">
                <a16:creationId xmlns:a16="http://schemas.microsoft.com/office/drawing/2014/main" id="{BE5A91DC-AB90-7676-FA57-4AE398928C64}"/>
              </a:ext>
            </a:extLst>
          </cdr:cNvPr>
          <cdr:cNvCxnSpPr/>
        </cdr:nvCxnSpPr>
        <cdr:spPr>
          <a:xfrm xmlns:a="http://schemas.openxmlformats.org/drawingml/2006/main">
            <a:off x="5281" y="-13237"/>
            <a:ext cx="639168" cy="0"/>
          </a:xfrm>
          <a:prstGeom xmlns:a="http://schemas.openxmlformats.org/drawingml/2006/main" prst="line">
            <a:avLst/>
          </a:prstGeom>
          <a:ln xmlns:a="http://schemas.openxmlformats.org/drawingml/2006/main" w="19050" cap="rnd">
            <a:solidFill>
              <a:schemeClr val="tx1">
                <a:lumMod val="95000"/>
                <a:lumOff val="5000"/>
              </a:schemeClr>
            </a:solidFill>
            <a:bevel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8" name="直線コネクタ 7">
            <a:extLst xmlns:a="http://schemas.openxmlformats.org/drawingml/2006/main">
              <a:ext uri="{FF2B5EF4-FFF2-40B4-BE49-F238E27FC236}">
                <a16:creationId xmlns:a16="http://schemas.microsoft.com/office/drawing/2014/main" id="{5EAF886C-5D26-9F31-56DF-A6EBFA94C738}"/>
              </a:ext>
            </a:extLst>
          </cdr:cNvPr>
          <cdr:cNvCxnSpPr/>
        </cdr:nvCxnSpPr>
        <cdr:spPr>
          <a:xfrm xmlns:a="http://schemas.openxmlformats.org/drawingml/2006/main" flipV="1">
            <a:off x="653990" y="-14762"/>
            <a:ext cx="0" cy="1348326"/>
          </a:xfrm>
          <a:prstGeom xmlns:a="http://schemas.openxmlformats.org/drawingml/2006/main" prst="line">
            <a:avLst/>
          </a:prstGeom>
          <a:ln xmlns:a="http://schemas.openxmlformats.org/drawingml/2006/main" w="19050" cap="rnd">
            <a:solidFill>
              <a:schemeClr val="tx1">
                <a:lumMod val="95000"/>
                <a:lumOff val="5000"/>
              </a:schemeClr>
            </a:solidFill>
            <a:bevel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0.45427</cdr:x>
      <cdr:y>0.78196</cdr:y>
    </cdr:from>
    <cdr:to>
      <cdr:x>0.54725</cdr:x>
      <cdr:y>0.8461</cdr:y>
    </cdr:to>
    <cdr:sp macro="" textlink="">
      <cdr:nvSpPr>
        <cdr:cNvPr id="5" name="テキスト ボックス 5">
          <a:extLst xmlns:a="http://schemas.openxmlformats.org/drawingml/2006/main">
            <a:ext uri="{FF2B5EF4-FFF2-40B4-BE49-F238E27FC236}">
              <a16:creationId xmlns:a16="http://schemas.microsoft.com/office/drawing/2014/main" id="{02541AA0-DA02-48F8-C84A-E3D9243BC85F}"/>
            </a:ext>
          </a:extLst>
        </cdr:cNvPr>
        <cdr:cNvSpPr txBox="1"/>
      </cdr:nvSpPr>
      <cdr:spPr>
        <a:xfrm xmlns:a="http://schemas.openxmlformats.org/drawingml/2006/main">
          <a:off x="2505290" y="3165475"/>
          <a:ext cx="512782" cy="2596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t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ja-JP" sz="160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**</a:t>
          </a:r>
          <a:endParaRPr lang="ja-JP" altLang="en-US" sz="1600">
            <a:latin typeface="Varela Round" panose="00000500000000000000" pitchFamily="2" charset="-79"/>
            <a:ea typeface="+mn-ea"/>
            <a:cs typeface="Varela Round" panose="00000500000000000000" pitchFamily="2" charset="-79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0.11572</cdr:x>
      <cdr:y>0.10153</cdr:y>
    </cdr:from>
    <cdr:to>
      <cdr:x>0.39033</cdr:x>
      <cdr:y>0.18859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4FAB60E3-FA37-FFCD-0F45-3DF158774037}"/>
            </a:ext>
          </a:extLst>
        </cdr:cNvPr>
        <cdr:cNvSpPr txBox="1"/>
      </cdr:nvSpPr>
      <cdr:spPr>
        <a:xfrm xmlns:a="http://schemas.openxmlformats.org/drawingml/2006/main">
          <a:off x="638170" y="411206"/>
          <a:ext cx="1514480" cy="3526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72000" bIns="0" rtlCol="0"/>
        <a:lstStyle xmlns:a="http://schemas.openxmlformats.org/drawingml/2006/main"/>
        <a:p xmlns:a="http://schemas.openxmlformats.org/drawingml/2006/main">
          <a:pPr algn="ctr"/>
          <a:r>
            <a:rPr lang="en-US" altLang="ja-JP" sz="120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[ times / 8 times</a:t>
          </a:r>
          <a:r>
            <a:rPr lang="en-US" altLang="ja-JP" sz="1200" baseline="3000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 </a:t>
          </a:r>
          <a:r>
            <a:rPr lang="en-US" altLang="ja-JP" sz="1200" baseline="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]</a:t>
          </a:r>
          <a:endParaRPr lang="ja-JP" altLang="en-US" sz="1200">
            <a:latin typeface="Varela Round" panose="00000500000000000000" pitchFamily="2" charset="-79"/>
            <a:ea typeface="+mn-ea"/>
            <a:cs typeface="Varela Round" panose="00000500000000000000" pitchFamily="2" charset="-79"/>
          </a:endParaRPr>
        </a:p>
      </cdr:txBody>
    </cdr:sp>
  </cdr:relSizeAnchor>
  <cdr:relSizeAnchor xmlns:cdr="http://schemas.openxmlformats.org/drawingml/2006/chartDrawing">
    <cdr:from>
      <cdr:x>0.01669</cdr:x>
      <cdr:y>0</cdr:y>
    </cdr:from>
    <cdr:to>
      <cdr:x>0.0806</cdr:x>
      <cdr:y>0.98588</cdr:y>
    </cdr:to>
    <cdr:sp macro="" textlink="">
      <cdr:nvSpPr>
        <cdr:cNvPr id="3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CBF4C218-FA83-3C13-8E4F-21ECCC8D53E8}"/>
            </a:ext>
          </a:extLst>
        </cdr:cNvPr>
        <cdr:cNvSpPr txBox="1"/>
      </cdr:nvSpPr>
      <cdr:spPr>
        <a:xfrm xmlns:a="http://schemas.openxmlformats.org/drawingml/2006/main" rot="16200000">
          <a:off x="-1728216" y="1820272"/>
          <a:ext cx="3993008" cy="352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Average number of times of positive </a:t>
          </a:r>
          <a:r>
            <a:rPr lang="en-US" altLang="ja-JP" sz="1600" b="0" i="1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AC</a:t>
          </a: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 </a:t>
          </a:r>
          <a:b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</a:b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in </a:t>
          </a:r>
          <a:r>
            <a:rPr lang="en-US" altLang="ja-JP" sz="1600" b="0" i="1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Human</a:t>
          </a: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 going straight and right side (n=100)  </a:t>
          </a:r>
          <a:endParaRPr lang="ja-JP" altLang="ja-JP" sz="1600"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  <a:p xmlns:a="http://schemas.openxmlformats.org/drawingml/2006/main">
          <a:pPr algn="ctr"/>
          <a:endParaRPr lang="ja-JP" altLang="en-US" sz="1600">
            <a:latin typeface="Segoe UI Semibold" panose="020B0702040204020203" pitchFamily="34" charset="0"/>
            <a:ea typeface="+mn-ea"/>
            <a:cs typeface="Segoe UI Semibold" panose="020B0702040204020203" pitchFamily="34" charset="0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0.18515</cdr:x>
      <cdr:y>0.10153</cdr:y>
    </cdr:from>
    <cdr:to>
      <cdr:x>0.30949</cdr:x>
      <cdr:y>0.18859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4FAB60E3-FA37-FFCD-0F45-3DF158774037}"/>
            </a:ext>
          </a:extLst>
        </cdr:cNvPr>
        <cdr:cNvSpPr txBox="1"/>
      </cdr:nvSpPr>
      <cdr:spPr>
        <a:xfrm xmlns:a="http://schemas.openxmlformats.org/drawingml/2006/main">
          <a:off x="1086357" y="411217"/>
          <a:ext cx="729552" cy="3526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72000" bIns="0" rtlCol="0"/>
        <a:lstStyle xmlns:a="http://schemas.openxmlformats.org/drawingml/2006/main"/>
        <a:p xmlns:a="http://schemas.openxmlformats.org/drawingml/2006/main">
          <a:pPr algn="ctr"/>
          <a:r>
            <a:rPr lang="en-US" altLang="ja-JP" sz="120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[  °</a:t>
          </a:r>
          <a:r>
            <a:rPr lang="en-US" altLang="ja-JP" sz="1200" baseline="3000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 </a:t>
          </a:r>
          <a:r>
            <a:rPr lang="en-US" altLang="ja-JP" sz="1200" baseline="0">
              <a:latin typeface="Varela Round" panose="00000500000000000000" pitchFamily="2" charset="-79"/>
              <a:ea typeface="+mn-ea"/>
              <a:cs typeface="Varela Round" panose="00000500000000000000" pitchFamily="2" charset="-79"/>
            </a:rPr>
            <a:t>]</a:t>
          </a:r>
          <a:endParaRPr lang="ja-JP" altLang="en-US" sz="1200">
            <a:latin typeface="Varela Round" panose="00000500000000000000" pitchFamily="2" charset="-79"/>
            <a:ea typeface="+mn-ea"/>
            <a:cs typeface="Varela Round" panose="00000500000000000000" pitchFamily="2" charset="-79"/>
          </a:endParaRPr>
        </a:p>
      </cdr:txBody>
    </cdr:sp>
  </cdr:relSizeAnchor>
  <cdr:relSizeAnchor xmlns:cdr="http://schemas.openxmlformats.org/drawingml/2006/chartDrawing">
    <cdr:from>
      <cdr:x>0.02318</cdr:x>
      <cdr:y>0</cdr:y>
    </cdr:from>
    <cdr:to>
      <cdr:x>0.08709</cdr:x>
      <cdr:y>0.98588</cdr:y>
    </cdr:to>
    <cdr:sp macro="" textlink="">
      <cdr:nvSpPr>
        <cdr:cNvPr id="3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CBF4C218-FA83-3C13-8E4F-21ECCC8D53E8}"/>
            </a:ext>
          </a:extLst>
        </cdr:cNvPr>
        <cdr:cNvSpPr txBox="1"/>
      </cdr:nvSpPr>
      <cdr:spPr>
        <a:xfrm xmlns:a="http://schemas.openxmlformats.org/drawingml/2006/main" rot="16200000">
          <a:off x="-1672982" y="1809011"/>
          <a:ext cx="3993008" cy="3749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Average direction change of </a:t>
          </a:r>
          <a:r>
            <a:rPr lang="en-US" altLang="ja-JP" sz="1600" b="0" i="1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Human</a:t>
          </a:r>
        </a:p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going straight and right side</a:t>
          </a:r>
          <a:b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</a:br>
          <a:r>
            <a:rPr lang="en-US" altLang="ja-JP" sz="1600" b="0" i="0" baseline="0"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at 1 step in Passing behavior (n=100)  </a:t>
          </a:r>
          <a:endParaRPr lang="ja-JP" altLang="ja-JP" sz="1600">
            <a:effectLst/>
            <a:latin typeface="Segoe UI Semibold" panose="020B0702040204020203" pitchFamily="34" charset="0"/>
            <a:cs typeface="Segoe UI Semibold" panose="020B0702040204020203" pitchFamily="34" charset="0"/>
          </a:endParaRPr>
        </a:p>
        <a:p xmlns:a="http://schemas.openxmlformats.org/drawingml/2006/main">
          <a:pPr algn="ctr"/>
          <a:endParaRPr lang="ja-JP" altLang="en-US" sz="1600">
            <a:latin typeface="Segoe UI Semibold" panose="020B0702040204020203" pitchFamily="34" charset="0"/>
            <a:ea typeface="+mn-ea"/>
            <a:cs typeface="Segoe UI Semibold" panose="020B0702040204020203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1036-D21B-486C-8AE4-51FD5B50F7F6}">
  <dimension ref="A1:AD107"/>
  <sheetViews>
    <sheetView tabSelected="1" topLeftCell="H1" workbookViewId="0">
      <pane ySplit="1" topLeftCell="A2" activePane="bottomLeft" state="frozen"/>
      <selection pane="bottomLeft" activeCell="R106" sqref="R106"/>
    </sheetView>
  </sheetViews>
  <sheetFormatPr defaultRowHeight="18" x14ac:dyDescent="0.45"/>
  <cols>
    <col min="2" max="2" width="9.09765625" bestFit="1" customWidth="1"/>
    <col min="3" max="3" width="10.5" bestFit="1" customWidth="1"/>
    <col min="4" max="4" width="10.3984375" bestFit="1" customWidth="1"/>
    <col min="5" max="5" width="9.5" bestFit="1" customWidth="1"/>
    <col min="6" max="6" width="10.5" bestFit="1" customWidth="1"/>
    <col min="7" max="7" width="9.5" bestFit="1" customWidth="1"/>
    <col min="8" max="8" width="10.5" bestFit="1" customWidth="1"/>
    <col min="9" max="9" width="10.3984375" bestFit="1" customWidth="1"/>
    <col min="10" max="10" width="12.59765625" bestFit="1" customWidth="1"/>
    <col min="22" max="22" width="12.69921875" bestFit="1" customWidth="1"/>
    <col min="30" max="30" width="9.5" bestFit="1" customWidth="1"/>
  </cols>
  <sheetData>
    <row r="1" spans="1:30" x14ac:dyDescent="0.4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 t="s">
        <v>1</v>
      </c>
      <c r="K1" t="s">
        <v>2</v>
      </c>
      <c r="L1" t="s">
        <v>3</v>
      </c>
      <c r="N1" t="s">
        <v>4</v>
      </c>
      <c r="O1">
        <v>1.5</v>
      </c>
      <c r="P1">
        <v>2.5</v>
      </c>
      <c r="Q1">
        <v>3.5</v>
      </c>
      <c r="R1">
        <v>4.5</v>
      </c>
      <c r="S1">
        <v>5.5</v>
      </c>
      <c r="T1">
        <v>6.5</v>
      </c>
      <c r="U1">
        <v>7.5</v>
      </c>
      <c r="V1" t="s">
        <v>1</v>
      </c>
      <c r="W1" t="s">
        <v>6</v>
      </c>
      <c r="AD1" t="s">
        <v>5</v>
      </c>
    </row>
    <row r="2" spans="1:30" x14ac:dyDescent="0.45">
      <c r="B2">
        <v>0</v>
      </c>
      <c r="C2">
        <v>1.7779048735907299</v>
      </c>
      <c r="D2">
        <v>-3.5419319594199399</v>
      </c>
      <c r="E2">
        <v>5.30610101765987</v>
      </c>
      <c r="F2">
        <v>8.1375317215011904</v>
      </c>
      <c r="G2">
        <v>3.58502343947062</v>
      </c>
      <c r="H2">
        <v>-6.8600426697856802</v>
      </c>
      <c r="I2">
        <v>-7.8640927305722297</v>
      </c>
      <c r="J2">
        <f>AVERAGE(B2:I2)</f>
        <v>6.7561711555570225E-2</v>
      </c>
      <c r="K2">
        <f>COUNTIF(B2:I2,"&gt;=0")</f>
        <v>5</v>
      </c>
      <c r="L2" cm="1">
        <f t="array" ref="L2">SUMPRODUCT(N(B2:H2*C2:I2&lt;0))</f>
        <v>3</v>
      </c>
      <c r="O2">
        <v>8.4612976001457299E-2</v>
      </c>
      <c r="P2">
        <v>0.74288762009577203</v>
      </c>
      <c r="Q2">
        <v>0.94137241062791399</v>
      </c>
      <c r="R2">
        <v>5.3661229936710901E-2</v>
      </c>
      <c r="S2">
        <v>0.72387776348571498</v>
      </c>
      <c r="T2">
        <v>0.44842693293570601</v>
      </c>
      <c r="U2">
        <v>0.69117868856005105</v>
      </c>
      <c r="V2">
        <f>AVERAGE(O2:U2)</f>
        <v>0.52657394594904661</v>
      </c>
      <c r="W2">
        <f>V2*360/(3.14*2)</f>
        <v>30.185767602174646</v>
      </c>
    </row>
    <row r="3" spans="1:30" x14ac:dyDescent="0.45">
      <c r="B3">
        <v>0</v>
      </c>
      <c r="C3">
        <v>1.7779048735907299</v>
      </c>
      <c r="D3">
        <v>-3.5419319594199399</v>
      </c>
      <c r="E3">
        <v>-1.7709659792240702</v>
      </c>
      <c r="F3">
        <v>1.7952521083501201</v>
      </c>
      <c r="G3">
        <v>0</v>
      </c>
      <c r="H3">
        <v>1.27591923898725</v>
      </c>
      <c r="I3">
        <v>-3.5600139522696099</v>
      </c>
      <c r="J3">
        <f t="shared" ref="J3:J66" si="0">AVERAGE(B3:I3)</f>
        <v>-0.50297945874818994</v>
      </c>
      <c r="K3">
        <f t="shared" ref="K3:K66" si="1">COUNTIF(B3:I3,"&gt;=0")</f>
        <v>5</v>
      </c>
      <c r="L3" cm="1">
        <f t="array" ref="L3">SUMPRODUCT(N(B3:H3*C3:I3&lt;0))</f>
        <v>3</v>
      </c>
      <c r="O3">
        <v>9.3617140350784694E-2</v>
      </c>
      <c r="P3">
        <v>0.71757999029508901</v>
      </c>
      <c r="Q3">
        <v>1.27923282985392</v>
      </c>
      <c r="R3">
        <v>0.58257170079957898</v>
      </c>
      <c r="S3">
        <v>0.52017872261321796</v>
      </c>
      <c r="T3">
        <v>0.72075042580772697</v>
      </c>
      <c r="U3">
        <v>0.14138991012315699</v>
      </c>
      <c r="V3">
        <f t="shared" ref="V3:V66" si="2">AVERAGE(O3:U3)</f>
        <v>0.57933153140621063</v>
      </c>
      <c r="W3">
        <f t="shared" ref="W3:W66" si="3">V3*360/(3.14*2)</f>
        <v>33.210087787617169</v>
      </c>
    </row>
    <row r="4" spans="1:30" x14ac:dyDescent="0.45">
      <c r="B4">
        <v>0</v>
      </c>
      <c r="C4">
        <v>1.7779048735907299</v>
      </c>
      <c r="D4">
        <v>-3.5419319594199399</v>
      </c>
      <c r="E4">
        <v>-1.7709659792240702</v>
      </c>
      <c r="F4">
        <v>-3.5419319594199399</v>
      </c>
      <c r="G4">
        <v>-3.5424998494789097</v>
      </c>
      <c r="H4">
        <v>-3.5419319594199399</v>
      </c>
      <c r="I4">
        <v>-1.7709659792240702</v>
      </c>
      <c r="J4">
        <f t="shared" si="0"/>
        <v>-1.9915403515745176</v>
      </c>
      <c r="K4">
        <f t="shared" si="1"/>
        <v>2</v>
      </c>
      <c r="L4" cm="1">
        <f t="array" ref="L4">SUMPRODUCT(N(B4:H4*C4:I4&lt;0))</f>
        <v>1</v>
      </c>
      <c r="O4">
        <v>0.14407348342470799</v>
      </c>
      <c r="P4">
        <v>0.71104184088785904</v>
      </c>
      <c r="Q4">
        <v>0.48032554539912498</v>
      </c>
      <c r="R4">
        <v>0.47754672564760797</v>
      </c>
      <c r="S4">
        <v>0.71535603637787204</v>
      </c>
      <c r="T4">
        <v>0.155212952520938</v>
      </c>
      <c r="U4">
        <v>3.7941263872579498E-2</v>
      </c>
      <c r="V4">
        <f t="shared" si="2"/>
        <v>0.38878540687581281</v>
      </c>
      <c r="W4">
        <f t="shared" si="3"/>
        <v>22.287061540651688</v>
      </c>
    </row>
    <row r="5" spans="1:30" x14ac:dyDescent="0.45">
      <c r="B5">
        <v>0</v>
      </c>
      <c r="C5">
        <v>1.7779048735907299</v>
      </c>
      <c r="D5">
        <v>-3.5419319594199399</v>
      </c>
      <c r="E5">
        <v>5.30610101765987</v>
      </c>
      <c r="F5">
        <v>8.1375317215011904</v>
      </c>
      <c r="G5">
        <v>3.58502343947062</v>
      </c>
      <c r="H5">
        <v>-6.8600426697856802</v>
      </c>
      <c r="I5">
        <v>-7.8640927305722297</v>
      </c>
      <c r="J5">
        <f t="shared" si="0"/>
        <v>6.7561711555570225E-2</v>
      </c>
      <c r="K5">
        <f t="shared" si="1"/>
        <v>5</v>
      </c>
      <c r="L5" cm="1">
        <f t="array" ref="L5">SUMPRODUCT(N(B5:H5*C5:I5&lt;0))</f>
        <v>3</v>
      </c>
      <c r="O5">
        <v>8.4612976001457299E-2</v>
      </c>
      <c r="P5">
        <v>0.74288762009577203</v>
      </c>
      <c r="Q5">
        <v>0.94137241062791399</v>
      </c>
      <c r="R5">
        <v>5.3661229936710901E-2</v>
      </c>
      <c r="S5">
        <v>0.72387776348571498</v>
      </c>
      <c r="T5">
        <v>0.44842693293570601</v>
      </c>
      <c r="U5">
        <v>0.69117868856005105</v>
      </c>
      <c r="V5">
        <f t="shared" si="2"/>
        <v>0.52657394594904661</v>
      </c>
      <c r="W5">
        <f t="shared" si="3"/>
        <v>30.185767602174646</v>
      </c>
    </row>
    <row r="6" spans="1:30" x14ac:dyDescent="0.45">
      <c r="B6">
        <v>0</v>
      </c>
      <c r="C6">
        <v>1.7779048735907299</v>
      </c>
      <c r="D6">
        <v>-3.5419319594199399</v>
      </c>
      <c r="E6">
        <v>-1.7952521083501103</v>
      </c>
      <c r="F6">
        <v>0</v>
      </c>
      <c r="G6">
        <v>1.27591923898725</v>
      </c>
      <c r="H6">
        <v>-3.5600139522696099</v>
      </c>
      <c r="I6">
        <v>-5.5785320906463394</v>
      </c>
      <c r="J6">
        <f t="shared" si="0"/>
        <v>-1.4277382497635025</v>
      </c>
      <c r="K6">
        <f t="shared" si="1"/>
        <v>4</v>
      </c>
      <c r="L6" cm="1">
        <f t="array" ref="L6">SUMPRODUCT(N(B6:H6*C6:I6&lt;0))</f>
        <v>2</v>
      </c>
      <c r="O6">
        <v>0.113858267087087</v>
      </c>
      <c r="P6">
        <v>0.83409983905834995</v>
      </c>
      <c r="Q6">
        <v>1.2198255935042801</v>
      </c>
      <c r="R6">
        <v>1.2241124944190001</v>
      </c>
      <c r="S6">
        <v>0.83571430302685001</v>
      </c>
      <c r="T6">
        <v>0.121557089758523</v>
      </c>
      <c r="U6">
        <v>2.7803878566330199E-2</v>
      </c>
      <c r="V6">
        <f t="shared" si="2"/>
        <v>0.62528163791720293</v>
      </c>
      <c r="W6">
        <f t="shared" si="3"/>
        <v>35.84417032646386</v>
      </c>
    </row>
    <row r="7" spans="1:30" x14ac:dyDescent="0.45">
      <c r="B7">
        <v>0</v>
      </c>
      <c r="C7">
        <v>1.7779048735907299</v>
      </c>
      <c r="D7">
        <v>-3.5419319594199399</v>
      </c>
      <c r="E7">
        <v>-1.7709659792240702</v>
      </c>
      <c r="F7">
        <v>-3.5423578768831798</v>
      </c>
      <c r="G7">
        <v>-3.90383047256957E-10</v>
      </c>
      <c r="H7">
        <v>3.58502343947062</v>
      </c>
      <c r="I7">
        <v>-6.8600426697856802</v>
      </c>
      <c r="J7">
        <f t="shared" si="0"/>
        <v>-1.2940462715802379</v>
      </c>
      <c r="K7">
        <f t="shared" si="1"/>
        <v>3</v>
      </c>
      <c r="L7" cm="1">
        <f t="array" ref="L7">SUMPRODUCT(N(B7:H7*C7:I7&lt;0))</f>
        <v>3</v>
      </c>
      <c r="O7">
        <v>8.5803293755179602E-2</v>
      </c>
      <c r="P7">
        <v>0.73941899112135501</v>
      </c>
      <c r="Q7">
        <v>0.98005620865793097</v>
      </c>
      <c r="R7">
        <v>0.113036551261101</v>
      </c>
      <c r="S7">
        <v>0.92481862109227797</v>
      </c>
      <c r="T7">
        <v>0.185026561164092</v>
      </c>
      <c r="U7">
        <v>4.29848715280216E-2</v>
      </c>
      <c r="V7">
        <f t="shared" si="2"/>
        <v>0.43873501408285109</v>
      </c>
      <c r="W7">
        <f t="shared" si="3"/>
        <v>25.150414820036048</v>
      </c>
    </row>
    <row r="8" spans="1:30" x14ac:dyDescent="0.45">
      <c r="B8">
        <v>0</v>
      </c>
      <c r="C8">
        <v>1.7779048735907299</v>
      </c>
      <c r="D8">
        <v>-3.5419319594199399</v>
      </c>
      <c r="E8">
        <v>5.30610101765987</v>
      </c>
      <c r="F8">
        <v>8.1375317215011904</v>
      </c>
      <c r="G8">
        <v>3.58502343947062</v>
      </c>
      <c r="H8">
        <v>-6.8600426697856802</v>
      </c>
      <c r="I8">
        <v>-7.8640927305722297</v>
      </c>
      <c r="J8">
        <f t="shared" si="0"/>
        <v>6.7561711555570225E-2</v>
      </c>
      <c r="K8">
        <f t="shared" si="1"/>
        <v>5</v>
      </c>
      <c r="L8" cm="1">
        <f t="array" ref="L8">SUMPRODUCT(N(B8:H8*C8:I8&lt;0))</f>
        <v>3</v>
      </c>
      <c r="O8">
        <v>0.128235514785039</v>
      </c>
      <c r="P8">
        <v>0.63241174540204503</v>
      </c>
      <c r="Q8">
        <v>0.63873276949435098</v>
      </c>
      <c r="R8">
        <v>0.139908224311698</v>
      </c>
      <c r="S8">
        <v>3.78602506643229E-2</v>
      </c>
      <c r="T8">
        <v>1.1243549035521201E-2</v>
      </c>
      <c r="U8">
        <v>3.1671690761064298E-3</v>
      </c>
      <c r="V8">
        <f t="shared" si="2"/>
        <v>0.2273656032527262</v>
      </c>
      <c r="W8">
        <f t="shared" si="3"/>
        <v>13.033697001748635</v>
      </c>
    </row>
    <row r="9" spans="1:30" x14ac:dyDescent="0.45">
      <c r="B9">
        <v>0</v>
      </c>
      <c r="C9">
        <v>1.7779048735907299</v>
      </c>
      <c r="D9">
        <v>-3.5419319594199399</v>
      </c>
      <c r="E9">
        <v>-3.5424998494789097</v>
      </c>
      <c r="F9">
        <v>-3.5419319594199399</v>
      </c>
      <c r="G9">
        <v>-3.5424998494789097</v>
      </c>
      <c r="H9">
        <v>-3.5419319594199399</v>
      </c>
      <c r="I9">
        <v>-1.7952521083501103</v>
      </c>
      <c r="J9">
        <f t="shared" si="0"/>
        <v>-2.2160178514971274</v>
      </c>
      <c r="K9">
        <f t="shared" si="1"/>
        <v>2</v>
      </c>
      <c r="L9" cm="1">
        <f t="array" ref="L9">SUMPRODUCT(N(B9:H9*C9:I9&lt;0))</f>
        <v>1</v>
      </c>
      <c r="O9">
        <v>0.178485541067262</v>
      </c>
      <c r="P9">
        <v>0.95039780615288905</v>
      </c>
      <c r="Q9">
        <v>0.218388103778136</v>
      </c>
      <c r="R9">
        <v>0.26382173773226397</v>
      </c>
      <c r="S9">
        <v>0.155531702654604</v>
      </c>
      <c r="T9">
        <v>3.5281014266621898E-2</v>
      </c>
      <c r="U9">
        <v>1.4574396947437399E-2</v>
      </c>
      <c r="V9">
        <f t="shared" si="2"/>
        <v>0.25949718608560202</v>
      </c>
      <c r="W9">
        <f t="shared" si="3"/>
        <v>14.875634871149158</v>
      </c>
    </row>
    <row r="10" spans="1:30" x14ac:dyDescent="0.45">
      <c r="B10">
        <v>0</v>
      </c>
      <c r="C10">
        <v>1.7779048735907299</v>
      </c>
      <c r="D10">
        <v>-3.5419319594199399</v>
      </c>
      <c r="E10">
        <v>-1.7952521083501103</v>
      </c>
      <c r="F10">
        <v>0</v>
      </c>
      <c r="G10">
        <v>1.27591923898725</v>
      </c>
      <c r="H10">
        <v>-3.5600139522696099</v>
      </c>
      <c r="I10">
        <v>-5.5785320906463394</v>
      </c>
      <c r="J10">
        <f t="shared" si="0"/>
        <v>-1.4277382497635025</v>
      </c>
      <c r="K10">
        <f t="shared" si="1"/>
        <v>4</v>
      </c>
      <c r="L10" cm="1">
        <f t="array" ref="L10">SUMPRODUCT(N(B10:H10*C10:I10&lt;0))</f>
        <v>2</v>
      </c>
      <c r="O10">
        <v>8.3305261732685404E-2</v>
      </c>
      <c r="P10">
        <v>0.76892235418723098</v>
      </c>
      <c r="Q10">
        <v>0.80739468320890095</v>
      </c>
      <c r="R10">
        <v>0.100615747529938</v>
      </c>
      <c r="S10">
        <v>1.8577340345009598E-2</v>
      </c>
      <c r="T10">
        <v>3.81906724015703E-2</v>
      </c>
      <c r="U10">
        <v>2.8078926348069501E-2</v>
      </c>
      <c r="V10">
        <f t="shared" si="2"/>
        <v>0.26358356939334354</v>
      </c>
      <c r="W10">
        <f t="shared" si="3"/>
        <v>15.109886143567465</v>
      </c>
    </row>
    <row r="11" spans="1:30" x14ac:dyDescent="0.45">
      <c r="B11">
        <v>0</v>
      </c>
      <c r="C11">
        <v>1.7779048735907299</v>
      </c>
      <c r="D11">
        <v>-3.5419319594199399</v>
      </c>
      <c r="E11">
        <v>-1.7709659792240702</v>
      </c>
      <c r="F11">
        <v>-3.5423578768831798</v>
      </c>
      <c r="G11">
        <v>-3.90383047256957E-10</v>
      </c>
      <c r="H11">
        <v>3.58502343947062</v>
      </c>
      <c r="I11">
        <v>-6.8600426697856802</v>
      </c>
      <c r="J11">
        <f t="shared" si="0"/>
        <v>-1.2940462715802379</v>
      </c>
      <c r="K11">
        <f t="shared" si="1"/>
        <v>3</v>
      </c>
      <c r="L11" cm="1">
        <f t="array" ref="L11">SUMPRODUCT(N(B11:H11*C11:I11&lt;0))</f>
        <v>3</v>
      </c>
      <c r="O11">
        <v>9.3617140350784694E-2</v>
      </c>
      <c r="P11">
        <v>0.71757999029508901</v>
      </c>
      <c r="Q11">
        <v>1.27923282985392</v>
      </c>
      <c r="R11">
        <v>0.58257170079957898</v>
      </c>
      <c r="S11">
        <v>0.52017872261321796</v>
      </c>
      <c r="T11">
        <v>0.72075042580772697</v>
      </c>
      <c r="U11">
        <v>0.14138991012315699</v>
      </c>
      <c r="V11">
        <f t="shared" si="2"/>
        <v>0.57933153140621063</v>
      </c>
      <c r="W11">
        <f t="shared" si="3"/>
        <v>33.210087787617169</v>
      </c>
    </row>
    <row r="12" spans="1:30" x14ac:dyDescent="0.45">
      <c r="B12">
        <v>0</v>
      </c>
      <c r="C12">
        <v>1.7779048735907299</v>
      </c>
      <c r="D12">
        <v>-3.5419319594199399</v>
      </c>
      <c r="E12">
        <v>-1.7709659792240702</v>
      </c>
      <c r="F12">
        <v>-3.5423578768831798</v>
      </c>
      <c r="G12">
        <v>-3.90383047256957E-10</v>
      </c>
      <c r="H12">
        <v>3.58502343947062</v>
      </c>
      <c r="I12">
        <v>-6.8600426697856802</v>
      </c>
      <c r="J12">
        <f t="shared" si="0"/>
        <v>-1.2940462715802379</v>
      </c>
      <c r="K12">
        <f t="shared" si="1"/>
        <v>3</v>
      </c>
      <c r="L12" cm="1">
        <f t="array" ref="L12">SUMPRODUCT(N(B12:H12*C12:I12&lt;0))</f>
        <v>3</v>
      </c>
      <c r="O12">
        <v>0.128235514785039</v>
      </c>
      <c r="P12">
        <v>0.63241174540204503</v>
      </c>
      <c r="Q12">
        <v>0.63873276949435098</v>
      </c>
      <c r="R12">
        <v>0.139908224311698</v>
      </c>
      <c r="S12">
        <v>3.78602506643229E-2</v>
      </c>
      <c r="T12">
        <v>1.1243549035521201E-2</v>
      </c>
      <c r="U12">
        <v>3.1671690761064298E-3</v>
      </c>
      <c r="V12">
        <f t="shared" si="2"/>
        <v>0.2273656032527262</v>
      </c>
      <c r="W12">
        <f t="shared" si="3"/>
        <v>13.033697001748635</v>
      </c>
    </row>
    <row r="13" spans="1:30" x14ac:dyDescent="0.45">
      <c r="B13">
        <v>0</v>
      </c>
      <c r="C13">
        <v>1.7779048735907299</v>
      </c>
      <c r="D13">
        <v>-3.5419319594199399</v>
      </c>
      <c r="E13">
        <v>5.30610101765987</v>
      </c>
      <c r="F13">
        <v>8.1375317215011904</v>
      </c>
      <c r="G13">
        <v>3.58502343947062</v>
      </c>
      <c r="H13">
        <v>-6.8600426697856802</v>
      </c>
      <c r="I13">
        <v>-7.8640927305722297</v>
      </c>
      <c r="J13">
        <f t="shared" si="0"/>
        <v>6.7561711555570225E-2</v>
      </c>
      <c r="K13">
        <f t="shared" si="1"/>
        <v>5</v>
      </c>
      <c r="L13" cm="1">
        <f t="array" ref="L13">SUMPRODUCT(N(B13:H13*C13:I13&lt;0))</f>
        <v>3</v>
      </c>
      <c r="O13">
        <v>0.128235514785039</v>
      </c>
      <c r="P13">
        <v>0.63241174540204503</v>
      </c>
      <c r="Q13">
        <v>0.63873276949435098</v>
      </c>
      <c r="R13">
        <v>0.139908224311698</v>
      </c>
      <c r="S13">
        <v>3.78602506643229E-2</v>
      </c>
      <c r="T13">
        <v>1.1243549035521201E-2</v>
      </c>
      <c r="U13">
        <v>3.1671690761064298E-3</v>
      </c>
      <c r="V13">
        <f t="shared" si="2"/>
        <v>0.2273656032527262</v>
      </c>
      <c r="W13">
        <f t="shared" si="3"/>
        <v>13.033697001748635</v>
      </c>
    </row>
    <row r="14" spans="1:30" x14ac:dyDescent="0.45">
      <c r="B14">
        <v>0</v>
      </c>
      <c r="C14">
        <v>1.7779048735907299</v>
      </c>
      <c r="D14">
        <v>-3.5419319594199399</v>
      </c>
      <c r="E14">
        <v>5.30610101765987</v>
      </c>
      <c r="F14">
        <v>8.1375317215011904</v>
      </c>
      <c r="G14">
        <v>3.58502343947062</v>
      </c>
      <c r="H14">
        <v>-6.8600426697856802</v>
      </c>
      <c r="I14">
        <v>-7.8640927305722297</v>
      </c>
      <c r="J14">
        <f t="shared" si="0"/>
        <v>6.7561711555570225E-2</v>
      </c>
      <c r="K14">
        <f t="shared" si="1"/>
        <v>5</v>
      </c>
      <c r="L14" cm="1">
        <f t="array" ref="L14">SUMPRODUCT(N(B14:H14*C14:I14&lt;0))</f>
        <v>3</v>
      </c>
      <c r="O14">
        <v>8.5803293755179602E-2</v>
      </c>
      <c r="P14">
        <v>0.73941899112135501</v>
      </c>
      <c r="Q14">
        <v>0.98005620865793097</v>
      </c>
      <c r="R14">
        <v>0.113036551261101</v>
      </c>
      <c r="S14">
        <v>0.92481862109227797</v>
      </c>
      <c r="T14">
        <v>0.185026561164092</v>
      </c>
      <c r="U14">
        <v>4.29848715280216E-2</v>
      </c>
      <c r="V14">
        <f t="shared" si="2"/>
        <v>0.43873501408285109</v>
      </c>
      <c r="W14">
        <f t="shared" si="3"/>
        <v>25.150414820036048</v>
      </c>
    </row>
    <row r="15" spans="1:30" x14ac:dyDescent="0.45">
      <c r="B15">
        <v>0</v>
      </c>
      <c r="C15">
        <v>1.7779048735907299</v>
      </c>
      <c r="D15">
        <v>-3.5419319594199399</v>
      </c>
      <c r="E15">
        <v>-3.5424998494789097</v>
      </c>
      <c r="F15">
        <v>-3.5419319594199399</v>
      </c>
      <c r="G15">
        <v>-1.7709659792240702</v>
      </c>
      <c r="H15">
        <v>-3.5423578768831798</v>
      </c>
      <c r="I15">
        <v>-3.90383047256957E-10</v>
      </c>
      <c r="J15">
        <f t="shared" si="0"/>
        <v>-1.7702228439032117</v>
      </c>
      <c r="K15">
        <f t="shared" si="1"/>
        <v>2</v>
      </c>
      <c r="L15" cm="1">
        <f t="array" ref="L15">SUMPRODUCT(N(B15:H15*C15:I15&lt;0))</f>
        <v>1</v>
      </c>
      <c r="O15">
        <v>8.2089220682593805E-2</v>
      </c>
      <c r="P15">
        <v>0.75040243195911804</v>
      </c>
      <c r="Q15">
        <v>0.86511107450773805</v>
      </c>
      <c r="R15">
        <v>4.6997020142479501E-2</v>
      </c>
      <c r="S15">
        <v>0.20363357864422599</v>
      </c>
      <c r="T15">
        <v>0.94625433963234695</v>
      </c>
      <c r="U15">
        <v>0.19634076670300801</v>
      </c>
      <c r="V15">
        <f t="shared" si="2"/>
        <v>0.44154691889593006</v>
      </c>
      <c r="W15">
        <f t="shared" si="3"/>
        <v>25.311606815690258</v>
      </c>
    </row>
    <row r="16" spans="1:30" x14ac:dyDescent="0.45">
      <c r="B16">
        <v>0</v>
      </c>
      <c r="C16">
        <v>1.7779048735907299</v>
      </c>
      <c r="D16">
        <v>-3.5419319594199399</v>
      </c>
      <c r="E16">
        <v>-3.5424998494789097</v>
      </c>
      <c r="F16">
        <v>-3.5419319594199399</v>
      </c>
      <c r="G16">
        <v>-1.7709659792240702</v>
      </c>
      <c r="H16">
        <v>-3.5419319594199399</v>
      </c>
      <c r="I16">
        <v>-1.7709659792240702</v>
      </c>
      <c r="J16">
        <f t="shared" si="0"/>
        <v>-1.9915403515745176</v>
      </c>
      <c r="K16">
        <f t="shared" si="1"/>
        <v>2</v>
      </c>
      <c r="L16" cm="1">
        <f t="array" ref="L16">SUMPRODUCT(N(B16:H16*C16:I16&lt;0))</f>
        <v>1</v>
      </c>
      <c r="O16">
        <v>0.11223265896194801</v>
      </c>
      <c r="P16">
        <v>0.86345898439875302</v>
      </c>
      <c r="Q16">
        <v>0.87762329281651996</v>
      </c>
      <c r="R16">
        <v>0.48769855545719998</v>
      </c>
      <c r="S16">
        <v>0.46838957977971402</v>
      </c>
      <c r="T16">
        <v>0.80750385413083903</v>
      </c>
      <c r="U16">
        <v>0.84880671119318096</v>
      </c>
      <c r="V16">
        <f t="shared" si="2"/>
        <v>0.63795909096259351</v>
      </c>
      <c r="W16">
        <f t="shared" si="3"/>
        <v>36.57090330358816</v>
      </c>
    </row>
    <row r="17" spans="2:23" x14ac:dyDescent="0.45">
      <c r="B17">
        <v>0</v>
      </c>
      <c r="C17">
        <v>1.7779048735907299</v>
      </c>
      <c r="D17">
        <v>-3.5419319594199399</v>
      </c>
      <c r="E17">
        <v>-3.5424998494789097</v>
      </c>
      <c r="F17">
        <v>-3.5419319594199399</v>
      </c>
      <c r="G17">
        <v>-1.7709659792240702</v>
      </c>
      <c r="H17">
        <v>-3.5419319594199399</v>
      </c>
      <c r="I17">
        <v>-3.5424998494789097</v>
      </c>
      <c r="J17">
        <f t="shared" si="0"/>
        <v>-2.2129820853563729</v>
      </c>
      <c r="K17">
        <f t="shared" si="1"/>
        <v>2</v>
      </c>
      <c r="L17" cm="1">
        <f t="array" ref="L17">SUMPRODUCT(N(B17:H17*C17:I17&lt;0))</f>
        <v>1</v>
      </c>
      <c r="O17">
        <v>9.3617140350784694E-2</v>
      </c>
      <c r="P17">
        <v>0.71757999029508901</v>
      </c>
      <c r="Q17">
        <v>1.27923282985392</v>
      </c>
      <c r="R17">
        <v>0.58257170079957898</v>
      </c>
      <c r="S17">
        <v>0.52017872261321796</v>
      </c>
      <c r="T17">
        <v>0.72075042580772697</v>
      </c>
      <c r="U17">
        <v>0.14138991012315699</v>
      </c>
      <c r="V17">
        <f t="shared" si="2"/>
        <v>0.57933153140621063</v>
      </c>
      <c r="W17">
        <f t="shared" si="3"/>
        <v>33.210087787617169</v>
      </c>
    </row>
    <row r="18" spans="2:23" x14ac:dyDescent="0.45">
      <c r="B18">
        <v>0</v>
      </c>
      <c r="C18">
        <v>1.7779048735907299</v>
      </c>
      <c r="D18">
        <v>-3.5419319594199399</v>
      </c>
      <c r="E18">
        <v>-1.7709659792240702</v>
      </c>
      <c r="F18">
        <v>-3.5419319594199399</v>
      </c>
      <c r="G18">
        <v>-1.7709659792240702</v>
      </c>
      <c r="H18">
        <v>-3.5423578768831798</v>
      </c>
      <c r="I18">
        <v>-3.90383047256957E-10</v>
      </c>
      <c r="J18">
        <f t="shared" si="0"/>
        <v>-1.5487811101213567</v>
      </c>
      <c r="K18">
        <f t="shared" si="1"/>
        <v>2</v>
      </c>
      <c r="L18" cm="1">
        <f t="array" ref="L18">SUMPRODUCT(N(B18:H18*C18:I18&lt;0))</f>
        <v>1</v>
      </c>
      <c r="O18">
        <v>8.4612976001457299E-2</v>
      </c>
      <c r="P18">
        <v>0.74288762009577203</v>
      </c>
      <c r="Q18">
        <v>0.94137241062791399</v>
      </c>
      <c r="R18">
        <v>5.3661229936710901E-2</v>
      </c>
      <c r="S18">
        <v>0.72387776348571498</v>
      </c>
      <c r="T18">
        <v>0.44842693293570601</v>
      </c>
      <c r="U18">
        <v>0.69117868856005105</v>
      </c>
      <c r="V18">
        <f t="shared" si="2"/>
        <v>0.52657394594904661</v>
      </c>
      <c r="W18">
        <f t="shared" si="3"/>
        <v>30.185767602174646</v>
      </c>
    </row>
    <row r="19" spans="2:23" x14ac:dyDescent="0.45">
      <c r="B19">
        <v>0</v>
      </c>
      <c r="C19">
        <v>1.7779048735907299</v>
      </c>
      <c r="D19">
        <v>-3.5419319594199399</v>
      </c>
      <c r="E19">
        <v>-3.5424998494789097</v>
      </c>
      <c r="F19">
        <v>-3.5419319594199399</v>
      </c>
      <c r="G19">
        <v>-1.7952521083501103</v>
      </c>
      <c r="H19">
        <v>0</v>
      </c>
      <c r="I19">
        <v>1.27591923898725</v>
      </c>
      <c r="J19">
        <f t="shared" si="0"/>
        <v>-1.1709739705113651</v>
      </c>
      <c r="K19">
        <f t="shared" si="1"/>
        <v>4</v>
      </c>
      <c r="L19" cm="1">
        <f t="array" ref="L19">SUMPRODUCT(N(B19:H19*C19:I19&lt;0))</f>
        <v>1</v>
      </c>
      <c r="O19">
        <v>0.169927424490593</v>
      </c>
      <c r="P19">
        <v>0.93986071556557205</v>
      </c>
      <c r="Q19">
        <v>0.17956650900820301</v>
      </c>
      <c r="R19">
        <v>0.34706175666977102</v>
      </c>
      <c r="S19">
        <v>9.7058420692662697E-2</v>
      </c>
      <c r="T19">
        <v>0.66478382987267204</v>
      </c>
      <c r="U19">
        <v>0.64052031768167905</v>
      </c>
      <c r="V19">
        <f t="shared" si="2"/>
        <v>0.43411128199730759</v>
      </c>
      <c r="W19">
        <f t="shared" si="3"/>
        <v>24.885360114495338</v>
      </c>
    </row>
    <row r="20" spans="2:23" x14ac:dyDescent="0.45">
      <c r="B20">
        <v>0</v>
      </c>
      <c r="C20">
        <v>1.7779048735907299</v>
      </c>
      <c r="D20">
        <v>-3.5419319594199399</v>
      </c>
      <c r="E20">
        <v>-1.7709659792240702</v>
      </c>
      <c r="F20">
        <v>1.7952521083501201</v>
      </c>
      <c r="G20">
        <v>0</v>
      </c>
      <c r="H20">
        <v>1.27591923898725</v>
      </c>
      <c r="I20">
        <v>-3.5600139522696099</v>
      </c>
      <c r="J20">
        <f t="shared" si="0"/>
        <v>-0.50297945874818994</v>
      </c>
      <c r="K20">
        <f t="shared" si="1"/>
        <v>5</v>
      </c>
      <c r="L20" cm="1">
        <f t="array" ref="L20">SUMPRODUCT(N(B20:H20*C20:I20&lt;0))</f>
        <v>3</v>
      </c>
      <c r="O20">
        <v>0.128235514785039</v>
      </c>
      <c r="P20">
        <v>0.63241174540204503</v>
      </c>
      <c r="Q20">
        <v>0.63873276949435098</v>
      </c>
      <c r="R20">
        <v>0.139908224311698</v>
      </c>
      <c r="S20">
        <v>3.78602506643229E-2</v>
      </c>
      <c r="T20">
        <v>1.1243549035521201E-2</v>
      </c>
      <c r="U20">
        <v>3.1671690761064298E-3</v>
      </c>
      <c r="V20">
        <f t="shared" si="2"/>
        <v>0.2273656032527262</v>
      </c>
      <c r="W20">
        <f t="shared" si="3"/>
        <v>13.033697001748635</v>
      </c>
    </row>
    <row r="21" spans="2:23" x14ac:dyDescent="0.45">
      <c r="B21">
        <v>0</v>
      </c>
      <c r="C21">
        <v>1.7779048735907299</v>
      </c>
      <c r="D21">
        <v>-3.5419319594199399</v>
      </c>
      <c r="E21">
        <v>-3.5424998494789097</v>
      </c>
      <c r="F21">
        <v>-3.5419319594199399</v>
      </c>
      <c r="G21">
        <v>-3.5424998494789097</v>
      </c>
      <c r="H21">
        <v>-3.5419319594199399</v>
      </c>
      <c r="I21">
        <v>-3.5424998494789097</v>
      </c>
      <c r="J21">
        <f t="shared" si="0"/>
        <v>-2.4344238191382273</v>
      </c>
      <c r="K21">
        <f t="shared" si="1"/>
        <v>2</v>
      </c>
      <c r="L21" cm="1">
        <f t="array" ref="L21">SUMPRODUCT(N(B21:H21*C21:I21&lt;0))</f>
        <v>1</v>
      </c>
      <c r="O21">
        <v>0.113858267087087</v>
      </c>
      <c r="P21">
        <v>0.83409983905834995</v>
      </c>
      <c r="Q21">
        <v>1.2198255935042801</v>
      </c>
      <c r="R21">
        <v>1.2241124944190001</v>
      </c>
      <c r="S21">
        <v>0.83571430302685001</v>
      </c>
      <c r="T21">
        <v>0.121557089758523</v>
      </c>
      <c r="U21">
        <v>2.7803878566330199E-2</v>
      </c>
      <c r="V21">
        <f t="shared" si="2"/>
        <v>0.62528163791720293</v>
      </c>
      <c r="W21">
        <f t="shared" si="3"/>
        <v>35.84417032646386</v>
      </c>
    </row>
    <row r="22" spans="2:23" x14ac:dyDescent="0.45">
      <c r="B22">
        <v>0</v>
      </c>
      <c r="C22">
        <v>1.7779048735907299</v>
      </c>
      <c r="D22">
        <v>-3.5419319594199399</v>
      </c>
      <c r="E22">
        <v>-1.7952521083501103</v>
      </c>
      <c r="F22">
        <v>0</v>
      </c>
      <c r="G22">
        <v>1.27591923898725</v>
      </c>
      <c r="H22">
        <v>-3.5600139522696099</v>
      </c>
      <c r="I22">
        <v>-5.5785320906463394</v>
      </c>
      <c r="J22">
        <f t="shared" si="0"/>
        <v>-1.4277382497635025</v>
      </c>
      <c r="K22">
        <f t="shared" si="1"/>
        <v>4</v>
      </c>
      <c r="L22" cm="1">
        <f t="array" ref="L22">SUMPRODUCT(N(B22:H22*C22:I22&lt;0))</f>
        <v>2</v>
      </c>
      <c r="O22">
        <v>0.11223265896194801</v>
      </c>
      <c r="P22">
        <v>0.86345898439875302</v>
      </c>
      <c r="Q22">
        <v>0.87762329281651996</v>
      </c>
      <c r="R22">
        <v>0.48769855545719998</v>
      </c>
      <c r="S22">
        <v>0.46838957977971402</v>
      </c>
      <c r="T22">
        <v>0.80750385413083903</v>
      </c>
      <c r="U22">
        <v>0.84880671119318096</v>
      </c>
      <c r="V22">
        <f t="shared" si="2"/>
        <v>0.63795909096259351</v>
      </c>
      <c r="W22">
        <f t="shared" si="3"/>
        <v>36.57090330358816</v>
      </c>
    </row>
    <row r="23" spans="2:23" x14ac:dyDescent="0.45">
      <c r="B23">
        <v>0</v>
      </c>
      <c r="C23">
        <v>1.7779048735907299</v>
      </c>
      <c r="D23">
        <v>-3.5419319594199399</v>
      </c>
      <c r="E23">
        <v>-1.7709659792240702</v>
      </c>
      <c r="F23">
        <v>-3.5424998494789097</v>
      </c>
      <c r="G23">
        <v>-1.7709659792240702</v>
      </c>
      <c r="H23">
        <v>-3.5419319594199399</v>
      </c>
      <c r="I23">
        <v>-1.7709659792240702</v>
      </c>
      <c r="J23">
        <f t="shared" si="0"/>
        <v>-1.7701696040500337</v>
      </c>
      <c r="K23">
        <f t="shared" si="1"/>
        <v>2</v>
      </c>
      <c r="L23" cm="1">
        <f t="array" ref="L23">SUMPRODUCT(N(B23:H23*C23:I23&lt;0))</f>
        <v>1</v>
      </c>
      <c r="O23">
        <v>0.14407348342470799</v>
      </c>
      <c r="P23">
        <v>0.71104184088785904</v>
      </c>
      <c r="Q23">
        <v>0.48032554539912498</v>
      </c>
      <c r="R23">
        <v>0.47754672564760797</v>
      </c>
      <c r="S23">
        <v>0.71535603637787204</v>
      </c>
      <c r="T23">
        <v>0.155212952520938</v>
      </c>
      <c r="U23">
        <v>3.7941263872579498E-2</v>
      </c>
      <c r="V23">
        <f t="shared" si="2"/>
        <v>0.38878540687581281</v>
      </c>
      <c r="W23">
        <f t="shared" si="3"/>
        <v>22.287061540651688</v>
      </c>
    </row>
    <row r="24" spans="2:23" x14ac:dyDescent="0.45">
      <c r="B24">
        <v>0</v>
      </c>
      <c r="C24">
        <v>1.7779048735907299</v>
      </c>
      <c r="D24">
        <v>-3.5419319594199399</v>
      </c>
      <c r="E24">
        <v>5.30610101765987</v>
      </c>
      <c r="F24">
        <v>8.1375317215011904</v>
      </c>
      <c r="G24">
        <v>3.58502343947062</v>
      </c>
      <c r="H24">
        <v>-6.8600426697856802</v>
      </c>
      <c r="I24">
        <v>-7.8640927305722297</v>
      </c>
      <c r="J24">
        <f t="shared" si="0"/>
        <v>6.7561711555570225E-2</v>
      </c>
      <c r="K24">
        <f t="shared" si="1"/>
        <v>5</v>
      </c>
      <c r="L24" cm="1">
        <f t="array" ref="L24">SUMPRODUCT(N(B24:H24*C24:I24&lt;0))</f>
        <v>3</v>
      </c>
      <c r="O24">
        <v>0.11223265896194801</v>
      </c>
      <c r="P24">
        <v>0.86345898439875302</v>
      </c>
      <c r="Q24">
        <v>0.87762329281651996</v>
      </c>
      <c r="R24">
        <v>0.48769855545719998</v>
      </c>
      <c r="S24">
        <v>0.46838957977971402</v>
      </c>
      <c r="T24">
        <v>0.80750385413083903</v>
      </c>
      <c r="U24">
        <v>0.84880671119318096</v>
      </c>
      <c r="V24">
        <f t="shared" si="2"/>
        <v>0.63795909096259351</v>
      </c>
      <c r="W24">
        <f t="shared" si="3"/>
        <v>36.57090330358816</v>
      </c>
    </row>
    <row r="25" spans="2:23" x14ac:dyDescent="0.45">
      <c r="B25">
        <v>0</v>
      </c>
      <c r="C25">
        <v>1.7779048735907299</v>
      </c>
      <c r="D25">
        <v>-3.5419319594199399</v>
      </c>
      <c r="E25">
        <v>-3.5424998494789097</v>
      </c>
      <c r="F25">
        <v>-3.5419319594199399</v>
      </c>
      <c r="G25">
        <v>-1.7709659792240702</v>
      </c>
      <c r="H25">
        <v>-3.5419319594199399</v>
      </c>
      <c r="I25">
        <v>-1.7709659792240702</v>
      </c>
      <c r="J25">
        <f t="shared" si="0"/>
        <v>-1.9915403515745176</v>
      </c>
      <c r="K25">
        <f t="shared" si="1"/>
        <v>2</v>
      </c>
      <c r="L25" cm="1">
        <f t="array" ref="L25">SUMPRODUCT(N(B25:H25*C25:I25&lt;0))</f>
        <v>1</v>
      </c>
      <c r="O25">
        <v>0.14407348342470799</v>
      </c>
      <c r="P25">
        <v>0.71104184088785904</v>
      </c>
      <c r="Q25">
        <v>0.48032554539912498</v>
      </c>
      <c r="R25">
        <v>0.47754672564760797</v>
      </c>
      <c r="S25">
        <v>0.71535603637787204</v>
      </c>
      <c r="T25">
        <v>0.155212952520938</v>
      </c>
      <c r="U25">
        <v>3.7941263872579498E-2</v>
      </c>
      <c r="V25">
        <f t="shared" si="2"/>
        <v>0.38878540687581281</v>
      </c>
      <c r="W25">
        <f t="shared" si="3"/>
        <v>22.287061540651688</v>
      </c>
    </row>
    <row r="26" spans="2:23" x14ac:dyDescent="0.45">
      <c r="B26">
        <v>0</v>
      </c>
      <c r="C26">
        <v>1.7779048735907299</v>
      </c>
      <c r="D26">
        <v>-3.5419319594199399</v>
      </c>
      <c r="E26">
        <v>-3.5424998494789097</v>
      </c>
      <c r="F26">
        <v>-3.5419319594199399</v>
      </c>
      <c r="G26">
        <v>-1.7952521083501103</v>
      </c>
      <c r="H26">
        <v>0</v>
      </c>
      <c r="I26">
        <v>1.27591923898725</v>
      </c>
      <c r="J26">
        <f t="shared" si="0"/>
        <v>-1.1709739705113651</v>
      </c>
      <c r="K26">
        <f t="shared" si="1"/>
        <v>4</v>
      </c>
      <c r="L26" cm="1">
        <f t="array" ref="L26">SUMPRODUCT(N(B26:H26*C26:I26&lt;0))</f>
        <v>1</v>
      </c>
      <c r="O26">
        <v>9.1766309131337404E-2</v>
      </c>
      <c r="P26">
        <v>0.79442985773559005</v>
      </c>
      <c r="Q26">
        <v>0.831559265478232</v>
      </c>
      <c r="R26">
        <v>2.5205554969364601E-2</v>
      </c>
      <c r="S26">
        <v>0.59138214393809996</v>
      </c>
      <c r="T26">
        <v>0.61359003886127095</v>
      </c>
      <c r="U26">
        <v>0.74778441708334298</v>
      </c>
      <c r="V26">
        <f t="shared" si="2"/>
        <v>0.52795965531389122</v>
      </c>
      <c r="W26">
        <f t="shared" si="3"/>
        <v>30.265203170860008</v>
      </c>
    </row>
    <row r="27" spans="2:23" x14ac:dyDescent="0.45">
      <c r="B27">
        <v>0</v>
      </c>
      <c r="C27">
        <v>1.7779048735907299</v>
      </c>
      <c r="D27">
        <v>-3.5419319594199399</v>
      </c>
      <c r="E27">
        <v>-1.7952521083501103</v>
      </c>
      <c r="F27">
        <v>0</v>
      </c>
      <c r="G27">
        <v>1.27591923898725</v>
      </c>
      <c r="H27">
        <v>-3.5600139522696099</v>
      </c>
      <c r="I27">
        <v>-5.5785320906463394</v>
      </c>
      <c r="J27">
        <f t="shared" si="0"/>
        <v>-1.4277382497635025</v>
      </c>
      <c r="K27">
        <f t="shared" si="1"/>
        <v>4</v>
      </c>
      <c r="L27" cm="1">
        <f t="array" ref="L27">SUMPRODUCT(N(B27:H27*C27:I27&lt;0))</f>
        <v>2</v>
      </c>
      <c r="O27">
        <v>0.169927424490593</v>
      </c>
      <c r="P27">
        <v>0.93986071556557205</v>
      </c>
      <c r="Q27">
        <v>0.17956650900820301</v>
      </c>
      <c r="R27">
        <v>0.34706175666977102</v>
      </c>
      <c r="S27">
        <v>9.7058420692662697E-2</v>
      </c>
      <c r="T27">
        <v>0.66478382987267204</v>
      </c>
      <c r="U27">
        <v>0.64052031768167905</v>
      </c>
      <c r="V27">
        <f t="shared" si="2"/>
        <v>0.43411128199730759</v>
      </c>
      <c r="W27">
        <f t="shared" si="3"/>
        <v>24.885360114495338</v>
      </c>
    </row>
    <row r="28" spans="2:23" x14ac:dyDescent="0.45">
      <c r="B28">
        <v>0</v>
      </c>
      <c r="C28">
        <v>1.7779048735907299</v>
      </c>
      <c r="D28">
        <v>-3.5419319594199399</v>
      </c>
      <c r="E28">
        <v>5.30610101765987</v>
      </c>
      <c r="F28">
        <v>8.1375317215011904</v>
      </c>
      <c r="G28">
        <v>3.58502343947062</v>
      </c>
      <c r="H28">
        <v>-6.8600426697856802</v>
      </c>
      <c r="I28">
        <v>-7.8640927305722297</v>
      </c>
      <c r="J28">
        <f t="shared" si="0"/>
        <v>6.7561711555570225E-2</v>
      </c>
      <c r="K28">
        <f t="shared" si="1"/>
        <v>5</v>
      </c>
      <c r="L28" cm="1">
        <f t="array" ref="L28">SUMPRODUCT(N(B28:H28*C28:I28&lt;0))</f>
        <v>3</v>
      </c>
      <c r="O28">
        <v>0.14407348342470799</v>
      </c>
      <c r="P28">
        <v>0.71104184088785904</v>
      </c>
      <c r="Q28">
        <v>0.48032554539912498</v>
      </c>
      <c r="R28">
        <v>0.47754672564760797</v>
      </c>
      <c r="S28">
        <v>0.71535603637787204</v>
      </c>
      <c r="T28">
        <v>0.155212952520938</v>
      </c>
      <c r="U28">
        <v>3.7941263872579498E-2</v>
      </c>
      <c r="V28">
        <f t="shared" si="2"/>
        <v>0.38878540687581281</v>
      </c>
      <c r="W28">
        <f t="shared" si="3"/>
        <v>22.287061540651688</v>
      </c>
    </row>
    <row r="29" spans="2:23" x14ac:dyDescent="0.45">
      <c r="B29">
        <v>0</v>
      </c>
      <c r="C29">
        <v>1.7779048735907299</v>
      </c>
      <c r="D29">
        <v>-3.5419319594199399</v>
      </c>
      <c r="E29">
        <v>-1.7952521083501103</v>
      </c>
      <c r="F29">
        <v>0</v>
      </c>
      <c r="G29">
        <v>1.27591923898725</v>
      </c>
      <c r="H29">
        <v>-3.5600139522696099</v>
      </c>
      <c r="I29">
        <v>-5.5785320906463394</v>
      </c>
      <c r="J29">
        <f t="shared" si="0"/>
        <v>-1.4277382497635025</v>
      </c>
      <c r="K29">
        <f t="shared" si="1"/>
        <v>4</v>
      </c>
      <c r="L29" cm="1">
        <f t="array" ref="L29">SUMPRODUCT(N(B29:H29*C29:I29&lt;0))</f>
        <v>2</v>
      </c>
      <c r="O29">
        <v>0.128235514785039</v>
      </c>
      <c r="P29">
        <v>0.63241174540204503</v>
      </c>
      <c r="Q29">
        <v>0.63873276949435098</v>
      </c>
      <c r="R29">
        <v>0.139908224311698</v>
      </c>
      <c r="S29">
        <v>3.78602506643229E-2</v>
      </c>
      <c r="T29">
        <v>1.1243549035521201E-2</v>
      </c>
      <c r="U29">
        <v>3.1671690761064298E-3</v>
      </c>
      <c r="V29">
        <f t="shared" si="2"/>
        <v>0.2273656032527262</v>
      </c>
      <c r="W29">
        <f t="shared" si="3"/>
        <v>13.033697001748635</v>
      </c>
    </row>
    <row r="30" spans="2:23" x14ac:dyDescent="0.45">
      <c r="B30">
        <v>0</v>
      </c>
      <c r="C30">
        <v>1.7779048735907299</v>
      </c>
      <c r="D30">
        <v>-3.5419319594199399</v>
      </c>
      <c r="E30">
        <v>-1.7709659792240702</v>
      </c>
      <c r="F30">
        <v>-3.5424998494789097</v>
      </c>
      <c r="G30">
        <v>-1.7709659792240702</v>
      </c>
      <c r="H30">
        <v>-3.5424998494789097</v>
      </c>
      <c r="I30">
        <v>-1.7709659792240702</v>
      </c>
      <c r="J30">
        <f t="shared" si="0"/>
        <v>-1.770240590307405</v>
      </c>
      <c r="K30">
        <f t="shared" si="1"/>
        <v>2</v>
      </c>
      <c r="L30" cm="1">
        <f t="array" ref="L30">SUMPRODUCT(N(B30:H30*C30:I30&lt;0))</f>
        <v>1</v>
      </c>
      <c r="O30">
        <v>0.113858267087087</v>
      </c>
      <c r="P30">
        <v>0.83409983905834995</v>
      </c>
      <c r="Q30">
        <v>1.2198255935042801</v>
      </c>
      <c r="R30">
        <v>1.2241124944190001</v>
      </c>
      <c r="S30">
        <v>0.83571430302685001</v>
      </c>
      <c r="T30">
        <v>0.121557089758523</v>
      </c>
      <c r="U30">
        <v>2.7803878566330199E-2</v>
      </c>
      <c r="V30">
        <f t="shared" si="2"/>
        <v>0.62528163791720293</v>
      </c>
      <c r="W30">
        <f t="shared" si="3"/>
        <v>35.84417032646386</v>
      </c>
    </row>
    <row r="31" spans="2:23" x14ac:dyDescent="0.45">
      <c r="B31">
        <v>0</v>
      </c>
      <c r="C31">
        <v>1.7779048735907299</v>
      </c>
      <c r="D31">
        <v>-3.5419319594199399</v>
      </c>
      <c r="E31">
        <v>5.30610101765987</v>
      </c>
      <c r="F31">
        <v>8.1375317215011904</v>
      </c>
      <c r="G31">
        <v>3.58502343947062</v>
      </c>
      <c r="H31">
        <v>-6.8600426697856802</v>
      </c>
      <c r="I31">
        <v>-7.8640927305722297</v>
      </c>
      <c r="J31">
        <f t="shared" si="0"/>
        <v>6.7561711555570225E-2</v>
      </c>
      <c r="K31">
        <f t="shared" si="1"/>
        <v>5</v>
      </c>
      <c r="L31" cm="1">
        <f t="array" ref="L31">SUMPRODUCT(N(B31:H31*C31:I31&lt;0))</f>
        <v>3</v>
      </c>
      <c r="O31">
        <v>0.113858267087087</v>
      </c>
      <c r="P31">
        <v>0.83409983905834995</v>
      </c>
      <c r="Q31">
        <v>1.2198255935042801</v>
      </c>
      <c r="R31">
        <v>1.2241124944190001</v>
      </c>
      <c r="S31">
        <v>0.83571430302685001</v>
      </c>
      <c r="T31">
        <v>0.121557089758523</v>
      </c>
      <c r="U31">
        <v>2.7803878566330199E-2</v>
      </c>
      <c r="V31">
        <f t="shared" si="2"/>
        <v>0.62528163791720293</v>
      </c>
      <c r="W31">
        <f t="shared" si="3"/>
        <v>35.84417032646386</v>
      </c>
    </row>
    <row r="32" spans="2:23" x14ac:dyDescent="0.45">
      <c r="B32">
        <v>0</v>
      </c>
      <c r="C32">
        <v>1.7779048735907299</v>
      </c>
      <c r="D32">
        <v>-3.5419319594199399</v>
      </c>
      <c r="E32">
        <v>-1.7952521083501103</v>
      </c>
      <c r="F32">
        <v>0</v>
      </c>
      <c r="G32">
        <v>1.27591923898725</v>
      </c>
      <c r="H32">
        <v>-3.5600139522696099</v>
      </c>
      <c r="I32">
        <v>-5.5785320906463394</v>
      </c>
      <c r="J32">
        <f t="shared" si="0"/>
        <v>-1.4277382497635025</v>
      </c>
      <c r="K32">
        <f t="shared" si="1"/>
        <v>4</v>
      </c>
      <c r="L32" cm="1">
        <f t="array" ref="L32">SUMPRODUCT(N(B32:H32*C32:I32&lt;0))</f>
        <v>2</v>
      </c>
      <c r="O32">
        <v>0.14407348342470799</v>
      </c>
      <c r="P32">
        <v>0.71104184088785904</v>
      </c>
      <c r="Q32">
        <v>0.48032554539912498</v>
      </c>
      <c r="R32">
        <v>0.47754672564760797</v>
      </c>
      <c r="S32">
        <v>0.71535603637787204</v>
      </c>
      <c r="T32">
        <v>0.155212952520938</v>
      </c>
      <c r="U32">
        <v>3.7941263872579498E-2</v>
      </c>
      <c r="V32">
        <f t="shared" si="2"/>
        <v>0.38878540687581281</v>
      </c>
      <c r="W32">
        <f t="shared" si="3"/>
        <v>22.287061540651688</v>
      </c>
    </row>
    <row r="33" spans="2:23" x14ac:dyDescent="0.45">
      <c r="B33">
        <v>0</v>
      </c>
      <c r="C33">
        <v>1.7779048735907299</v>
      </c>
      <c r="D33">
        <v>-3.5419319594199399</v>
      </c>
      <c r="E33">
        <v>5.30610101765987</v>
      </c>
      <c r="F33">
        <v>8.1375317215011904</v>
      </c>
      <c r="G33">
        <v>3.58502343947062</v>
      </c>
      <c r="H33">
        <v>-6.8600426697856802</v>
      </c>
      <c r="I33">
        <v>-7.8640927305722297</v>
      </c>
      <c r="J33">
        <f t="shared" si="0"/>
        <v>6.7561711555570225E-2</v>
      </c>
      <c r="K33">
        <f t="shared" si="1"/>
        <v>5</v>
      </c>
      <c r="L33" cm="1">
        <f t="array" ref="L33">SUMPRODUCT(N(B33:H33*C33:I33&lt;0))</f>
        <v>3</v>
      </c>
      <c r="O33">
        <v>0.11223265896194801</v>
      </c>
      <c r="P33">
        <v>0.86345898439875302</v>
      </c>
      <c r="Q33">
        <v>0.87762329281651996</v>
      </c>
      <c r="R33">
        <v>0.48769855545719998</v>
      </c>
      <c r="S33">
        <v>0.46838957977971402</v>
      </c>
      <c r="T33">
        <v>0.80750385413083903</v>
      </c>
      <c r="U33">
        <v>0.84880671119318096</v>
      </c>
      <c r="V33">
        <f t="shared" si="2"/>
        <v>0.63795909096259351</v>
      </c>
      <c r="W33">
        <f t="shared" si="3"/>
        <v>36.57090330358816</v>
      </c>
    </row>
    <row r="34" spans="2:23" x14ac:dyDescent="0.45">
      <c r="B34">
        <v>0</v>
      </c>
      <c r="C34">
        <v>1.7779048735907299</v>
      </c>
      <c r="D34">
        <v>-3.5419319594199399</v>
      </c>
      <c r="E34">
        <v>-1.7709659792240702</v>
      </c>
      <c r="F34">
        <v>1.7952521083501201</v>
      </c>
      <c r="G34">
        <v>0</v>
      </c>
      <c r="H34">
        <v>1.27591923898725</v>
      </c>
      <c r="I34">
        <v>-3.5600139522696099</v>
      </c>
      <c r="J34">
        <f t="shared" si="0"/>
        <v>-0.50297945874818994</v>
      </c>
      <c r="K34">
        <f t="shared" si="1"/>
        <v>5</v>
      </c>
      <c r="L34" cm="1">
        <f t="array" ref="L34">SUMPRODUCT(N(B34:H34*C34:I34&lt;0))</f>
        <v>3</v>
      </c>
      <c r="O34">
        <v>0.128235514785039</v>
      </c>
      <c r="P34">
        <v>0.63241174540204503</v>
      </c>
      <c r="Q34">
        <v>0.63873276949435098</v>
      </c>
      <c r="R34">
        <v>0.139908224311698</v>
      </c>
      <c r="S34">
        <v>3.78602506643229E-2</v>
      </c>
      <c r="T34">
        <v>1.1243549035521201E-2</v>
      </c>
      <c r="U34">
        <v>3.1671690761064298E-3</v>
      </c>
      <c r="V34">
        <f t="shared" si="2"/>
        <v>0.2273656032527262</v>
      </c>
      <c r="W34">
        <f t="shared" si="3"/>
        <v>13.033697001748635</v>
      </c>
    </row>
    <row r="35" spans="2:23" x14ac:dyDescent="0.45">
      <c r="B35">
        <v>0</v>
      </c>
      <c r="C35">
        <v>1.7779048735907299</v>
      </c>
      <c r="D35">
        <v>-3.5419319594199399</v>
      </c>
      <c r="E35">
        <v>-1.7709659792240702</v>
      </c>
      <c r="F35">
        <v>-3.5424998494789097</v>
      </c>
      <c r="G35">
        <v>-1.7709659792240702</v>
      </c>
      <c r="H35">
        <v>-3.5423578768831798</v>
      </c>
      <c r="I35">
        <v>-3.90383047256957E-10</v>
      </c>
      <c r="J35">
        <f t="shared" si="0"/>
        <v>-1.5488520963787278</v>
      </c>
      <c r="K35">
        <f t="shared" si="1"/>
        <v>2</v>
      </c>
      <c r="L35" cm="1">
        <f t="array" ref="L35">SUMPRODUCT(N(B35:H35*C35:I35&lt;0))</f>
        <v>1</v>
      </c>
      <c r="O35">
        <v>0.128235514785039</v>
      </c>
      <c r="P35">
        <v>0.63241174540204503</v>
      </c>
      <c r="Q35">
        <v>0.63873276949435098</v>
      </c>
      <c r="R35">
        <v>0.139908224311698</v>
      </c>
      <c r="S35">
        <v>3.78602506643229E-2</v>
      </c>
      <c r="T35">
        <v>1.1243549035521201E-2</v>
      </c>
      <c r="U35">
        <v>3.1671690761064298E-3</v>
      </c>
      <c r="V35">
        <f t="shared" si="2"/>
        <v>0.2273656032527262</v>
      </c>
      <c r="W35">
        <f t="shared" si="3"/>
        <v>13.033697001748635</v>
      </c>
    </row>
    <row r="36" spans="2:23" x14ac:dyDescent="0.45">
      <c r="B36">
        <v>0</v>
      </c>
      <c r="C36">
        <v>1.7779048735907299</v>
      </c>
      <c r="D36">
        <v>-3.5419319594199399</v>
      </c>
      <c r="E36">
        <v>-3.5424998494789097</v>
      </c>
      <c r="F36">
        <v>-3.5419319594199399</v>
      </c>
      <c r="G36">
        <v>5.30610101765987</v>
      </c>
      <c r="H36">
        <v>8.1375317215011904</v>
      </c>
      <c r="I36">
        <v>3.58502343947062</v>
      </c>
      <c r="J36">
        <f t="shared" si="0"/>
        <v>1.0225246604879525</v>
      </c>
      <c r="K36">
        <f t="shared" si="1"/>
        <v>5</v>
      </c>
      <c r="L36" cm="1">
        <f t="array" ref="L36">SUMPRODUCT(N(B36:H36*C36:I36&lt;0))</f>
        <v>2</v>
      </c>
      <c r="O36">
        <v>0.14407348342470799</v>
      </c>
      <c r="P36">
        <v>0.71104184088785904</v>
      </c>
      <c r="Q36">
        <v>0.48032554539912498</v>
      </c>
      <c r="R36">
        <v>0.47754672564760797</v>
      </c>
      <c r="S36">
        <v>0.71535603637787204</v>
      </c>
      <c r="T36">
        <v>0.155212952520938</v>
      </c>
      <c r="U36">
        <v>3.7941263872579498E-2</v>
      </c>
      <c r="V36">
        <f t="shared" si="2"/>
        <v>0.38878540687581281</v>
      </c>
      <c r="W36">
        <f t="shared" si="3"/>
        <v>22.287061540651688</v>
      </c>
    </row>
    <row r="37" spans="2:23" x14ac:dyDescent="0.45">
      <c r="B37">
        <v>0</v>
      </c>
      <c r="C37">
        <v>1.7779048735907299</v>
      </c>
      <c r="D37">
        <v>-3.5419319594199399</v>
      </c>
      <c r="E37">
        <v>-3.5424998494789097</v>
      </c>
      <c r="F37">
        <v>-3.5419319594199399</v>
      </c>
      <c r="G37">
        <v>-1.7952521083501103</v>
      </c>
      <c r="H37">
        <v>0</v>
      </c>
      <c r="I37">
        <v>1.27591923898725</v>
      </c>
      <c r="J37">
        <f t="shared" si="0"/>
        <v>-1.1709739705113651</v>
      </c>
      <c r="K37">
        <f t="shared" si="1"/>
        <v>4</v>
      </c>
      <c r="L37" cm="1">
        <f t="array" ref="L37">SUMPRODUCT(N(B37:H37*C37:I37&lt;0))</f>
        <v>1</v>
      </c>
      <c r="O37">
        <v>9.3617140350784694E-2</v>
      </c>
      <c r="P37">
        <v>0.71757999029508901</v>
      </c>
      <c r="Q37">
        <v>1.27923282985392</v>
      </c>
      <c r="R37">
        <v>0.58257170079957898</v>
      </c>
      <c r="S37">
        <v>0.52017872261321796</v>
      </c>
      <c r="T37">
        <v>0.72075042580772697</v>
      </c>
      <c r="U37">
        <v>0.14138991012315699</v>
      </c>
      <c r="V37">
        <f t="shared" si="2"/>
        <v>0.57933153140621063</v>
      </c>
      <c r="W37">
        <f t="shared" si="3"/>
        <v>33.210087787617169</v>
      </c>
    </row>
    <row r="38" spans="2:23" x14ac:dyDescent="0.45">
      <c r="B38">
        <v>0</v>
      </c>
      <c r="C38">
        <v>1.7779048735907299</v>
      </c>
      <c r="D38">
        <v>-3.5419319594199399</v>
      </c>
      <c r="E38">
        <v>-1.7952521083501103</v>
      </c>
      <c r="F38">
        <v>0</v>
      </c>
      <c r="G38">
        <v>1.27591923898725</v>
      </c>
      <c r="H38">
        <v>-3.5600139522696099</v>
      </c>
      <c r="I38">
        <v>-5.5785320906463394</v>
      </c>
      <c r="J38">
        <f t="shared" si="0"/>
        <v>-1.4277382497635025</v>
      </c>
      <c r="K38">
        <f t="shared" si="1"/>
        <v>4</v>
      </c>
      <c r="L38" cm="1">
        <f t="array" ref="L38">SUMPRODUCT(N(B38:H38*C38:I38&lt;0))</f>
        <v>2</v>
      </c>
      <c r="O38">
        <v>0.113858267087087</v>
      </c>
      <c r="P38">
        <v>0.83409983905834995</v>
      </c>
      <c r="Q38">
        <v>1.2198255935042801</v>
      </c>
      <c r="R38">
        <v>1.2241124944190001</v>
      </c>
      <c r="S38">
        <v>0.83571430302685001</v>
      </c>
      <c r="T38">
        <v>0.121557089758523</v>
      </c>
      <c r="U38">
        <v>2.7803878566330199E-2</v>
      </c>
      <c r="V38">
        <f t="shared" si="2"/>
        <v>0.62528163791720293</v>
      </c>
      <c r="W38">
        <f t="shared" si="3"/>
        <v>35.84417032646386</v>
      </c>
    </row>
    <row r="39" spans="2:23" x14ac:dyDescent="0.45">
      <c r="B39">
        <v>0</v>
      </c>
      <c r="C39">
        <v>1.7779048735907299</v>
      </c>
      <c r="D39">
        <v>-3.5419319594199399</v>
      </c>
      <c r="E39">
        <v>5.30610101765987</v>
      </c>
      <c r="F39">
        <v>8.1375317215011904</v>
      </c>
      <c r="G39">
        <v>3.58502343947062</v>
      </c>
      <c r="H39">
        <v>-6.8600426697856802</v>
      </c>
      <c r="I39">
        <v>-7.8640927305722297</v>
      </c>
      <c r="J39">
        <f t="shared" si="0"/>
        <v>6.7561711555570225E-2</v>
      </c>
      <c r="K39">
        <f t="shared" si="1"/>
        <v>5</v>
      </c>
      <c r="L39" cm="1">
        <f t="array" ref="L39">SUMPRODUCT(N(B39:H39*C39:I39&lt;0))</f>
        <v>3</v>
      </c>
      <c r="O39">
        <v>8.4612976001457299E-2</v>
      </c>
      <c r="P39">
        <v>0.74288762009577203</v>
      </c>
      <c r="Q39">
        <v>0.94137241062791399</v>
      </c>
      <c r="R39">
        <v>5.3661229936710901E-2</v>
      </c>
      <c r="S39">
        <v>0.72387776348571498</v>
      </c>
      <c r="T39">
        <v>0.44842693293570601</v>
      </c>
      <c r="U39">
        <v>0.69117868856005105</v>
      </c>
      <c r="V39">
        <f t="shared" si="2"/>
        <v>0.52657394594904661</v>
      </c>
      <c r="W39">
        <f t="shared" si="3"/>
        <v>30.185767602174646</v>
      </c>
    </row>
    <row r="40" spans="2:23" x14ac:dyDescent="0.45">
      <c r="B40">
        <v>0</v>
      </c>
      <c r="C40">
        <v>1.7779048735907299</v>
      </c>
      <c r="D40">
        <v>-3.5419319594199399</v>
      </c>
      <c r="E40">
        <v>-1.7952521083501103</v>
      </c>
      <c r="F40">
        <v>0</v>
      </c>
      <c r="G40">
        <v>1.27591923898725</v>
      </c>
      <c r="H40">
        <v>-3.5600139522696099</v>
      </c>
      <c r="I40">
        <v>-5.5785320906463394</v>
      </c>
      <c r="J40">
        <f t="shared" si="0"/>
        <v>-1.4277382497635025</v>
      </c>
      <c r="K40">
        <f t="shared" si="1"/>
        <v>4</v>
      </c>
      <c r="L40" cm="1">
        <f t="array" ref="L40">SUMPRODUCT(N(B40:H40*C40:I40&lt;0))</f>
        <v>2</v>
      </c>
      <c r="O40">
        <v>0.14407348342470799</v>
      </c>
      <c r="P40">
        <v>0.71104184088785904</v>
      </c>
      <c r="Q40">
        <v>0.48032554539912498</v>
      </c>
      <c r="R40">
        <v>0.47754672564760797</v>
      </c>
      <c r="S40">
        <v>0.71535603637787204</v>
      </c>
      <c r="T40">
        <v>0.155212952520938</v>
      </c>
      <c r="U40">
        <v>3.7941263872579498E-2</v>
      </c>
      <c r="V40">
        <f t="shared" si="2"/>
        <v>0.38878540687581281</v>
      </c>
      <c r="W40">
        <f t="shared" si="3"/>
        <v>22.287061540651688</v>
      </c>
    </row>
    <row r="41" spans="2:23" x14ac:dyDescent="0.45">
      <c r="B41">
        <v>0</v>
      </c>
      <c r="C41">
        <v>1.7779048735907299</v>
      </c>
      <c r="D41">
        <v>-3.5419319594199399</v>
      </c>
      <c r="E41">
        <v>5.30610101765987</v>
      </c>
      <c r="F41">
        <v>8.1375317215011904</v>
      </c>
      <c r="G41">
        <v>3.58502343947062</v>
      </c>
      <c r="H41">
        <v>-6.8600426697856802</v>
      </c>
      <c r="I41">
        <v>-7.8640927305722297</v>
      </c>
      <c r="J41">
        <f t="shared" si="0"/>
        <v>6.7561711555570225E-2</v>
      </c>
      <c r="K41">
        <f t="shared" si="1"/>
        <v>5</v>
      </c>
      <c r="L41" cm="1">
        <f t="array" ref="L41">SUMPRODUCT(N(B41:H41*C41:I41&lt;0))</f>
        <v>3</v>
      </c>
      <c r="O41">
        <v>0.128235514785039</v>
      </c>
      <c r="P41">
        <v>0.63241174540204503</v>
      </c>
      <c r="Q41">
        <v>0.63873276949435098</v>
      </c>
      <c r="R41">
        <v>0.139908224311698</v>
      </c>
      <c r="S41">
        <v>3.78602506643229E-2</v>
      </c>
      <c r="T41">
        <v>1.1243549035521201E-2</v>
      </c>
      <c r="U41">
        <v>3.1671690761064298E-3</v>
      </c>
      <c r="V41">
        <f t="shared" si="2"/>
        <v>0.2273656032527262</v>
      </c>
      <c r="W41">
        <f t="shared" si="3"/>
        <v>13.033697001748635</v>
      </c>
    </row>
    <row r="42" spans="2:23" x14ac:dyDescent="0.45">
      <c r="B42">
        <v>0</v>
      </c>
      <c r="C42">
        <v>1.7779048735907299</v>
      </c>
      <c r="D42">
        <v>-3.5419319594199399</v>
      </c>
      <c r="E42">
        <v>-1.7709659792240702</v>
      </c>
      <c r="F42">
        <v>-3.5419319594199399</v>
      </c>
      <c r="G42">
        <v>-3.5424998494789097</v>
      </c>
      <c r="H42">
        <v>-3.5419319594199399</v>
      </c>
      <c r="I42">
        <v>-1.7709659792240702</v>
      </c>
      <c r="J42">
        <f t="shared" si="0"/>
        <v>-1.9915403515745176</v>
      </c>
      <c r="K42">
        <f t="shared" si="1"/>
        <v>2</v>
      </c>
      <c r="L42" cm="1">
        <f t="array" ref="L42">SUMPRODUCT(N(B42:H42*C42:I42&lt;0))</f>
        <v>1</v>
      </c>
      <c r="O42">
        <v>0.169927424490593</v>
      </c>
      <c r="P42">
        <v>0.93986071556557205</v>
      </c>
      <c r="Q42">
        <v>0.17956650900820301</v>
      </c>
      <c r="R42">
        <v>0.34706175666977102</v>
      </c>
      <c r="S42">
        <v>9.7058420692662697E-2</v>
      </c>
      <c r="T42">
        <v>0.66478382987267204</v>
      </c>
      <c r="U42">
        <v>0.64052031768167905</v>
      </c>
      <c r="V42">
        <f t="shared" si="2"/>
        <v>0.43411128199730759</v>
      </c>
      <c r="W42">
        <f t="shared" si="3"/>
        <v>24.885360114495338</v>
      </c>
    </row>
    <row r="43" spans="2:23" x14ac:dyDescent="0.45">
      <c r="B43">
        <v>0</v>
      </c>
      <c r="C43">
        <v>1.7779048735907299</v>
      </c>
      <c r="D43">
        <v>-3.5419319594199399</v>
      </c>
      <c r="E43">
        <v>5.30610101765987</v>
      </c>
      <c r="F43">
        <v>8.1375317215011904</v>
      </c>
      <c r="G43">
        <v>3.58502343947062</v>
      </c>
      <c r="H43">
        <v>-6.8600426697856802</v>
      </c>
      <c r="I43">
        <v>-7.8640927305722297</v>
      </c>
      <c r="J43">
        <f t="shared" si="0"/>
        <v>6.7561711555570225E-2</v>
      </c>
      <c r="K43">
        <f t="shared" si="1"/>
        <v>5</v>
      </c>
      <c r="L43" cm="1">
        <f t="array" ref="L43">SUMPRODUCT(N(B43:H43*C43:I43&lt;0))</f>
        <v>3</v>
      </c>
      <c r="O43">
        <v>0.14407348342470799</v>
      </c>
      <c r="P43">
        <v>0.71104184088785904</v>
      </c>
      <c r="Q43">
        <v>0.48032554539912498</v>
      </c>
      <c r="R43">
        <v>0.47754672564760797</v>
      </c>
      <c r="S43">
        <v>0.71535603637787204</v>
      </c>
      <c r="T43">
        <v>0.155212952520938</v>
      </c>
      <c r="U43">
        <v>3.7941263872579498E-2</v>
      </c>
      <c r="V43">
        <f t="shared" si="2"/>
        <v>0.38878540687581281</v>
      </c>
      <c r="W43">
        <f t="shared" si="3"/>
        <v>22.287061540651688</v>
      </c>
    </row>
    <row r="44" spans="2:23" x14ac:dyDescent="0.45">
      <c r="B44">
        <v>0</v>
      </c>
      <c r="C44">
        <v>1.7779048735907299</v>
      </c>
      <c r="D44">
        <v>-3.5419319594199399</v>
      </c>
      <c r="E44">
        <v>-1.7952521083501103</v>
      </c>
      <c r="F44">
        <v>0</v>
      </c>
      <c r="G44">
        <v>1.27591923898725</v>
      </c>
      <c r="H44">
        <v>-3.5600139522696099</v>
      </c>
      <c r="I44">
        <v>-5.5785320906463394</v>
      </c>
      <c r="J44">
        <f t="shared" si="0"/>
        <v>-1.4277382497635025</v>
      </c>
      <c r="K44">
        <f t="shared" si="1"/>
        <v>4</v>
      </c>
      <c r="L44" cm="1">
        <f t="array" ref="L44">SUMPRODUCT(N(B44:H44*C44:I44&lt;0))</f>
        <v>2</v>
      </c>
      <c r="O44">
        <v>0.169927424490593</v>
      </c>
      <c r="P44">
        <v>0.93986071556557205</v>
      </c>
      <c r="Q44">
        <v>0.17956650900820301</v>
      </c>
      <c r="R44">
        <v>0.34706175666977102</v>
      </c>
      <c r="S44">
        <v>9.7058420692662697E-2</v>
      </c>
      <c r="T44">
        <v>0.66478382987267204</v>
      </c>
      <c r="U44">
        <v>0.64052031768167905</v>
      </c>
      <c r="V44">
        <f t="shared" si="2"/>
        <v>0.43411128199730759</v>
      </c>
      <c r="W44">
        <f t="shared" si="3"/>
        <v>24.885360114495338</v>
      </c>
    </row>
    <row r="45" spans="2:23" x14ac:dyDescent="0.45">
      <c r="B45">
        <v>0</v>
      </c>
      <c r="C45">
        <v>1.7779048735907299</v>
      </c>
      <c r="D45">
        <v>-3.5419319594199399</v>
      </c>
      <c r="E45">
        <v>-1.7709659792240702</v>
      </c>
      <c r="F45">
        <v>-3.5423578768831798</v>
      </c>
      <c r="G45">
        <v>-3.90383047256957E-10</v>
      </c>
      <c r="H45">
        <v>3.58502343947062</v>
      </c>
      <c r="I45">
        <v>-6.8600426697856802</v>
      </c>
      <c r="J45">
        <f t="shared" si="0"/>
        <v>-1.2940462715802379</v>
      </c>
      <c r="K45">
        <f t="shared" si="1"/>
        <v>3</v>
      </c>
      <c r="L45" cm="1">
        <f t="array" ref="L45">SUMPRODUCT(N(B45:H45*C45:I45&lt;0))</f>
        <v>3</v>
      </c>
      <c r="O45">
        <v>8.3305261732685404E-2</v>
      </c>
      <c r="P45">
        <v>0.76892235418723098</v>
      </c>
      <c r="Q45">
        <v>0.80739468320890095</v>
      </c>
      <c r="R45">
        <v>0.100615747529938</v>
      </c>
      <c r="S45">
        <v>1.8577340345009598E-2</v>
      </c>
      <c r="T45">
        <v>3.81906724015703E-2</v>
      </c>
      <c r="U45">
        <v>2.8078926348069501E-2</v>
      </c>
      <c r="V45">
        <f t="shared" si="2"/>
        <v>0.26358356939334354</v>
      </c>
      <c r="W45">
        <f t="shared" si="3"/>
        <v>15.109886143567465</v>
      </c>
    </row>
    <row r="46" spans="2:23" x14ac:dyDescent="0.45">
      <c r="B46">
        <v>0</v>
      </c>
      <c r="C46">
        <v>1.7779048735907299</v>
      </c>
      <c r="D46">
        <v>-3.5419319594199399</v>
      </c>
      <c r="E46">
        <v>5.30610101765987</v>
      </c>
      <c r="F46">
        <v>8.1375317215011904</v>
      </c>
      <c r="G46">
        <v>3.58502343947062</v>
      </c>
      <c r="H46">
        <v>-6.8600426697856802</v>
      </c>
      <c r="I46">
        <v>-7.8640927305722297</v>
      </c>
      <c r="J46">
        <f t="shared" si="0"/>
        <v>6.7561711555570225E-2</v>
      </c>
      <c r="K46">
        <f t="shared" si="1"/>
        <v>5</v>
      </c>
      <c r="L46" cm="1">
        <f t="array" ref="L46">SUMPRODUCT(N(B46:H46*C46:I46&lt;0))</f>
        <v>3</v>
      </c>
      <c r="O46">
        <v>0.128235514785039</v>
      </c>
      <c r="P46">
        <v>0.63241174540204503</v>
      </c>
      <c r="Q46">
        <v>0.63873276949435098</v>
      </c>
      <c r="R46">
        <v>0.139908224311698</v>
      </c>
      <c r="S46">
        <v>3.78602506643229E-2</v>
      </c>
      <c r="T46">
        <v>1.1243549035521201E-2</v>
      </c>
      <c r="U46">
        <v>3.1671690761064298E-3</v>
      </c>
      <c r="V46">
        <f t="shared" si="2"/>
        <v>0.2273656032527262</v>
      </c>
      <c r="W46">
        <f t="shared" si="3"/>
        <v>13.033697001748635</v>
      </c>
    </row>
    <row r="47" spans="2:23" x14ac:dyDescent="0.45">
      <c r="B47">
        <v>0</v>
      </c>
      <c r="C47">
        <v>1.7779048735907299</v>
      </c>
      <c r="D47">
        <v>-3.5419319594199399</v>
      </c>
      <c r="E47">
        <v>-3.5424998494789097</v>
      </c>
      <c r="F47">
        <v>-3.5419319594199399</v>
      </c>
      <c r="G47">
        <v>-3.5424998494789097</v>
      </c>
      <c r="H47">
        <v>-3.5419319594199399</v>
      </c>
      <c r="I47">
        <v>-1.7952521083501103</v>
      </c>
      <c r="J47">
        <f t="shared" si="0"/>
        <v>-2.2160178514971274</v>
      </c>
      <c r="K47">
        <f t="shared" si="1"/>
        <v>2</v>
      </c>
      <c r="L47" cm="1">
        <f t="array" ref="L47">SUMPRODUCT(N(B47:H47*C47:I47&lt;0))</f>
        <v>1</v>
      </c>
      <c r="O47">
        <v>0.178485541067262</v>
      </c>
      <c r="P47">
        <v>0.95039780615288905</v>
      </c>
      <c r="Q47">
        <v>0.218388103778136</v>
      </c>
      <c r="R47">
        <v>0.26382173773226397</v>
      </c>
      <c r="S47">
        <v>0.155531702654604</v>
      </c>
      <c r="T47">
        <v>3.5281014266621898E-2</v>
      </c>
      <c r="U47">
        <v>1.4574396947437399E-2</v>
      </c>
      <c r="V47">
        <f t="shared" si="2"/>
        <v>0.25949718608560202</v>
      </c>
      <c r="W47">
        <f t="shared" si="3"/>
        <v>14.875634871149158</v>
      </c>
    </row>
    <row r="48" spans="2:23" x14ac:dyDescent="0.45">
      <c r="B48">
        <v>0</v>
      </c>
      <c r="C48">
        <v>1.7779048735907299</v>
      </c>
      <c r="D48">
        <v>-3.5419319594199399</v>
      </c>
      <c r="E48">
        <v>-1.7952521083501103</v>
      </c>
      <c r="F48">
        <v>0</v>
      </c>
      <c r="G48">
        <v>1.27591923898725</v>
      </c>
      <c r="H48">
        <v>-3.5600139522696099</v>
      </c>
      <c r="I48">
        <v>-5.5785320906463394</v>
      </c>
      <c r="J48">
        <f t="shared" si="0"/>
        <v>-1.4277382497635025</v>
      </c>
      <c r="K48">
        <f t="shared" si="1"/>
        <v>4</v>
      </c>
      <c r="L48" cm="1">
        <f t="array" ref="L48">SUMPRODUCT(N(B48:H48*C48:I48&lt;0))</f>
        <v>2</v>
      </c>
      <c r="O48">
        <v>0.11223265896194801</v>
      </c>
      <c r="P48">
        <v>0.86345898439875302</v>
      </c>
      <c r="Q48">
        <v>0.87762329281651996</v>
      </c>
      <c r="R48">
        <v>0.48769855545719998</v>
      </c>
      <c r="S48">
        <v>0.46838957977971402</v>
      </c>
      <c r="T48">
        <v>0.80750385413083903</v>
      </c>
      <c r="U48">
        <v>0.84880671119318096</v>
      </c>
      <c r="V48">
        <f t="shared" si="2"/>
        <v>0.63795909096259351</v>
      </c>
      <c r="W48">
        <f t="shared" si="3"/>
        <v>36.57090330358816</v>
      </c>
    </row>
    <row r="49" spans="2:23" x14ac:dyDescent="0.45">
      <c r="B49">
        <v>0</v>
      </c>
      <c r="C49">
        <v>1.7779048735907299</v>
      </c>
      <c r="D49">
        <v>-3.5419319594199399</v>
      </c>
      <c r="E49">
        <v>-1.7709659792240702</v>
      </c>
      <c r="F49">
        <v>-3.5423578768831798</v>
      </c>
      <c r="G49">
        <v>-3.90383047256957E-10</v>
      </c>
      <c r="H49">
        <v>3.58502343947062</v>
      </c>
      <c r="I49">
        <v>-6.8600426697856802</v>
      </c>
      <c r="J49">
        <f t="shared" si="0"/>
        <v>-1.2940462715802379</v>
      </c>
      <c r="K49">
        <f t="shared" si="1"/>
        <v>3</v>
      </c>
      <c r="L49" cm="1">
        <f t="array" ref="L49">SUMPRODUCT(N(B49:H49*C49:I49&lt;0))</f>
        <v>3</v>
      </c>
      <c r="O49">
        <v>8.4612976001457299E-2</v>
      </c>
      <c r="P49">
        <v>0.74288762009577203</v>
      </c>
      <c r="Q49">
        <v>0.94137241062791399</v>
      </c>
      <c r="R49">
        <v>5.3661229936710901E-2</v>
      </c>
      <c r="S49">
        <v>0.72387776348571498</v>
      </c>
      <c r="T49">
        <v>0.44842693293570601</v>
      </c>
      <c r="U49">
        <v>0.69117868856005105</v>
      </c>
      <c r="V49">
        <f t="shared" si="2"/>
        <v>0.52657394594904661</v>
      </c>
      <c r="W49">
        <f t="shared" si="3"/>
        <v>30.185767602174646</v>
      </c>
    </row>
    <row r="50" spans="2:23" x14ac:dyDescent="0.45">
      <c r="B50">
        <v>0</v>
      </c>
      <c r="C50">
        <v>1.7779048735907299</v>
      </c>
      <c r="D50">
        <v>-3.5419319594199399</v>
      </c>
      <c r="E50">
        <v>-1.7709659792240702</v>
      </c>
      <c r="F50">
        <v>-3.5423578768831798</v>
      </c>
      <c r="G50">
        <v>-3.90383047256957E-10</v>
      </c>
      <c r="H50">
        <v>3.58502343947062</v>
      </c>
      <c r="I50">
        <v>-6.8600426697856802</v>
      </c>
      <c r="J50">
        <f t="shared" si="0"/>
        <v>-1.2940462715802379</v>
      </c>
      <c r="K50">
        <f t="shared" si="1"/>
        <v>3</v>
      </c>
      <c r="L50" cm="1">
        <f t="array" ref="L50">SUMPRODUCT(N(B50:H50*C50:I50&lt;0))</f>
        <v>3</v>
      </c>
      <c r="O50">
        <v>8.4612976001457299E-2</v>
      </c>
      <c r="P50">
        <v>0.74288762009577203</v>
      </c>
      <c r="Q50">
        <v>0.94137241062791399</v>
      </c>
      <c r="R50">
        <v>5.3661229936710901E-2</v>
      </c>
      <c r="S50">
        <v>0.72387776348571498</v>
      </c>
      <c r="T50">
        <v>0.44842693293570601</v>
      </c>
      <c r="U50">
        <v>0.69117868856005105</v>
      </c>
      <c r="V50">
        <f t="shared" si="2"/>
        <v>0.52657394594904661</v>
      </c>
      <c r="W50">
        <f t="shared" si="3"/>
        <v>30.185767602174646</v>
      </c>
    </row>
    <row r="51" spans="2:23" x14ac:dyDescent="0.45">
      <c r="B51">
        <v>0</v>
      </c>
      <c r="C51">
        <v>1.7779048735907299</v>
      </c>
      <c r="D51">
        <v>-3.5419319594199399</v>
      </c>
      <c r="E51">
        <v>5.30610101765987</v>
      </c>
      <c r="F51">
        <v>8.1375317215011904</v>
      </c>
      <c r="G51">
        <v>3.58502343947062</v>
      </c>
      <c r="H51">
        <v>-6.8600426697856802</v>
      </c>
      <c r="I51">
        <v>-7.8640927305722297</v>
      </c>
      <c r="J51">
        <f t="shared" si="0"/>
        <v>6.7561711555570225E-2</v>
      </c>
      <c r="K51">
        <f t="shared" si="1"/>
        <v>5</v>
      </c>
      <c r="L51" cm="1">
        <f t="array" ref="L51">SUMPRODUCT(N(B51:H51*C51:I51&lt;0))</f>
        <v>3</v>
      </c>
      <c r="O51">
        <v>8.5803293755179602E-2</v>
      </c>
      <c r="P51">
        <v>0.73941899112135501</v>
      </c>
      <c r="Q51">
        <v>0.98005620865793097</v>
      </c>
      <c r="R51">
        <v>0.113036551261101</v>
      </c>
      <c r="S51">
        <v>0.92481862109227797</v>
      </c>
      <c r="T51">
        <v>0.185026561164092</v>
      </c>
      <c r="U51">
        <v>4.29848715280216E-2</v>
      </c>
      <c r="V51">
        <f t="shared" si="2"/>
        <v>0.43873501408285109</v>
      </c>
      <c r="W51">
        <f t="shared" si="3"/>
        <v>25.150414820036048</v>
      </c>
    </row>
    <row r="52" spans="2:23" x14ac:dyDescent="0.45">
      <c r="B52">
        <v>0</v>
      </c>
      <c r="C52">
        <v>1.7779048735907299</v>
      </c>
      <c r="D52">
        <v>-3.5419319594199399</v>
      </c>
      <c r="E52">
        <v>-1.7952521083501103</v>
      </c>
      <c r="F52">
        <v>0</v>
      </c>
      <c r="G52">
        <v>1.27591923898725</v>
      </c>
      <c r="H52">
        <v>-3.5600139522696099</v>
      </c>
      <c r="I52">
        <v>-5.5785320906463394</v>
      </c>
      <c r="J52">
        <f t="shared" si="0"/>
        <v>-1.4277382497635025</v>
      </c>
      <c r="K52">
        <f t="shared" si="1"/>
        <v>4</v>
      </c>
      <c r="L52" cm="1">
        <f t="array" ref="L52">SUMPRODUCT(N(B52:H52*C52:I52&lt;0))</f>
        <v>2</v>
      </c>
      <c r="O52">
        <v>0.14407348342470799</v>
      </c>
      <c r="P52">
        <v>0.71104184088785904</v>
      </c>
      <c r="Q52">
        <v>0.48032554539912498</v>
      </c>
      <c r="R52">
        <v>0.47754672564760797</v>
      </c>
      <c r="S52">
        <v>0.71535603637787204</v>
      </c>
      <c r="T52">
        <v>0.155212952520938</v>
      </c>
      <c r="U52">
        <v>3.7941263872579498E-2</v>
      </c>
      <c r="V52">
        <f t="shared" si="2"/>
        <v>0.38878540687581281</v>
      </c>
      <c r="W52">
        <f t="shared" si="3"/>
        <v>22.287061540651688</v>
      </c>
    </row>
    <row r="53" spans="2:23" x14ac:dyDescent="0.45">
      <c r="B53">
        <v>0</v>
      </c>
      <c r="C53">
        <v>1.7779048735907299</v>
      </c>
      <c r="D53">
        <v>-3.5419319594199399</v>
      </c>
      <c r="E53">
        <v>-3.5424998494789097</v>
      </c>
      <c r="F53">
        <v>-3.5419319594199399</v>
      </c>
      <c r="G53">
        <v>-1.7952521083501103</v>
      </c>
      <c r="H53">
        <v>0</v>
      </c>
      <c r="I53">
        <v>1.27591923898725</v>
      </c>
      <c r="J53">
        <f t="shared" si="0"/>
        <v>-1.1709739705113651</v>
      </c>
      <c r="K53">
        <f t="shared" si="1"/>
        <v>4</v>
      </c>
      <c r="L53" cm="1">
        <f t="array" ref="L53">SUMPRODUCT(N(B53:H53*C53:I53&lt;0))</f>
        <v>1</v>
      </c>
      <c r="O53">
        <v>8.4612976001457299E-2</v>
      </c>
      <c r="P53">
        <v>0.74288762009577203</v>
      </c>
      <c r="Q53">
        <v>0.94137241062791399</v>
      </c>
      <c r="R53">
        <v>5.3661229936710901E-2</v>
      </c>
      <c r="S53">
        <v>0.72387776348571498</v>
      </c>
      <c r="T53">
        <v>0.44842693293570601</v>
      </c>
      <c r="U53">
        <v>0.69117868856005105</v>
      </c>
      <c r="V53">
        <f t="shared" si="2"/>
        <v>0.52657394594904661</v>
      </c>
      <c r="W53">
        <f t="shared" si="3"/>
        <v>30.185767602174646</v>
      </c>
    </row>
    <row r="54" spans="2:23" x14ac:dyDescent="0.45">
      <c r="B54">
        <v>0</v>
      </c>
      <c r="C54">
        <v>1.7779048735907299</v>
      </c>
      <c r="D54">
        <v>-3.5419319594199399</v>
      </c>
      <c r="E54">
        <v>-1.7709659792240702</v>
      </c>
      <c r="F54">
        <v>-3.5424998494789097</v>
      </c>
      <c r="G54">
        <v>-1.7709659792240702</v>
      </c>
      <c r="H54">
        <v>-3.5424998494789097</v>
      </c>
      <c r="I54">
        <v>-1.7709659792240702</v>
      </c>
      <c r="J54">
        <f t="shared" si="0"/>
        <v>-1.770240590307405</v>
      </c>
      <c r="K54">
        <f t="shared" si="1"/>
        <v>2</v>
      </c>
      <c r="L54" cm="1">
        <f t="array" ref="L54">SUMPRODUCT(N(B54:H54*C54:I54&lt;0))</f>
        <v>1</v>
      </c>
      <c r="O54">
        <v>0.17741400001324001</v>
      </c>
      <c r="P54">
        <v>0.94997660253995897</v>
      </c>
      <c r="Q54">
        <v>0.21734930553064</v>
      </c>
      <c r="R54">
        <v>0.24111682949757299</v>
      </c>
      <c r="S54">
        <v>0.145645226768189</v>
      </c>
      <c r="T54">
        <v>4.2291487751528897E-2</v>
      </c>
      <c r="U54">
        <v>2.7238577880464598E-3</v>
      </c>
      <c r="V54">
        <f t="shared" si="2"/>
        <v>0.25378818712702517</v>
      </c>
      <c r="W54">
        <f t="shared" si="3"/>
        <v>14.548367414925009</v>
      </c>
    </row>
    <row r="55" spans="2:23" x14ac:dyDescent="0.45">
      <c r="B55">
        <v>0</v>
      </c>
      <c r="C55">
        <v>1.7779048735907299</v>
      </c>
      <c r="D55">
        <v>-3.5419319594199399</v>
      </c>
      <c r="E55">
        <v>5.30610101765987</v>
      </c>
      <c r="F55">
        <v>8.1375317215011904</v>
      </c>
      <c r="G55">
        <v>3.58502343947062</v>
      </c>
      <c r="H55">
        <v>-6.8600426697856802</v>
      </c>
      <c r="I55">
        <v>-7.8640927305722297</v>
      </c>
      <c r="J55">
        <f t="shared" si="0"/>
        <v>6.7561711555570225E-2</v>
      </c>
      <c r="K55">
        <f t="shared" si="1"/>
        <v>5</v>
      </c>
      <c r="L55" cm="1">
        <f t="array" ref="L55">SUMPRODUCT(N(B55:H55*C55:I55&lt;0))</f>
        <v>3</v>
      </c>
      <c r="O55">
        <v>0.128235514785039</v>
      </c>
      <c r="P55">
        <v>0.63241174540204503</v>
      </c>
      <c r="Q55">
        <v>0.63873276949435098</v>
      </c>
      <c r="R55">
        <v>0.139908224311698</v>
      </c>
      <c r="S55">
        <v>3.78602506643229E-2</v>
      </c>
      <c r="T55">
        <v>1.1243549035521201E-2</v>
      </c>
      <c r="U55">
        <v>3.1671690761064298E-3</v>
      </c>
      <c r="V55">
        <f t="shared" si="2"/>
        <v>0.2273656032527262</v>
      </c>
      <c r="W55">
        <f t="shared" si="3"/>
        <v>13.033697001748635</v>
      </c>
    </row>
    <row r="56" spans="2:23" x14ac:dyDescent="0.45">
      <c r="B56">
        <v>0</v>
      </c>
      <c r="C56">
        <v>1.7779048735907299</v>
      </c>
      <c r="D56">
        <v>-3.5419319594199399</v>
      </c>
      <c r="E56">
        <v>-1.7952521083501103</v>
      </c>
      <c r="F56">
        <v>0</v>
      </c>
      <c r="G56">
        <v>1.27591923898725</v>
      </c>
      <c r="H56">
        <v>-3.5600139522696099</v>
      </c>
      <c r="I56">
        <v>-5.5785320906463394</v>
      </c>
      <c r="J56">
        <f t="shared" si="0"/>
        <v>-1.4277382497635025</v>
      </c>
      <c r="K56">
        <f t="shared" si="1"/>
        <v>4</v>
      </c>
      <c r="L56" cm="1">
        <f t="array" ref="L56">SUMPRODUCT(N(B56:H56*C56:I56&lt;0))</f>
        <v>2</v>
      </c>
      <c r="O56">
        <v>0.14407348342470799</v>
      </c>
      <c r="P56">
        <v>0.71104184088785904</v>
      </c>
      <c r="Q56">
        <v>0.48032554539912498</v>
      </c>
      <c r="R56">
        <v>0.47754672564760797</v>
      </c>
      <c r="S56">
        <v>0.71535603637787204</v>
      </c>
      <c r="T56">
        <v>0.155212952520938</v>
      </c>
      <c r="U56">
        <v>3.7941263872579498E-2</v>
      </c>
      <c r="V56">
        <f t="shared" si="2"/>
        <v>0.38878540687581281</v>
      </c>
      <c r="W56">
        <f t="shared" si="3"/>
        <v>22.287061540651688</v>
      </c>
    </row>
    <row r="57" spans="2:23" x14ac:dyDescent="0.45">
      <c r="B57">
        <v>0</v>
      </c>
      <c r="C57">
        <v>1.7779048735907299</v>
      </c>
      <c r="D57">
        <v>-3.5419319594199399</v>
      </c>
      <c r="E57">
        <v>-3.5424998494789097</v>
      </c>
      <c r="F57">
        <v>-3.5419319594199399</v>
      </c>
      <c r="G57">
        <v>-3.5424998494789097</v>
      </c>
      <c r="H57">
        <v>-3.5419319594199399</v>
      </c>
      <c r="I57">
        <v>-3.5424998494789097</v>
      </c>
      <c r="J57">
        <f t="shared" si="0"/>
        <v>-2.4344238191382273</v>
      </c>
      <c r="K57">
        <f t="shared" si="1"/>
        <v>2</v>
      </c>
      <c r="L57" cm="1">
        <f t="array" ref="L57">SUMPRODUCT(N(B57:H57*C57:I57&lt;0))</f>
        <v>1</v>
      </c>
      <c r="O57">
        <v>0.11179097941197901</v>
      </c>
      <c r="P57">
        <v>0.86574835194334099</v>
      </c>
      <c r="Q57">
        <v>0.84164447790624097</v>
      </c>
      <c r="R57">
        <v>0.38911028910270401</v>
      </c>
      <c r="S57">
        <v>0.108824273253475</v>
      </c>
      <c r="T57">
        <v>3.7090003346537399E-2</v>
      </c>
      <c r="U57">
        <v>1.3906047766771601E-2</v>
      </c>
      <c r="V57">
        <f t="shared" si="2"/>
        <v>0.33830206039014987</v>
      </c>
      <c r="W57">
        <f t="shared" si="3"/>
        <v>19.393111742110502</v>
      </c>
    </row>
    <row r="58" spans="2:23" x14ac:dyDescent="0.45">
      <c r="B58">
        <v>0</v>
      </c>
      <c r="C58">
        <v>1.7779048735907299</v>
      </c>
      <c r="D58">
        <v>-3.5419319594199399</v>
      </c>
      <c r="E58">
        <v>5.30610101765987</v>
      </c>
      <c r="F58">
        <v>8.1375317215011904</v>
      </c>
      <c r="G58">
        <v>3.58502343947062</v>
      </c>
      <c r="H58">
        <v>-6.8600426697856802</v>
      </c>
      <c r="I58">
        <v>-7.8640927305722297</v>
      </c>
      <c r="J58">
        <f t="shared" si="0"/>
        <v>6.7561711555570225E-2</v>
      </c>
      <c r="K58">
        <f t="shared" si="1"/>
        <v>5</v>
      </c>
      <c r="L58" cm="1">
        <f t="array" ref="L58">SUMPRODUCT(N(B58:H58*C58:I58&lt;0))</f>
        <v>3</v>
      </c>
      <c r="O58">
        <v>0.128235514785039</v>
      </c>
      <c r="P58">
        <v>0.63241174540204503</v>
      </c>
      <c r="Q58">
        <v>0.63873276949435098</v>
      </c>
      <c r="R58">
        <v>0.139908224311698</v>
      </c>
      <c r="S58">
        <v>3.78602506643229E-2</v>
      </c>
      <c r="T58">
        <v>1.1243549035521201E-2</v>
      </c>
      <c r="U58">
        <v>3.1671690761064298E-3</v>
      </c>
      <c r="V58">
        <f t="shared" si="2"/>
        <v>0.2273656032527262</v>
      </c>
      <c r="W58">
        <f t="shared" si="3"/>
        <v>13.033697001748635</v>
      </c>
    </row>
    <row r="59" spans="2:23" x14ac:dyDescent="0.45">
      <c r="B59">
        <v>0</v>
      </c>
      <c r="C59">
        <v>1.7779048735907299</v>
      </c>
      <c r="D59">
        <v>-3.5419319594199399</v>
      </c>
      <c r="E59">
        <v>5.30610101765987</v>
      </c>
      <c r="F59">
        <v>8.1375317215011904</v>
      </c>
      <c r="G59">
        <v>3.58502343947062</v>
      </c>
      <c r="H59">
        <v>-6.8600426697856802</v>
      </c>
      <c r="I59">
        <v>-7.8640927305722297</v>
      </c>
      <c r="J59">
        <f t="shared" si="0"/>
        <v>6.7561711555570225E-2</v>
      </c>
      <c r="K59">
        <f t="shared" si="1"/>
        <v>5</v>
      </c>
      <c r="L59" cm="1">
        <f t="array" ref="L59">SUMPRODUCT(N(B59:H59*C59:I59&lt;0))</f>
        <v>3</v>
      </c>
      <c r="O59">
        <v>0.128235514785039</v>
      </c>
      <c r="P59">
        <v>0.63241174540204503</v>
      </c>
      <c r="Q59">
        <v>0.63873276949435098</v>
      </c>
      <c r="R59">
        <v>0.139908224311698</v>
      </c>
      <c r="S59">
        <v>3.78602506643229E-2</v>
      </c>
      <c r="T59">
        <v>1.1243549035521201E-2</v>
      </c>
      <c r="U59">
        <v>3.1671690761064298E-3</v>
      </c>
      <c r="V59">
        <f t="shared" si="2"/>
        <v>0.2273656032527262</v>
      </c>
      <c r="W59">
        <f t="shared" si="3"/>
        <v>13.033697001748635</v>
      </c>
    </row>
    <row r="60" spans="2:23" x14ac:dyDescent="0.45">
      <c r="B60">
        <v>0</v>
      </c>
      <c r="C60">
        <v>1.7779048735907299</v>
      </c>
      <c r="D60">
        <v>-3.5419319594199399</v>
      </c>
      <c r="E60">
        <v>-1.7952521083501103</v>
      </c>
      <c r="F60">
        <v>0</v>
      </c>
      <c r="G60">
        <v>1.27591923898725</v>
      </c>
      <c r="H60">
        <v>-3.5600139522696099</v>
      </c>
      <c r="I60">
        <v>-5.5785320906463394</v>
      </c>
      <c r="J60">
        <f t="shared" si="0"/>
        <v>-1.4277382497635025</v>
      </c>
      <c r="K60">
        <f t="shared" si="1"/>
        <v>4</v>
      </c>
      <c r="L60" cm="1">
        <f t="array" ref="L60">SUMPRODUCT(N(B60:H60*C60:I60&lt;0))</f>
        <v>2</v>
      </c>
      <c r="O60">
        <v>0.14407348342470799</v>
      </c>
      <c r="P60">
        <v>0.71104184088785904</v>
      </c>
      <c r="Q60">
        <v>0.48032554539912498</v>
      </c>
      <c r="R60">
        <v>0.47754672564760797</v>
      </c>
      <c r="S60">
        <v>0.71535603637787204</v>
      </c>
      <c r="T60">
        <v>0.155212952520938</v>
      </c>
      <c r="U60">
        <v>3.7941263872579498E-2</v>
      </c>
      <c r="V60">
        <f t="shared" si="2"/>
        <v>0.38878540687581281</v>
      </c>
      <c r="W60">
        <f t="shared" si="3"/>
        <v>22.287061540651688</v>
      </c>
    </row>
    <row r="61" spans="2:23" x14ac:dyDescent="0.45">
      <c r="B61">
        <v>0</v>
      </c>
      <c r="C61">
        <v>1.7779048735907299</v>
      </c>
      <c r="D61">
        <v>-3.5419319594199399</v>
      </c>
      <c r="E61">
        <v>-1.7952521083501103</v>
      </c>
      <c r="F61">
        <v>0</v>
      </c>
      <c r="G61">
        <v>1.27591923898725</v>
      </c>
      <c r="H61">
        <v>-3.5600139522696099</v>
      </c>
      <c r="I61">
        <v>-5.5785320906463394</v>
      </c>
      <c r="J61">
        <f t="shared" si="0"/>
        <v>-1.4277382497635025</v>
      </c>
      <c r="K61">
        <f t="shared" si="1"/>
        <v>4</v>
      </c>
      <c r="L61" cm="1">
        <f t="array" ref="L61">SUMPRODUCT(N(B61:H61*C61:I61&lt;0))</f>
        <v>2</v>
      </c>
      <c r="O61">
        <v>0.14407348342470799</v>
      </c>
      <c r="P61">
        <v>0.71104184088785904</v>
      </c>
      <c r="Q61">
        <v>0.48032554539912498</v>
      </c>
      <c r="R61">
        <v>0.47754672564760797</v>
      </c>
      <c r="S61">
        <v>0.71535603637787204</v>
      </c>
      <c r="T61">
        <v>0.155212952520938</v>
      </c>
      <c r="U61">
        <v>3.7941263872579498E-2</v>
      </c>
      <c r="V61">
        <f t="shared" si="2"/>
        <v>0.38878540687581281</v>
      </c>
      <c r="W61">
        <f t="shared" si="3"/>
        <v>22.287061540651688</v>
      </c>
    </row>
    <row r="62" spans="2:23" x14ac:dyDescent="0.45">
      <c r="B62">
        <v>0</v>
      </c>
      <c r="C62">
        <v>1.7779048735907299</v>
      </c>
      <c r="D62">
        <v>-3.5419319594199399</v>
      </c>
      <c r="E62">
        <v>-1.7952521083501103</v>
      </c>
      <c r="F62">
        <v>0</v>
      </c>
      <c r="G62">
        <v>1.27591923898725</v>
      </c>
      <c r="H62">
        <v>-3.5600139522696099</v>
      </c>
      <c r="I62">
        <v>-5.5785320906463394</v>
      </c>
      <c r="J62">
        <f t="shared" si="0"/>
        <v>-1.4277382497635025</v>
      </c>
      <c r="K62">
        <f t="shared" si="1"/>
        <v>4</v>
      </c>
      <c r="L62" cm="1">
        <f t="array" ref="L62">SUMPRODUCT(N(B62:H62*C62:I62&lt;0))</f>
        <v>2</v>
      </c>
      <c r="O62">
        <v>0.14407348342470799</v>
      </c>
      <c r="P62">
        <v>0.71104184088785904</v>
      </c>
      <c r="Q62">
        <v>0.48032554539912498</v>
      </c>
      <c r="R62">
        <v>0.47754672564760797</v>
      </c>
      <c r="S62">
        <v>0.71535603637787204</v>
      </c>
      <c r="T62">
        <v>0.155212952520938</v>
      </c>
      <c r="U62">
        <v>3.7941263872579498E-2</v>
      </c>
      <c r="V62">
        <f t="shared" si="2"/>
        <v>0.38878540687581281</v>
      </c>
      <c r="W62">
        <f t="shared" si="3"/>
        <v>22.287061540651688</v>
      </c>
    </row>
    <row r="63" spans="2:23" x14ac:dyDescent="0.45">
      <c r="B63">
        <v>0</v>
      </c>
      <c r="C63">
        <v>1.7779048735907299</v>
      </c>
      <c r="D63">
        <v>-3.5419319594199399</v>
      </c>
      <c r="E63">
        <v>-3.5424998494789097</v>
      </c>
      <c r="F63">
        <v>-3.5419319594199399</v>
      </c>
      <c r="G63">
        <v>-3.5424998494789097</v>
      </c>
      <c r="H63">
        <v>-3.5419319594199399</v>
      </c>
      <c r="I63">
        <v>5.30610101765987</v>
      </c>
      <c r="J63">
        <f t="shared" si="0"/>
        <v>-1.32834871074588</v>
      </c>
      <c r="K63">
        <f t="shared" si="1"/>
        <v>3</v>
      </c>
      <c r="L63" cm="1">
        <f t="array" ref="L63">SUMPRODUCT(N(B63:H63*C63:I63&lt;0))</f>
        <v>2</v>
      </c>
      <c r="O63">
        <v>0.11223265896194801</v>
      </c>
      <c r="P63">
        <v>0.86345898439875302</v>
      </c>
      <c r="Q63">
        <v>0.87762329281651996</v>
      </c>
      <c r="R63">
        <v>0.48769855545719998</v>
      </c>
      <c r="S63">
        <v>0.46838957977971402</v>
      </c>
      <c r="T63">
        <v>0.80750385413083903</v>
      </c>
      <c r="U63">
        <v>0.84880671119318096</v>
      </c>
      <c r="V63">
        <f t="shared" si="2"/>
        <v>0.63795909096259351</v>
      </c>
      <c r="W63">
        <f t="shared" si="3"/>
        <v>36.57090330358816</v>
      </c>
    </row>
    <row r="64" spans="2:23" x14ac:dyDescent="0.45">
      <c r="B64">
        <v>0</v>
      </c>
      <c r="C64">
        <v>1.7779048735907299</v>
      </c>
      <c r="D64">
        <v>-3.5419319594199399</v>
      </c>
      <c r="E64">
        <v>5.30610101765987</v>
      </c>
      <c r="F64">
        <v>8.1375317215011904</v>
      </c>
      <c r="G64">
        <v>3.58502343947062</v>
      </c>
      <c r="H64">
        <v>-6.8600426697856802</v>
      </c>
      <c r="I64">
        <v>-7.8640927305722297</v>
      </c>
      <c r="J64">
        <f t="shared" si="0"/>
        <v>6.7561711555570225E-2</v>
      </c>
      <c r="K64">
        <f t="shared" si="1"/>
        <v>5</v>
      </c>
      <c r="L64" cm="1">
        <f t="array" ref="L64">SUMPRODUCT(N(B64:H64*C64:I64&lt;0))</f>
        <v>3</v>
      </c>
      <c r="O64">
        <v>0.128235514785039</v>
      </c>
      <c r="P64">
        <v>0.63241174540204503</v>
      </c>
      <c r="Q64">
        <v>0.63873276949435098</v>
      </c>
      <c r="R64">
        <v>0.139908224311698</v>
      </c>
      <c r="S64">
        <v>3.78602506643229E-2</v>
      </c>
      <c r="T64">
        <v>1.1243549035521201E-2</v>
      </c>
      <c r="U64">
        <v>3.1671690761064298E-3</v>
      </c>
      <c r="V64">
        <f t="shared" si="2"/>
        <v>0.2273656032527262</v>
      </c>
      <c r="W64">
        <f t="shared" si="3"/>
        <v>13.033697001748635</v>
      </c>
    </row>
    <row r="65" spans="2:23" x14ac:dyDescent="0.45">
      <c r="B65">
        <v>0</v>
      </c>
      <c r="C65">
        <v>1.7779048735907299</v>
      </c>
      <c r="D65">
        <v>-3.5419319594199399</v>
      </c>
      <c r="E65">
        <v>-1.7709659792240702</v>
      </c>
      <c r="F65">
        <v>-3.5419319594199399</v>
      </c>
      <c r="G65">
        <v>-3.5424998494789097</v>
      </c>
      <c r="H65">
        <v>-3.5419319594199399</v>
      </c>
      <c r="I65">
        <v>-1.7709659792240702</v>
      </c>
      <c r="J65">
        <f t="shared" si="0"/>
        <v>-1.9915403515745176</v>
      </c>
      <c r="K65">
        <f t="shared" si="1"/>
        <v>2</v>
      </c>
      <c r="L65" cm="1">
        <f t="array" ref="L65">SUMPRODUCT(N(B65:H65*C65:I65&lt;0))</f>
        <v>1</v>
      </c>
      <c r="O65">
        <v>9.2327267020722595E-2</v>
      </c>
      <c r="P65">
        <v>0.80565493704062596</v>
      </c>
      <c r="Q65">
        <v>0.78591583289667999</v>
      </c>
      <c r="R65">
        <v>0.106797452378456</v>
      </c>
      <c r="S65">
        <v>7.0343216739858994E-2</v>
      </c>
      <c r="T65">
        <v>1.1707662192725E-2</v>
      </c>
      <c r="U65">
        <v>7.7405113603380904E-3</v>
      </c>
      <c r="V65">
        <f t="shared" si="2"/>
        <v>0.26864098280420096</v>
      </c>
      <c r="W65">
        <f t="shared" si="3"/>
        <v>15.399801562024257</v>
      </c>
    </row>
    <row r="66" spans="2:23" x14ac:dyDescent="0.45">
      <c r="B66">
        <v>0</v>
      </c>
      <c r="C66">
        <v>1.7779048735907299</v>
      </c>
      <c r="D66">
        <v>-3.5419319594199399</v>
      </c>
      <c r="E66">
        <v>-3.5424998494789097</v>
      </c>
      <c r="F66">
        <v>-3.5419319594199399</v>
      </c>
      <c r="G66">
        <v>5.30610101765987</v>
      </c>
      <c r="H66">
        <v>8.1375317215011904</v>
      </c>
      <c r="I66">
        <v>3.58502343947062</v>
      </c>
      <c r="J66">
        <f t="shared" si="0"/>
        <v>1.0225246604879525</v>
      </c>
      <c r="K66">
        <f t="shared" si="1"/>
        <v>5</v>
      </c>
      <c r="L66" cm="1">
        <f t="array" ref="L66">SUMPRODUCT(N(B66:H66*C66:I66&lt;0))</f>
        <v>2</v>
      </c>
      <c r="O66">
        <v>0.113858267087087</v>
      </c>
      <c r="P66">
        <v>0.83409983905834995</v>
      </c>
      <c r="Q66">
        <v>1.2198255935042801</v>
      </c>
      <c r="R66">
        <v>1.2241124944190001</v>
      </c>
      <c r="S66">
        <v>0.83571430302685001</v>
      </c>
      <c r="T66">
        <v>0.121557089758523</v>
      </c>
      <c r="U66">
        <v>2.7803878566330199E-2</v>
      </c>
      <c r="V66">
        <f t="shared" si="2"/>
        <v>0.62528163791720293</v>
      </c>
      <c r="W66">
        <f t="shared" si="3"/>
        <v>35.84417032646386</v>
      </c>
    </row>
    <row r="67" spans="2:23" x14ac:dyDescent="0.45">
      <c r="B67">
        <v>0</v>
      </c>
      <c r="C67">
        <v>1.7779048735907299</v>
      </c>
      <c r="D67">
        <v>-3.5419319594199399</v>
      </c>
      <c r="E67">
        <v>-1.7709659792240702</v>
      </c>
      <c r="F67">
        <v>1.7952521083501201</v>
      </c>
      <c r="G67">
        <v>0</v>
      </c>
      <c r="H67">
        <v>1.27591923898725</v>
      </c>
      <c r="I67">
        <v>-3.5600139522696099</v>
      </c>
      <c r="J67">
        <f t="shared" ref="J67:J101" si="4">AVERAGE(B67:I67)</f>
        <v>-0.50297945874818994</v>
      </c>
      <c r="K67">
        <f t="shared" ref="K67:K101" si="5">COUNTIF(B67:I67,"&gt;=0")</f>
        <v>5</v>
      </c>
      <c r="L67" cm="1">
        <f t="array" ref="L67">SUMPRODUCT(N(B67:H67*C67:I67&lt;0))</f>
        <v>3</v>
      </c>
      <c r="O67">
        <v>9.3617140350784694E-2</v>
      </c>
      <c r="P67">
        <v>0.71757999029508901</v>
      </c>
      <c r="Q67">
        <v>1.27923282985392</v>
      </c>
      <c r="R67">
        <v>0.58257170079957898</v>
      </c>
      <c r="S67">
        <v>0.52017872261321796</v>
      </c>
      <c r="T67">
        <v>0.72075042580772697</v>
      </c>
      <c r="U67">
        <v>0.14138991012315699</v>
      </c>
      <c r="V67">
        <f t="shared" ref="V67:V101" si="6">AVERAGE(O67:U67)</f>
        <v>0.57933153140621063</v>
      </c>
      <c r="W67">
        <f t="shared" ref="W67:W101" si="7">V67*360/(3.14*2)</f>
        <v>33.210087787617169</v>
      </c>
    </row>
    <row r="68" spans="2:23" x14ac:dyDescent="0.45">
      <c r="B68">
        <v>0</v>
      </c>
      <c r="C68">
        <v>1.7779048735907299</v>
      </c>
      <c r="D68">
        <v>-3.5419319594199399</v>
      </c>
      <c r="E68">
        <v>-1.7952521083501103</v>
      </c>
      <c r="F68">
        <v>0</v>
      </c>
      <c r="G68">
        <v>1.27591923898725</v>
      </c>
      <c r="H68">
        <v>-3.5600139522696099</v>
      </c>
      <c r="I68">
        <v>-5.5785320906463394</v>
      </c>
      <c r="J68">
        <f t="shared" si="4"/>
        <v>-1.4277382497635025</v>
      </c>
      <c r="K68">
        <f t="shared" si="5"/>
        <v>4</v>
      </c>
      <c r="L68" cm="1">
        <f t="array" ref="L68">SUMPRODUCT(N(B68:H68*C68:I68&lt;0))</f>
        <v>2</v>
      </c>
      <c r="O68">
        <v>0.14407348342470799</v>
      </c>
      <c r="P68">
        <v>0.71104184088785904</v>
      </c>
      <c r="Q68">
        <v>0.48032554539912498</v>
      </c>
      <c r="R68">
        <v>0.47754672564760797</v>
      </c>
      <c r="S68">
        <v>0.71535603637787204</v>
      </c>
      <c r="T68">
        <v>0.155212952520938</v>
      </c>
      <c r="U68">
        <v>3.7941263872579498E-2</v>
      </c>
      <c r="V68">
        <f t="shared" si="6"/>
        <v>0.38878540687581281</v>
      </c>
      <c r="W68">
        <f t="shared" si="7"/>
        <v>22.287061540651688</v>
      </c>
    </row>
    <row r="69" spans="2:23" x14ac:dyDescent="0.45">
      <c r="B69">
        <v>0</v>
      </c>
      <c r="C69">
        <v>1.7779048735907299</v>
      </c>
      <c r="D69">
        <v>-3.5419319594199399</v>
      </c>
      <c r="E69">
        <v>-3.5424998494789097</v>
      </c>
      <c r="F69">
        <v>-3.5419319594199399</v>
      </c>
      <c r="G69">
        <v>-1.7709659792240702</v>
      </c>
      <c r="H69">
        <v>-3.5424998494789097</v>
      </c>
      <c r="I69">
        <v>-1.7709659792240702</v>
      </c>
      <c r="J69">
        <f t="shared" si="4"/>
        <v>-1.9916113378318889</v>
      </c>
      <c r="K69">
        <f t="shared" si="5"/>
        <v>2</v>
      </c>
      <c r="L69" cm="1">
        <f t="array" ref="L69">SUMPRODUCT(N(B69:H69*C69:I69&lt;0))</f>
        <v>1</v>
      </c>
      <c r="O69">
        <v>8.4473289446455893E-2</v>
      </c>
      <c r="P69">
        <v>0.774042622583752</v>
      </c>
      <c r="Q69">
        <v>0.80364373293921298</v>
      </c>
      <c r="R69">
        <v>0.10197282465509901</v>
      </c>
      <c r="S69">
        <v>1.7081582090337499E-2</v>
      </c>
      <c r="T69">
        <v>1.9609387711129401E-2</v>
      </c>
      <c r="U69">
        <v>3.3767516541668998E-3</v>
      </c>
      <c r="V69">
        <f t="shared" si="6"/>
        <v>0.25774288444002197</v>
      </c>
      <c r="W69">
        <f t="shared" si="7"/>
        <v>14.77506980866368</v>
      </c>
    </row>
    <row r="70" spans="2:23" x14ac:dyDescent="0.45">
      <c r="B70">
        <v>0</v>
      </c>
      <c r="C70">
        <v>1.7779048735907299</v>
      </c>
      <c r="D70">
        <v>-3.5419319594199399</v>
      </c>
      <c r="E70">
        <v>-1.7709659792240702</v>
      </c>
      <c r="F70">
        <v>1.7952521083501201</v>
      </c>
      <c r="G70">
        <v>0</v>
      </c>
      <c r="H70">
        <v>1.27591923898725</v>
      </c>
      <c r="I70">
        <v>-3.5600139522696099</v>
      </c>
      <c r="J70">
        <f t="shared" si="4"/>
        <v>-0.50297945874818994</v>
      </c>
      <c r="K70">
        <f t="shared" si="5"/>
        <v>5</v>
      </c>
      <c r="L70" cm="1">
        <f t="array" ref="L70">SUMPRODUCT(N(B70:H70*C70:I70&lt;0))</f>
        <v>3</v>
      </c>
      <c r="O70">
        <v>9.3617140350784694E-2</v>
      </c>
      <c r="P70">
        <v>0.71757999029508901</v>
      </c>
      <c r="Q70">
        <v>1.27923282985392</v>
      </c>
      <c r="R70">
        <v>0.58257170079957898</v>
      </c>
      <c r="S70">
        <v>0.52017872261321796</v>
      </c>
      <c r="T70">
        <v>0.72075042580772697</v>
      </c>
      <c r="U70">
        <v>0.14138991012315699</v>
      </c>
      <c r="V70">
        <f t="shared" si="6"/>
        <v>0.57933153140621063</v>
      </c>
      <c r="W70">
        <f t="shared" si="7"/>
        <v>33.210087787617169</v>
      </c>
    </row>
    <row r="71" spans="2:23" x14ac:dyDescent="0.45">
      <c r="B71">
        <v>0</v>
      </c>
      <c r="C71">
        <v>1.7779048735907299</v>
      </c>
      <c r="D71">
        <v>-3.5419319594199399</v>
      </c>
      <c r="E71">
        <v>5.30610101765987</v>
      </c>
      <c r="F71">
        <v>8.1375317215011904</v>
      </c>
      <c r="G71">
        <v>3.58502343947062</v>
      </c>
      <c r="H71">
        <v>-6.8600426697856802</v>
      </c>
      <c r="I71">
        <v>-7.8640927305722297</v>
      </c>
      <c r="J71">
        <f t="shared" si="4"/>
        <v>6.7561711555570225E-2</v>
      </c>
      <c r="K71">
        <f t="shared" si="5"/>
        <v>5</v>
      </c>
      <c r="L71" cm="1">
        <f t="array" ref="L71">SUMPRODUCT(N(B71:H71*C71:I71&lt;0))</f>
        <v>3</v>
      </c>
      <c r="O71">
        <v>0.128235514785039</v>
      </c>
      <c r="P71">
        <v>0.63241174540204503</v>
      </c>
      <c r="Q71">
        <v>0.63873276949435098</v>
      </c>
      <c r="R71">
        <v>0.139908224311698</v>
      </c>
      <c r="S71">
        <v>3.78602506643229E-2</v>
      </c>
      <c r="T71">
        <v>1.1243549035521201E-2</v>
      </c>
      <c r="U71">
        <v>3.1671690761064298E-3</v>
      </c>
      <c r="V71">
        <f t="shared" si="6"/>
        <v>0.2273656032527262</v>
      </c>
      <c r="W71">
        <f t="shared" si="7"/>
        <v>13.033697001748635</v>
      </c>
    </row>
    <row r="72" spans="2:23" x14ac:dyDescent="0.45">
      <c r="B72">
        <v>0</v>
      </c>
      <c r="C72">
        <v>1.7779048735907299</v>
      </c>
      <c r="D72">
        <v>-3.5419319594199399</v>
      </c>
      <c r="E72">
        <v>-1.7952521083501103</v>
      </c>
      <c r="F72">
        <v>0</v>
      </c>
      <c r="G72">
        <v>1.27591923898725</v>
      </c>
      <c r="H72">
        <v>-3.5600139522696099</v>
      </c>
      <c r="I72">
        <v>-5.5785320906463394</v>
      </c>
      <c r="J72">
        <f t="shared" si="4"/>
        <v>-1.4277382497635025</v>
      </c>
      <c r="K72">
        <f t="shared" si="5"/>
        <v>4</v>
      </c>
      <c r="L72" cm="1">
        <f t="array" ref="L72">SUMPRODUCT(N(B72:H72*C72:I72&lt;0))</f>
        <v>2</v>
      </c>
      <c r="O72">
        <v>0.14407348342470799</v>
      </c>
      <c r="P72">
        <v>0.71104184088785904</v>
      </c>
      <c r="Q72">
        <v>0.48032554539912498</v>
      </c>
      <c r="R72">
        <v>0.47754672564760797</v>
      </c>
      <c r="S72">
        <v>0.71535603637787204</v>
      </c>
      <c r="T72">
        <v>0.155212952520938</v>
      </c>
      <c r="U72">
        <v>3.7941263872579498E-2</v>
      </c>
      <c r="V72">
        <f t="shared" si="6"/>
        <v>0.38878540687581281</v>
      </c>
      <c r="W72">
        <f t="shared" si="7"/>
        <v>22.287061540651688</v>
      </c>
    </row>
    <row r="73" spans="2:23" x14ac:dyDescent="0.45">
      <c r="B73">
        <v>0</v>
      </c>
      <c r="C73">
        <v>1.7779048735907299</v>
      </c>
      <c r="D73">
        <v>-3.5419319594199399</v>
      </c>
      <c r="E73">
        <v>-1.7709659792240702</v>
      </c>
      <c r="F73">
        <v>1.7952521083501201</v>
      </c>
      <c r="G73">
        <v>0</v>
      </c>
      <c r="H73">
        <v>1.27591923898725</v>
      </c>
      <c r="I73">
        <v>-3.5600139522696099</v>
      </c>
      <c r="J73">
        <f t="shared" si="4"/>
        <v>-0.50297945874818994</v>
      </c>
      <c r="K73">
        <f t="shared" si="5"/>
        <v>5</v>
      </c>
      <c r="L73" cm="1">
        <f t="array" ref="L73">SUMPRODUCT(N(B73:H73*C73:I73&lt;0))</f>
        <v>3</v>
      </c>
      <c r="O73">
        <v>9.3617140350784694E-2</v>
      </c>
      <c r="P73">
        <v>0.71757999029508901</v>
      </c>
      <c r="Q73">
        <v>1.27923282985392</v>
      </c>
      <c r="R73">
        <v>0.58257170079957898</v>
      </c>
      <c r="S73">
        <v>0.52017872261321796</v>
      </c>
      <c r="T73">
        <v>0.72075042580772697</v>
      </c>
      <c r="U73">
        <v>0.14138991012315699</v>
      </c>
      <c r="V73">
        <f t="shared" si="6"/>
        <v>0.57933153140621063</v>
      </c>
      <c r="W73">
        <f t="shared" si="7"/>
        <v>33.210087787617169</v>
      </c>
    </row>
    <row r="74" spans="2:23" x14ac:dyDescent="0.45">
      <c r="B74">
        <v>0</v>
      </c>
      <c r="C74">
        <v>1.7779048735907299</v>
      </c>
      <c r="D74">
        <v>-3.5419319594199399</v>
      </c>
      <c r="E74">
        <v>-3.5424998494789097</v>
      </c>
      <c r="F74">
        <v>-3.5419319594199399</v>
      </c>
      <c r="G74">
        <v>-1.7952521083501103</v>
      </c>
      <c r="H74">
        <v>0</v>
      </c>
      <c r="I74">
        <v>1.27591923898725</v>
      </c>
      <c r="J74">
        <f t="shared" si="4"/>
        <v>-1.1709739705113651</v>
      </c>
      <c r="K74">
        <f t="shared" si="5"/>
        <v>4</v>
      </c>
      <c r="L74" cm="1">
        <f t="array" ref="L74">SUMPRODUCT(N(B74:H74*C74:I74&lt;0))</f>
        <v>1</v>
      </c>
      <c r="O74">
        <v>8.4612976001457299E-2</v>
      </c>
      <c r="P74">
        <v>0.74288762009577203</v>
      </c>
      <c r="Q74">
        <v>0.94137241062791399</v>
      </c>
      <c r="R74">
        <v>5.3661229936710901E-2</v>
      </c>
      <c r="S74">
        <v>0.72387776348571498</v>
      </c>
      <c r="T74">
        <v>0.44842693293570601</v>
      </c>
      <c r="U74">
        <v>0.69117868856005105</v>
      </c>
      <c r="V74">
        <f t="shared" si="6"/>
        <v>0.52657394594904661</v>
      </c>
      <c r="W74">
        <f t="shared" si="7"/>
        <v>30.185767602174646</v>
      </c>
    </row>
    <row r="75" spans="2:23" x14ac:dyDescent="0.45">
      <c r="B75">
        <v>0</v>
      </c>
      <c r="C75">
        <v>1.7779048735907299</v>
      </c>
      <c r="D75">
        <v>-3.5419319594199399</v>
      </c>
      <c r="E75">
        <v>-1.7952521083501103</v>
      </c>
      <c r="F75">
        <v>0</v>
      </c>
      <c r="G75">
        <v>1.27591923898725</v>
      </c>
      <c r="H75">
        <v>-3.5600139522696099</v>
      </c>
      <c r="I75">
        <v>-5.5785320906463394</v>
      </c>
      <c r="J75">
        <f t="shared" si="4"/>
        <v>-1.4277382497635025</v>
      </c>
      <c r="K75">
        <f t="shared" si="5"/>
        <v>4</v>
      </c>
      <c r="L75" cm="1">
        <f t="array" ref="L75">SUMPRODUCT(N(B75:H75*C75:I75&lt;0))</f>
        <v>2</v>
      </c>
      <c r="O75">
        <v>0.14407348342470799</v>
      </c>
      <c r="P75">
        <v>0.71104184088785904</v>
      </c>
      <c r="Q75">
        <v>0.48032554539912498</v>
      </c>
      <c r="R75">
        <v>0.47754672564760797</v>
      </c>
      <c r="S75">
        <v>0.71535603637787204</v>
      </c>
      <c r="T75">
        <v>0.155212952520938</v>
      </c>
      <c r="U75">
        <v>3.7941263872579498E-2</v>
      </c>
      <c r="V75">
        <f t="shared" si="6"/>
        <v>0.38878540687581281</v>
      </c>
      <c r="W75">
        <f t="shared" si="7"/>
        <v>22.287061540651688</v>
      </c>
    </row>
    <row r="76" spans="2:23" x14ac:dyDescent="0.45">
      <c r="B76">
        <v>0</v>
      </c>
      <c r="C76">
        <v>1.7779048735907299</v>
      </c>
      <c r="D76">
        <v>-3.5419319594199399</v>
      </c>
      <c r="E76">
        <v>-1.7952521083501103</v>
      </c>
      <c r="F76">
        <v>0</v>
      </c>
      <c r="G76">
        <v>1.27591923898725</v>
      </c>
      <c r="H76">
        <v>-3.5600139522696099</v>
      </c>
      <c r="I76">
        <v>-5.5785320906463394</v>
      </c>
      <c r="J76">
        <f t="shared" si="4"/>
        <v>-1.4277382497635025</v>
      </c>
      <c r="K76">
        <f t="shared" si="5"/>
        <v>4</v>
      </c>
      <c r="L76" cm="1">
        <f t="array" ref="L76">SUMPRODUCT(N(B76:H76*C76:I76&lt;0))</f>
        <v>2</v>
      </c>
      <c r="O76">
        <v>0.14407348342470799</v>
      </c>
      <c r="P76">
        <v>0.71104184088785904</v>
      </c>
      <c r="Q76">
        <v>0.48032554539912498</v>
      </c>
      <c r="R76">
        <v>0.47754672564760797</v>
      </c>
      <c r="S76">
        <v>0.71535603637787204</v>
      </c>
      <c r="T76">
        <v>0.155212952520938</v>
      </c>
      <c r="U76">
        <v>3.7941263872579498E-2</v>
      </c>
      <c r="V76">
        <f t="shared" si="6"/>
        <v>0.38878540687581281</v>
      </c>
      <c r="W76">
        <f t="shared" si="7"/>
        <v>22.287061540651688</v>
      </c>
    </row>
    <row r="77" spans="2:23" x14ac:dyDescent="0.45">
      <c r="B77">
        <v>0</v>
      </c>
      <c r="C77">
        <v>1.7779048735907299</v>
      </c>
      <c r="D77">
        <v>-3.5419319594199399</v>
      </c>
      <c r="E77">
        <v>-1.7709659792240702</v>
      </c>
      <c r="F77">
        <v>-3.5424998494789097</v>
      </c>
      <c r="G77">
        <v>-1.7709659792240702</v>
      </c>
      <c r="H77">
        <v>-3.5419319594199399</v>
      </c>
      <c r="I77">
        <v>-1.7709659792240702</v>
      </c>
      <c r="J77">
        <f t="shared" si="4"/>
        <v>-1.7701696040500337</v>
      </c>
      <c r="K77">
        <f t="shared" si="5"/>
        <v>2</v>
      </c>
      <c r="L77" cm="1">
        <f t="array" ref="L77">SUMPRODUCT(N(B77:H77*C77:I77&lt;0))</f>
        <v>1</v>
      </c>
      <c r="O77">
        <v>0.17176598043463301</v>
      </c>
      <c r="P77">
        <v>0.94739298551477102</v>
      </c>
      <c r="Q77">
        <v>0.20952644887659</v>
      </c>
      <c r="R77">
        <v>0.20610349649826801</v>
      </c>
      <c r="S77">
        <v>3.8869399286203601E-2</v>
      </c>
      <c r="T77">
        <v>3.3385513073764701E-2</v>
      </c>
      <c r="U77">
        <v>2.0969465681755801E-2</v>
      </c>
      <c r="V77">
        <f t="shared" si="6"/>
        <v>0.23257332705228378</v>
      </c>
      <c r="W77">
        <f t="shared" si="7"/>
        <v>13.33222893930289</v>
      </c>
    </row>
    <row r="78" spans="2:23" x14ac:dyDescent="0.45">
      <c r="B78">
        <v>0</v>
      </c>
      <c r="C78">
        <v>1.7779048735907299</v>
      </c>
      <c r="D78">
        <v>-3.5419319594199399</v>
      </c>
      <c r="E78">
        <v>-3.5424998494789097</v>
      </c>
      <c r="F78">
        <v>-3.5419319594199399</v>
      </c>
      <c r="G78">
        <v>5.30610101765987</v>
      </c>
      <c r="H78">
        <v>8.1375317215011904</v>
      </c>
      <c r="I78">
        <v>3.58502343947062</v>
      </c>
      <c r="J78">
        <f t="shared" si="4"/>
        <v>1.0225246604879525</v>
      </c>
      <c r="K78">
        <f t="shared" si="5"/>
        <v>5</v>
      </c>
      <c r="L78" cm="1">
        <f t="array" ref="L78">SUMPRODUCT(N(B78:H78*C78:I78&lt;0))</f>
        <v>2</v>
      </c>
      <c r="O78">
        <v>0.113858267087087</v>
      </c>
      <c r="P78">
        <v>0.83409983905834995</v>
      </c>
      <c r="Q78">
        <v>1.2198255935042801</v>
      </c>
      <c r="R78">
        <v>1.2241124944190001</v>
      </c>
      <c r="S78">
        <v>0.83571430302685001</v>
      </c>
      <c r="T78">
        <v>0.121557089758523</v>
      </c>
      <c r="U78">
        <v>2.7803878566330199E-2</v>
      </c>
      <c r="V78">
        <f t="shared" si="6"/>
        <v>0.62528163791720293</v>
      </c>
      <c r="W78">
        <f t="shared" si="7"/>
        <v>35.84417032646386</v>
      </c>
    </row>
    <row r="79" spans="2:23" x14ac:dyDescent="0.45">
      <c r="B79">
        <v>0</v>
      </c>
      <c r="C79">
        <v>1.7779048735907299</v>
      </c>
      <c r="D79">
        <v>-3.5419319594199399</v>
      </c>
      <c r="E79">
        <v>-1.7952521083501103</v>
      </c>
      <c r="F79">
        <v>0</v>
      </c>
      <c r="G79">
        <v>1.27591923898725</v>
      </c>
      <c r="H79">
        <v>-3.5600139522696099</v>
      </c>
      <c r="I79">
        <v>-5.5785320906463394</v>
      </c>
      <c r="J79">
        <f t="shared" si="4"/>
        <v>-1.4277382497635025</v>
      </c>
      <c r="K79">
        <f t="shared" si="5"/>
        <v>4</v>
      </c>
      <c r="L79" cm="1">
        <f t="array" ref="L79">SUMPRODUCT(N(B79:H79*C79:I79&lt;0))</f>
        <v>2</v>
      </c>
      <c r="O79">
        <v>0.14407348342470799</v>
      </c>
      <c r="P79">
        <v>0.71104184088785904</v>
      </c>
      <c r="Q79">
        <v>0.48032554539912498</v>
      </c>
      <c r="R79">
        <v>0.47754672564760797</v>
      </c>
      <c r="S79">
        <v>0.71535603637787204</v>
      </c>
      <c r="T79">
        <v>0.155212952520938</v>
      </c>
      <c r="U79">
        <v>3.7941263872579498E-2</v>
      </c>
      <c r="V79">
        <f t="shared" si="6"/>
        <v>0.38878540687581281</v>
      </c>
      <c r="W79">
        <f t="shared" si="7"/>
        <v>22.287061540651688</v>
      </c>
    </row>
    <row r="80" spans="2:23" x14ac:dyDescent="0.45">
      <c r="B80">
        <v>0</v>
      </c>
      <c r="C80">
        <v>1.7779048735907299</v>
      </c>
      <c r="D80">
        <v>-3.5419319594199399</v>
      </c>
      <c r="E80">
        <v>-3.5424998494789097</v>
      </c>
      <c r="F80">
        <v>-3.5419319594199399</v>
      </c>
      <c r="G80">
        <v>5.30610101765987</v>
      </c>
      <c r="H80">
        <v>8.1375317215011904</v>
      </c>
      <c r="I80">
        <v>3.58502343947062</v>
      </c>
      <c r="J80">
        <f t="shared" si="4"/>
        <v>1.0225246604879525</v>
      </c>
      <c r="K80">
        <f t="shared" si="5"/>
        <v>5</v>
      </c>
      <c r="L80" cm="1">
        <f t="array" ref="L80">SUMPRODUCT(N(B80:H80*C80:I80&lt;0))</f>
        <v>2</v>
      </c>
      <c r="O80">
        <v>0.113858267087087</v>
      </c>
      <c r="P80">
        <v>0.83409983905834995</v>
      </c>
      <c r="Q80">
        <v>1.2198255935042801</v>
      </c>
      <c r="R80">
        <v>1.2241124944190001</v>
      </c>
      <c r="S80">
        <v>0.83571430302685001</v>
      </c>
      <c r="T80">
        <v>0.121557089758523</v>
      </c>
      <c r="U80">
        <v>2.7803878566330199E-2</v>
      </c>
      <c r="V80">
        <f t="shared" si="6"/>
        <v>0.62528163791720293</v>
      </c>
      <c r="W80">
        <f t="shared" si="7"/>
        <v>35.84417032646386</v>
      </c>
    </row>
    <row r="81" spans="2:23" x14ac:dyDescent="0.45">
      <c r="B81">
        <v>0</v>
      </c>
      <c r="C81">
        <v>1.7779048735907299</v>
      </c>
      <c r="D81">
        <v>-3.5419319594199399</v>
      </c>
      <c r="E81">
        <v>-3.5424998494789097</v>
      </c>
      <c r="F81">
        <v>-3.5419319594199399</v>
      </c>
      <c r="G81">
        <v>-1.7709659792240702</v>
      </c>
      <c r="H81">
        <v>1.7952521083501201</v>
      </c>
      <c r="I81">
        <v>0</v>
      </c>
      <c r="J81">
        <f t="shared" si="4"/>
        <v>-1.1030215957002514</v>
      </c>
      <c r="K81">
        <f t="shared" si="5"/>
        <v>4</v>
      </c>
      <c r="L81" cm="1">
        <f t="array" ref="L81">SUMPRODUCT(N(B81:H81*C81:I81&lt;0))</f>
        <v>2</v>
      </c>
      <c r="O81">
        <v>9.1766309131337404E-2</v>
      </c>
      <c r="P81">
        <v>0.79442985773559005</v>
      </c>
      <c r="Q81">
        <v>0.831559265478232</v>
      </c>
      <c r="R81">
        <v>2.5205554969364601E-2</v>
      </c>
      <c r="S81">
        <v>0.59138214393809996</v>
      </c>
      <c r="T81">
        <v>0.61359003886127095</v>
      </c>
      <c r="U81">
        <v>0.74778441708334298</v>
      </c>
      <c r="V81">
        <f t="shared" si="6"/>
        <v>0.52795965531389122</v>
      </c>
      <c r="W81">
        <f t="shared" si="7"/>
        <v>30.265203170860008</v>
      </c>
    </row>
    <row r="82" spans="2:23" x14ac:dyDescent="0.45">
      <c r="B82">
        <v>0</v>
      </c>
      <c r="C82">
        <v>1.7779048735907299</v>
      </c>
      <c r="D82">
        <v>-3.5419319594199399</v>
      </c>
      <c r="E82">
        <v>-1.7952521083501103</v>
      </c>
      <c r="F82">
        <v>0</v>
      </c>
      <c r="G82">
        <v>1.27591923898725</v>
      </c>
      <c r="H82">
        <v>-3.5600139522696099</v>
      </c>
      <c r="I82">
        <v>-5.5785320906463394</v>
      </c>
      <c r="J82">
        <f t="shared" si="4"/>
        <v>-1.4277382497635025</v>
      </c>
      <c r="K82">
        <f t="shared" si="5"/>
        <v>4</v>
      </c>
      <c r="L82" cm="1">
        <f t="array" ref="L82">SUMPRODUCT(N(B82:H82*C82:I82&lt;0))</f>
        <v>2</v>
      </c>
      <c r="O82">
        <v>0.14407348342470799</v>
      </c>
      <c r="P82">
        <v>0.71104184088785904</v>
      </c>
      <c r="Q82">
        <v>0.48032554539912498</v>
      </c>
      <c r="R82">
        <v>0.47754672564760797</v>
      </c>
      <c r="S82">
        <v>0.71535603637787204</v>
      </c>
      <c r="T82">
        <v>0.155212952520938</v>
      </c>
      <c r="U82">
        <v>3.7941263872579498E-2</v>
      </c>
      <c r="V82">
        <f t="shared" si="6"/>
        <v>0.38878540687581281</v>
      </c>
      <c r="W82">
        <f t="shared" si="7"/>
        <v>22.287061540651688</v>
      </c>
    </row>
    <row r="83" spans="2:23" x14ac:dyDescent="0.45">
      <c r="B83">
        <v>0</v>
      </c>
      <c r="C83">
        <v>1.7779048735907299</v>
      </c>
      <c r="D83">
        <v>-3.5419319594199399</v>
      </c>
      <c r="E83">
        <v>5.30610101765987</v>
      </c>
      <c r="F83">
        <v>8.1375317215011904</v>
      </c>
      <c r="G83">
        <v>3.58502343947062</v>
      </c>
      <c r="H83">
        <v>-6.8600426697856802</v>
      </c>
      <c r="I83">
        <v>-7.8640927305722297</v>
      </c>
      <c r="J83">
        <f t="shared" si="4"/>
        <v>6.7561711555570225E-2</v>
      </c>
      <c r="K83">
        <f t="shared" si="5"/>
        <v>5</v>
      </c>
      <c r="L83" cm="1">
        <f t="array" ref="L83">SUMPRODUCT(N(B83:H83*C83:I83&lt;0))</f>
        <v>3</v>
      </c>
      <c r="O83">
        <v>0.128235514785039</v>
      </c>
      <c r="P83">
        <v>0.63241174540204503</v>
      </c>
      <c r="Q83">
        <v>0.63873276949435098</v>
      </c>
      <c r="R83">
        <v>0.139908224311698</v>
      </c>
      <c r="S83">
        <v>3.78602506643229E-2</v>
      </c>
      <c r="T83">
        <v>1.1243549035521201E-2</v>
      </c>
      <c r="U83">
        <v>3.1671690761064298E-3</v>
      </c>
      <c r="V83">
        <f t="shared" si="6"/>
        <v>0.2273656032527262</v>
      </c>
      <c r="W83">
        <f t="shared" si="7"/>
        <v>13.033697001748635</v>
      </c>
    </row>
    <row r="84" spans="2:23" x14ac:dyDescent="0.45">
      <c r="B84">
        <v>0</v>
      </c>
      <c r="C84">
        <v>1.7779048735907299</v>
      </c>
      <c r="D84">
        <v>-3.5419319594199399</v>
      </c>
      <c r="E84">
        <v>-1.7709659792240702</v>
      </c>
      <c r="F84">
        <v>-3.5424998494789097</v>
      </c>
      <c r="G84">
        <v>-1.7709659792240702</v>
      </c>
      <c r="H84">
        <v>1.7952521083501201</v>
      </c>
      <c r="I84">
        <v>0</v>
      </c>
      <c r="J84">
        <f t="shared" si="4"/>
        <v>-0.88165084817576744</v>
      </c>
      <c r="K84">
        <f t="shared" si="5"/>
        <v>4</v>
      </c>
      <c r="L84" cm="1">
        <f t="array" ref="L84">SUMPRODUCT(N(B84:H84*C84:I84&lt;0))</f>
        <v>2</v>
      </c>
      <c r="O84">
        <v>0.169927424490593</v>
      </c>
      <c r="P84">
        <v>0.93986071556557205</v>
      </c>
      <c r="Q84">
        <v>0.17956650900820301</v>
      </c>
      <c r="R84">
        <v>0.34706175666977102</v>
      </c>
      <c r="S84">
        <v>9.7058420692662697E-2</v>
      </c>
      <c r="T84">
        <v>0.66478382987267204</v>
      </c>
      <c r="U84">
        <v>0.64052031768167905</v>
      </c>
      <c r="V84">
        <f t="shared" si="6"/>
        <v>0.43411128199730759</v>
      </c>
      <c r="W84">
        <f t="shared" si="7"/>
        <v>24.885360114495338</v>
      </c>
    </row>
    <row r="85" spans="2:23" x14ac:dyDescent="0.45">
      <c r="B85">
        <v>0</v>
      </c>
      <c r="C85">
        <v>1.7779048735907299</v>
      </c>
      <c r="D85">
        <v>-3.5419319594199399</v>
      </c>
      <c r="E85">
        <v>-1.7709659792240702</v>
      </c>
      <c r="F85">
        <v>-3.5424998494789097</v>
      </c>
      <c r="G85">
        <v>-1.7709659792240702</v>
      </c>
      <c r="H85">
        <v>-3.5424998494789097</v>
      </c>
      <c r="I85">
        <v>-1.7709659792240702</v>
      </c>
      <c r="J85">
        <f t="shared" si="4"/>
        <v>-1.770240590307405</v>
      </c>
      <c r="K85">
        <f t="shared" si="5"/>
        <v>2</v>
      </c>
      <c r="L85" cm="1">
        <f t="array" ref="L85">SUMPRODUCT(N(B85:H85*C85:I85&lt;0))</f>
        <v>1</v>
      </c>
      <c r="O85">
        <v>0.17741400001324001</v>
      </c>
      <c r="P85">
        <v>0.94997660253995897</v>
      </c>
      <c r="Q85">
        <v>0.21734930553064</v>
      </c>
      <c r="R85">
        <v>0.24111682949757299</v>
      </c>
      <c r="S85">
        <v>0.145645226768189</v>
      </c>
      <c r="T85">
        <v>4.2291487751528897E-2</v>
      </c>
      <c r="U85">
        <v>2.7238577880464598E-3</v>
      </c>
      <c r="V85">
        <f t="shared" si="6"/>
        <v>0.25378818712702517</v>
      </c>
      <c r="W85">
        <f t="shared" si="7"/>
        <v>14.548367414925009</v>
      </c>
    </row>
    <row r="86" spans="2:23" x14ac:dyDescent="0.45">
      <c r="B86">
        <v>0</v>
      </c>
      <c r="C86">
        <v>1.7779048735907299</v>
      </c>
      <c r="D86">
        <v>-3.5419319594199399</v>
      </c>
      <c r="E86">
        <v>-1.7952521083501103</v>
      </c>
      <c r="F86">
        <v>0</v>
      </c>
      <c r="G86">
        <v>1.27591923898725</v>
      </c>
      <c r="H86">
        <v>-3.5600139522696099</v>
      </c>
      <c r="I86">
        <v>-5.5785320906463394</v>
      </c>
      <c r="J86">
        <f t="shared" si="4"/>
        <v>-1.4277382497635025</v>
      </c>
      <c r="K86">
        <f t="shared" si="5"/>
        <v>4</v>
      </c>
      <c r="L86" cm="1">
        <f t="array" ref="L86">SUMPRODUCT(N(B86:H86*C86:I86&lt;0))</f>
        <v>2</v>
      </c>
      <c r="O86">
        <v>0.14407348342470799</v>
      </c>
      <c r="P86">
        <v>0.71104184088785904</v>
      </c>
      <c r="Q86">
        <v>0.48032554539912498</v>
      </c>
      <c r="R86">
        <v>0.47754672564760797</v>
      </c>
      <c r="S86">
        <v>0.71535603637787204</v>
      </c>
      <c r="T86">
        <v>0.155212952520938</v>
      </c>
      <c r="U86">
        <v>3.7941263872579498E-2</v>
      </c>
      <c r="V86">
        <f t="shared" si="6"/>
        <v>0.38878540687581281</v>
      </c>
      <c r="W86">
        <f t="shared" si="7"/>
        <v>22.287061540651688</v>
      </c>
    </row>
    <row r="87" spans="2:23" x14ac:dyDescent="0.45">
      <c r="B87">
        <v>0</v>
      </c>
      <c r="C87">
        <v>1.7779048735907299</v>
      </c>
      <c r="D87">
        <v>-3.5419319594199399</v>
      </c>
      <c r="E87">
        <v>-1.7709659792240702</v>
      </c>
      <c r="F87">
        <v>-3.5419319594199399</v>
      </c>
      <c r="G87">
        <v>-3.5424998494789097</v>
      </c>
      <c r="H87">
        <v>-3.5419319594199399</v>
      </c>
      <c r="I87">
        <v>-1.7709659792240702</v>
      </c>
      <c r="J87">
        <f t="shared" si="4"/>
        <v>-1.9915403515745176</v>
      </c>
      <c r="K87">
        <f t="shared" si="5"/>
        <v>2</v>
      </c>
      <c r="L87" cm="1">
        <f t="array" ref="L87">SUMPRODUCT(N(B87:H87*C87:I87&lt;0))</f>
        <v>1</v>
      </c>
      <c r="O87">
        <v>9.2327267020722595E-2</v>
      </c>
      <c r="P87">
        <v>0.80565493704062596</v>
      </c>
      <c r="Q87">
        <v>0.78591583289667999</v>
      </c>
      <c r="R87">
        <v>0.106797452378456</v>
      </c>
      <c r="S87">
        <v>7.0343216739858994E-2</v>
      </c>
      <c r="T87">
        <v>1.1707662192725E-2</v>
      </c>
      <c r="U87">
        <v>7.7405113603380904E-3</v>
      </c>
      <c r="V87">
        <f t="shared" si="6"/>
        <v>0.26864098280420096</v>
      </c>
      <c r="W87">
        <f t="shared" si="7"/>
        <v>15.399801562024257</v>
      </c>
    </row>
    <row r="88" spans="2:23" x14ac:dyDescent="0.45">
      <c r="B88">
        <v>0</v>
      </c>
      <c r="C88">
        <v>1.7779048735907299</v>
      </c>
      <c r="D88">
        <v>-3.5419319594199399</v>
      </c>
      <c r="E88">
        <v>-3.5424998494789097</v>
      </c>
      <c r="F88">
        <v>-3.5419319594199399</v>
      </c>
      <c r="G88">
        <v>-1.7709659792240702</v>
      </c>
      <c r="H88">
        <v>-3.5424998494789097</v>
      </c>
      <c r="I88">
        <v>-1.7709659792240702</v>
      </c>
      <c r="J88">
        <f t="shared" si="4"/>
        <v>-1.9916113378318889</v>
      </c>
      <c r="K88">
        <f t="shared" si="5"/>
        <v>2</v>
      </c>
      <c r="L88" cm="1">
        <f t="array" ref="L88">SUMPRODUCT(N(B88:H88*C88:I88&lt;0))</f>
        <v>1</v>
      </c>
      <c r="O88">
        <v>8.3305261732685404E-2</v>
      </c>
      <c r="P88">
        <v>0.76892235418723098</v>
      </c>
      <c r="Q88">
        <v>0.80739468320890095</v>
      </c>
      <c r="R88">
        <v>0.100615747529938</v>
      </c>
      <c r="S88">
        <v>1.8577340345009598E-2</v>
      </c>
      <c r="T88">
        <v>3.81906724015703E-2</v>
      </c>
      <c r="U88">
        <v>2.8078926348069501E-2</v>
      </c>
      <c r="V88">
        <f t="shared" si="6"/>
        <v>0.26358356939334354</v>
      </c>
      <c r="W88">
        <f t="shared" si="7"/>
        <v>15.109886143567465</v>
      </c>
    </row>
    <row r="89" spans="2:23" x14ac:dyDescent="0.45">
      <c r="B89">
        <v>0</v>
      </c>
      <c r="C89">
        <v>1.7779048735907299</v>
      </c>
      <c r="D89">
        <v>-3.5419319594199399</v>
      </c>
      <c r="E89">
        <v>-1.7952521083501103</v>
      </c>
      <c r="F89">
        <v>0</v>
      </c>
      <c r="G89">
        <v>1.27591923898725</v>
      </c>
      <c r="H89">
        <v>-3.5600139522696099</v>
      </c>
      <c r="I89">
        <v>-5.5785320906463394</v>
      </c>
      <c r="J89">
        <f t="shared" si="4"/>
        <v>-1.4277382497635025</v>
      </c>
      <c r="K89">
        <f t="shared" si="5"/>
        <v>4</v>
      </c>
      <c r="L89" cm="1">
        <f t="array" ref="L89">SUMPRODUCT(N(B89:H89*C89:I89&lt;0))</f>
        <v>2</v>
      </c>
      <c r="O89">
        <v>0.14407348342470799</v>
      </c>
      <c r="P89">
        <v>0.71104184088785904</v>
      </c>
      <c r="Q89">
        <v>0.48032554539912498</v>
      </c>
      <c r="R89">
        <v>0.47754672564760797</v>
      </c>
      <c r="S89">
        <v>0.71535603637787204</v>
      </c>
      <c r="T89">
        <v>0.155212952520938</v>
      </c>
      <c r="U89">
        <v>3.7941263872579498E-2</v>
      </c>
      <c r="V89">
        <f t="shared" si="6"/>
        <v>0.38878540687581281</v>
      </c>
      <c r="W89">
        <f t="shared" si="7"/>
        <v>22.287061540651688</v>
      </c>
    </row>
    <row r="90" spans="2:23" x14ac:dyDescent="0.45">
      <c r="B90">
        <v>0</v>
      </c>
      <c r="C90">
        <v>1.7779048735907299</v>
      </c>
      <c r="D90">
        <v>-3.5419319594199399</v>
      </c>
      <c r="E90">
        <v>-3.5424998494789097</v>
      </c>
      <c r="F90">
        <v>-3.5419319594199399</v>
      </c>
      <c r="G90">
        <v>-3.5424998494789097</v>
      </c>
      <c r="H90">
        <v>-3.5419319594199399</v>
      </c>
      <c r="I90">
        <v>-1.7952521083501103</v>
      </c>
      <c r="J90">
        <f t="shared" si="4"/>
        <v>-2.2160178514971274</v>
      </c>
      <c r="K90">
        <f t="shared" si="5"/>
        <v>2</v>
      </c>
      <c r="L90" cm="1">
        <f t="array" ref="L90">SUMPRODUCT(N(B90:H90*C90:I90&lt;0))</f>
        <v>1</v>
      </c>
      <c r="O90">
        <v>0.109369142596054</v>
      </c>
      <c r="P90">
        <v>0.85606033696065598</v>
      </c>
      <c r="Q90">
        <v>0.84893785232000496</v>
      </c>
      <c r="R90">
        <v>0.52648097170413299</v>
      </c>
      <c r="S90">
        <v>0.359357581984108</v>
      </c>
      <c r="T90">
        <v>0.18394251168297299</v>
      </c>
      <c r="U90">
        <v>0.88498062639580599</v>
      </c>
      <c r="V90">
        <f t="shared" si="6"/>
        <v>0.53844700337767637</v>
      </c>
      <c r="W90">
        <f t="shared" si="7"/>
        <v>30.866388728656609</v>
      </c>
    </row>
    <row r="91" spans="2:23" x14ac:dyDescent="0.45">
      <c r="B91">
        <v>0</v>
      </c>
      <c r="C91">
        <v>1.7779048735907299</v>
      </c>
      <c r="D91">
        <v>-3.5419319594199399</v>
      </c>
      <c r="E91">
        <v>-1.7709659792240702</v>
      </c>
      <c r="F91">
        <v>1.7952521083501201</v>
      </c>
      <c r="G91">
        <v>0</v>
      </c>
      <c r="H91">
        <v>1.27591923898725</v>
      </c>
      <c r="I91">
        <v>-3.5600139522696099</v>
      </c>
      <c r="J91">
        <f t="shared" si="4"/>
        <v>-0.50297945874818994</v>
      </c>
      <c r="K91">
        <f t="shared" si="5"/>
        <v>5</v>
      </c>
      <c r="L91" cm="1">
        <f t="array" ref="L91">SUMPRODUCT(N(B91:H91*C91:I91&lt;0))</f>
        <v>3</v>
      </c>
      <c r="O91">
        <v>9.3617140350784694E-2</v>
      </c>
      <c r="P91">
        <v>0.71757999029508901</v>
      </c>
      <c r="Q91">
        <v>1.27923282985392</v>
      </c>
      <c r="R91">
        <v>0.58257170079957898</v>
      </c>
      <c r="S91">
        <v>0.52017872261321796</v>
      </c>
      <c r="T91">
        <v>0.72075042580772697</v>
      </c>
      <c r="U91">
        <v>0.14138991012315699</v>
      </c>
      <c r="V91">
        <f t="shared" si="6"/>
        <v>0.57933153140621063</v>
      </c>
      <c r="W91">
        <f t="shared" si="7"/>
        <v>33.210087787617169</v>
      </c>
    </row>
    <row r="92" spans="2:23" x14ac:dyDescent="0.45">
      <c r="B92">
        <v>0</v>
      </c>
      <c r="C92">
        <v>1.7779048735907299</v>
      </c>
      <c r="D92">
        <v>-3.5419319594199399</v>
      </c>
      <c r="E92">
        <v>-3.5424998494789097</v>
      </c>
      <c r="F92">
        <v>-3.5419319594199399</v>
      </c>
      <c r="G92">
        <v>5.30610101765987</v>
      </c>
      <c r="H92">
        <v>8.1375317215011904</v>
      </c>
      <c r="I92">
        <v>3.58502343947062</v>
      </c>
      <c r="J92">
        <f t="shared" si="4"/>
        <v>1.0225246604879525</v>
      </c>
      <c r="K92">
        <f t="shared" si="5"/>
        <v>5</v>
      </c>
      <c r="L92" cm="1">
        <f t="array" ref="L92">SUMPRODUCT(N(B92:H92*C92:I92&lt;0))</f>
        <v>2</v>
      </c>
      <c r="O92">
        <v>0.113858267087087</v>
      </c>
      <c r="P92">
        <v>0.83409983905834995</v>
      </c>
      <c r="Q92">
        <v>1.2198255935042801</v>
      </c>
      <c r="R92">
        <v>1.2241124944190001</v>
      </c>
      <c r="S92">
        <v>0.83571430302685001</v>
      </c>
      <c r="T92">
        <v>0.121557089758523</v>
      </c>
      <c r="U92">
        <v>2.7803878566330199E-2</v>
      </c>
      <c r="V92">
        <f t="shared" si="6"/>
        <v>0.62528163791720293</v>
      </c>
      <c r="W92">
        <f t="shared" si="7"/>
        <v>35.84417032646386</v>
      </c>
    </row>
    <row r="93" spans="2:23" x14ac:dyDescent="0.45">
      <c r="B93">
        <v>0</v>
      </c>
      <c r="C93">
        <v>1.7779048735907299</v>
      </c>
      <c r="D93">
        <v>-3.5419319594199399</v>
      </c>
      <c r="E93">
        <v>5.30610101765987</v>
      </c>
      <c r="F93">
        <v>8.1375317215011904</v>
      </c>
      <c r="G93">
        <v>3.58502343947062</v>
      </c>
      <c r="H93">
        <v>-6.8600426697856802</v>
      </c>
      <c r="I93">
        <v>-7.8640927305722297</v>
      </c>
      <c r="J93">
        <f t="shared" si="4"/>
        <v>6.7561711555570225E-2</v>
      </c>
      <c r="K93">
        <f t="shared" si="5"/>
        <v>5</v>
      </c>
      <c r="L93" cm="1">
        <f t="array" ref="L93">SUMPRODUCT(N(B93:H93*C93:I93&lt;0))</f>
        <v>3</v>
      </c>
      <c r="O93">
        <v>0.128235514785039</v>
      </c>
      <c r="P93">
        <v>0.63241174540204503</v>
      </c>
      <c r="Q93">
        <v>0.63873276949435098</v>
      </c>
      <c r="R93">
        <v>0.139908224311698</v>
      </c>
      <c r="S93">
        <v>3.78602506643229E-2</v>
      </c>
      <c r="T93">
        <v>1.1243549035521201E-2</v>
      </c>
      <c r="U93">
        <v>3.1671690761064298E-3</v>
      </c>
      <c r="V93">
        <f t="shared" si="6"/>
        <v>0.2273656032527262</v>
      </c>
      <c r="W93">
        <f t="shared" si="7"/>
        <v>13.033697001748635</v>
      </c>
    </row>
    <row r="94" spans="2:23" x14ac:dyDescent="0.45">
      <c r="B94">
        <v>0</v>
      </c>
      <c r="C94">
        <v>1.7779048735907299</v>
      </c>
      <c r="D94">
        <v>-3.5419319594199399</v>
      </c>
      <c r="E94">
        <v>-1.7952521083501103</v>
      </c>
      <c r="F94">
        <v>0</v>
      </c>
      <c r="G94">
        <v>1.27591923898725</v>
      </c>
      <c r="H94">
        <v>-3.5600139522696099</v>
      </c>
      <c r="I94">
        <v>-5.5785320906463394</v>
      </c>
      <c r="J94">
        <f t="shared" si="4"/>
        <v>-1.4277382497635025</v>
      </c>
      <c r="K94">
        <f t="shared" si="5"/>
        <v>4</v>
      </c>
      <c r="L94" cm="1">
        <f t="array" ref="L94">SUMPRODUCT(N(B94:H94*C94:I94&lt;0))</f>
        <v>2</v>
      </c>
      <c r="O94">
        <v>0.14407348342470799</v>
      </c>
      <c r="P94">
        <v>0.71104184088785904</v>
      </c>
      <c r="Q94">
        <v>0.48032554539912498</v>
      </c>
      <c r="R94">
        <v>0.47754672564760797</v>
      </c>
      <c r="S94">
        <v>0.71535603637787204</v>
      </c>
      <c r="T94">
        <v>0.155212952520938</v>
      </c>
      <c r="U94">
        <v>3.7941263872579498E-2</v>
      </c>
      <c r="V94">
        <f t="shared" si="6"/>
        <v>0.38878540687581281</v>
      </c>
      <c r="W94">
        <f t="shared" si="7"/>
        <v>22.287061540651688</v>
      </c>
    </row>
    <row r="95" spans="2:23" x14ac:dyDescent="0.45">
      <c r="B95">
        <v>0</v>
      </c>
      <c r="C95">
        <v>1.7779048735907299</v>
      </c>
      <c r="D95">
        <v>-3.5419319594199399</v>
      </c>
      <c r="E95">
        <v>-3.5424998494789097</v>
      </c>
      <c r="F95">
        <v>-3.5419319594199399</v>
      </c>
      <c r="G95">
        <v>-1.7709659792240702</v>
      </c>
      <c r="H95">
        <v>-3.5424998494789097</v>
      </c>
      <c r="I95">
        <v>-1.7709659792240702</v>
      </c>
      <c r="J95">
        <f t="shared" si="4"/>
        <v>-1.9916113378318889</v>
      </c>
      <c r="K95">
        <f t="shared" si="5"/>
        <v>2</v>
      </c>
      <c r="L95" cm="1">
        <f t="array" ref="L95">SUMPRODUCT(N(B95:H95*C95:I95&lt;0))</f>
        <v>1</v>
      </c>
      <c r="O95">
        <v>8.3305261732685404E-2</v>
      </c>
      <c r="P95">
        <v>0.76892235418723098</v>
      </c>
      <c r="Q95">
        <v>0.80739468320890095</v>
      </c>
      <c r="R95">
        <v>0.100615747529938</v>
      </c>
      <c r="S95">
        <v>1.8577340345009598E-2</v>
      </c>
      <c r="T95">
        <v>3.81906724015703E-2</v>
      </c>
      <c r="U95">
        <v>2.8078926348069501E-2</v>
      </c>
      <c r="V95">
        <f t="shared" si="6"/>
        <v>0.26358356939334354</v>
      </c>
      <c r="W95">
        <f t="shared" si="7"/>
        <v>15.109886143567465</v>
      </c>
    </row>
    <row r="96" spans="2:23" x14ac:dyDescent="0.45">
      <c r="B96">
        <v>0</v>
      </c>
      <c r="C96">
        <v>1.7779048735907299</v>
      </c>
      <c r="D96">
        <v>-3.5419319594199399</v>
      </c>
      <c r="E96">
        <v>-3.5424998494789097</v>
      </c>
      <c r="F96">
        <v>-3.5419319594199399</v>
      </c>
      <c r="G96">
        <v>-1.7709659792240702</v>
      </c>
      <c r="H96">
        <v>-3.5424998494789097</v>
      </c>
      <c r="I96">
        <v>-1.7709659792240702</v>
      </c>
      <c r="J96">
        <f t="shared" si="4"/>
        <v>-1.9916113378318889</v>
      </c>
      <c r="K96">
        <f t="shared" si="5"/>
        <v>2</v>
      </c>
      <c r="L96" cm="1">
        <f t="array" ref="L96">SUMPRODUCT(N(B96:H96*C96:I96&lt;0))</f>
        <v>1</v>
      </c>
      <c r="O96">
        <v>8.4473289446455893E-2</v>
      </c>
      <c r="P96">
        <v>0.774042622583752</v>
      </c>
      <c r="Q96">
        <v>0.80364373293921298</v>
      </c>
      <c r="R96">
        <v>0.10197282465509901</v>
      </c>
      <c r="S96">
        <v>1.7081582090337499E-2</v>
      </c>
      <c r="T96">
        <v>1.9609387711129401E-2</v>
      </c>
      <c r="U96">
        <v>3.3767516541668998E-3</v>
      </c>
      <c r="V96">
        <f t="shared" si="6"/>
        <v>0.25774288444002197</v>
      </c>
      <c r="W96">
        <f t="shared" si="7"/>
        <v>14.77506980866368</v>
      </c>
    </row>
    <row r="97" spans="2:23" x14ac:dyDescent="0.45">
      <c r="B97">
        <v>0</v>
      </c>
      <c r="C97">
        <v>1.7779048735907299</v>
      </c>
      <c r="D97">
        <v>-3.5419319594199399</v>
      </c>
      <c r="E97">
        <v>-3.5424998494789097</v>
      </c>
      <c r="F97">
        <v>-3.5419319594199399</v>
      </c>
      <c r="G97">
        <v>-1.7952521083501103</v>
      </c>
      <c r="H97">
        <v>0</v>
      </c>
      <c r="I97">
        <v>1.27591923898725</v>
      </c>
      <c r="J97">
        <f t="shared" si="4"/>
        <v>-1.1709739705113651</v>
      </c>
      <c r="K97">
        <f t="shared" si="5"/>
        <v>4</v>
      </c>
      <c r="L97" cm="1">
        <f t="array" ref="L97">SUMPRODUCT(N(B97:H97*C97:I97&lt;0))</f>
        <v>1</v>
      </c>
      <c r="O97">
        <v>8.4612976001457299E-2</v>
      </c>
      <c r="P97">
        <v>0.74288762009577203</v>
      </c>
      <c r="Q97">
        <v>0.94137241062791399</v>
      </c>
      <c r="R97">
        <v>5.3661229936710901E-2</v>
      </c>
      <c r="S97">
        <v>0.72387776348571498</v>
      </c>
      <c r="T97">
        <v>0.44842693293570601</v>
      </c>
      <c r="U97">
        <v>0.69117868856005105</v>
      </c>
      <c r="V97">
        <f t="shared" si="6"/>
        <v>0.52657394594904661</v>
      </c>
      <c r="W97">
        <f t="shared" si="7"/>
        <v>30.185767602174646</v>
      </c>
    </row>
    <row r="98" spans="2:23" x14ac:dyDescent="0.45">
      <c r="B98">
        <v>0</v>
      </c>
      <c r="C98">
        <v>1.7779048735907299</v>
      </c>
      <c r="D98">
        <v>-3.5419319594199399</v>
      </c>
      <c r="E98">
        <v>5.30610101765987</v>
      </c>
      <c r="F98">
        <v>8.1375317215011904</v>
      </c>
      <c r="G98">
        <v>3.58502343947062</v>
      </c>
      <c r="H98">
        <v>-6.8600426697856802</v>
      </c>
      <c r="I98">
        <v>-7.8640927305722297</v>
      </c>
      <c r="J98">
        <f t="shared" si="4"/>
        <v>6.7561711555570225E-2</v>
      </c>
      <c r="K98">
        <f t="shared" si="5"/>
        <v>5</v>
      </c>
      <c r="L98" cm="1">
        <f t="array" ref="L98">SUMPRODUCT(N(B98:H98*C98:I98&lt;0))</f>
        <v>3</v>
      </c>
      <c r="O98">
        <v>0.128235514785039</v>
      </c>
      <c r="P98">
        <v>0.63241174540204503</v>
      </c>
      <c r="Q98">
        <v>0.63873276949435098</v>
      </c>
      <c r="R98">
        <v>0.139908224311698</v>
      </c>
      <c r="S98">
        <v>3.78602506643229E-2</v>
      </c>
      <c r="T98">
        <v>1.1243549035521201E-2</v>
      </c>
      <c r="U98">
        <v>3.1671690761064298E-3</v>
      </c>
      <c r="V98">
        <f t="shared" si="6"/>
        <v>0.2273656032527262</v>
      </c>
      <c r="W98">
        <f t="shared" si="7"/>
        <v>13.033697001748635</v>
      </c>
    </row>
    <row r="99" spans="2:23" x14ac:dyDescent="0.45">
      <c r="B99">
        <v>0</v>
      </c>
      <c r="C99">
        <v>1.7779048735907299</v>
      </c>
      <c r="D99">
        <v>-3.5419319594199399</v>
      </c>
      <c r="E99">
        <v>-1.7709659792240702</v>
      </c>
      <c r="F99">
        <v>-3.5423578768831798</v>
      </c>
      <c r="G99">
        <v>-3.90383047256957E-10</v>
      </c>
      <c r="H99">
        <v>3.58502343947062</v>
      </c>
      <c r="I99">
        <v>-6.8600426697856802</v>
      </c>
      <c r="J99">
        <f t="shared" si="4"/>
        <v>-1.2940462715802379</v>
      </c>
      <c r="K99">
        <f t="shared" si="5"/>
        <v>3</v>
      </c>
      <c r="L99" cm="1">
        <f t="array" ref="L99">SUMPRODUCT(N(B99:H99*C99:I99&lt;0))</f>
        <v>3</v>
      </c>
      <c r="O99">
        <v>0.180824974347676</v>
      </c>
      <c r="P99">
        <v>0.86748132821930302</v>
      </c>
      <c r="Q99">
        <v>2.4900412368091701E-3</v>
      </c>
      <c r="R99">
        <v>0.87470119581085204</v>
      </c>
      <c r="S99">
        <v>0.19559633122085501</v>
      </c>
      <c r="T99">
        <v>5.0296076868244E-2</v>
      </c>
      <c r="U99">
        <v>1.35433278970914E-2</v>
      </c>
      <c r="V99">
        <f t="shared" si="6"/>
        <v>0.31213332508583297</v>
      </c>
      <c r="W99">
        <f t="shared" si="7"/>
        <v>17.892993157786602</v>
      </c>
    </row>
    <row r="100" spans="2:23" x14ac:dyDescent="0.45">
      <c r="B100">
        <v>0</v>
      </c>
      <c r="C100">
        <v>1.7779048735907299</v>
      </c>
      <c r="D100">
        <v>-3.5419319594199399</v>
      </c>
      <c r="E100">
        <v>5.30610101765987</v>
      </c>
      <c r="F100">
        <v>8.1375317215011904</v>
      </c>
      <c r="G100">
        <v>3.58502343947062</v>
      </c>
      <c r="H100">
        <v>-6.8600426697856802</v>
      </c>
      <c r="I100">
        <v>-7.8640927305722297</v>
      </c>
      <c r="J100">
        <f t="shared" si="4"/>
        <v>6.7561711555570225E-2</v>
      </c>
      <c r="K100">
        <f t="shared" si="5"/>
        <v>5</v>
      </c>
      <c r="L100" cm="1">
        <f t="array" ref="L100">SUMPRODUCT(N(B100:H100*C100:I100&lt;0))</f>
        <v>3</v>
      </c>
      <c r="O100">
        <v>0.128235514785039</v>
      </c>
      <c r="P100">
        <v>0.63241174540204503</v>
      </c>
      <c r="Q100">
        <v>0.63873276949435098</v>
      </c>
      <c r="R100">
        <v>0.139908224311698</v>
      </c>
      <c r="S100">
        <v>3.78602506643229E-2</v>
      </c>
      <c r="T100">
        <v>1.1243549035521201E-2</v>
      </c>
      <c r="U100">
        <v>3.1671690761064298E-3</v>
      </c>
      <c r="V100">
        <f t="shared" si="6"/>
        <v>0.2273656032527262</v>
      </c>
      <c r="W100">
        <f t="shared" si="7"/>
        <v>13.033697001748635</v>
      </c>
    </row>
    <row r="101" spans="2:23" x14ac:dyDescent="0.45">
      <c r="B101">
        <v>0</v>
      </c>
      <c r="C101">
        <v>1.7779048735907299</v>
      </c>
      <c r="D101">
        <v>-3.5419319594199399</v>
      </c>
      <c r="E101">
        <v>-1.7952521083501103</v>
      </c>
      <c r="F101">
        <v>0</v>
      </c>
      <c r="G101">
        <v>1.27591923898725</v>
      </c>
      <c r="H101">
        <v>-3.5600139522696099</v>
      </c>
      <c r="I101">
        <v>-5.5785320906463394</v>
      </c>
      <c r="J101">
        <f t="shared" si="4"/>
        <v>-1.4277382497635025</v>
      </c>
      <c r="K101">
        <f t="shared" si="5"/>
        <v>4</v>
      </c>
      <c r="L101" cm="1">
        <f t="array" ref="L101">SUMPRODUCT(N(B101:H101*C101:I101&lt;0))</f>
        <v>2</v>
      </c>
      <c r="O101">
        <v>0.14407348342470799</v>
      </c>
      <c r="P101">
        <v>0.71104184088785904</v>
      </c>
      <c r="Q101">
        <v>0.48032554539912498</v>
      </c>
      <c r="R101">
        <v>0.47754672564760797</v>
      </c>
      <c r="S101">
        <v>0.71535603637787204</v>
      </c>
      <c r="T101">
        <v>0.155212952520938</v>
      </c>
      <c r="U101">
        <v>3.7941263872579498E-2</v>
      </c>
      <c r="V101">
        <f t="shared" si="6"/>
        <v>0.38878540687581281</v>
      </c>
      <c r="W101">
        <f t="shared" si="7"/>
        <v>22.287061540651688</v>
      </c>
    </row>
    <row r="104" spans="2:23" x14ac:dyDescent="0.45">
      <c r="I104" t="s">
        <v>1</v>
      </c>
      <c r="J104">
        <f>AVERAGE(J2:J101)</f>
        <v>-0.99309446434183257</v>
      </c>
      <c r="K104">
        <f t="shared" ref="K104:L104" si="8">AVERAGE(K2:K101)</f>
        <v>3.79</v>
      </c>
      <c r="L104">
        <f t="shared" si="8"/>
        <v>2.0699999999999998</v>
      </c>
      <c r="V104">
        <f>AVERAGE(V2:V101)</f>
        <v>0.41403108424666063</v>
      </c>
      <c r="W104">
        <f>AVERAGE(W2:W101)</f>
        <v>23.734265975923236</v>
      </c>
    </row>
    <row r="105" spans="2:23" x14ac:dyDescent="0.45">
      <c r="I105" t="s">
        <v>7</v>
      </c>
      <c r="J105">
        <f>_xlfn.VAR.S(J2:J101)</f>
        <v>0.7868059526261475</v>
      </c>
      <c r="K105">
        <f t="shared" ref="K105:L105" si="9">_xlfn.VAR.S(K2:K101)</f>
        <v>1.3594949494949486</v>
      </c>
      <c r="L105">
        <f t="shared" si="9"/>
        <v>0.67181818181818176</v>
      </c>
      <c r="W105">
        <f>_xlfn.VAR.S(W2:W101)</f>
        <v>68.139643781101142</v>
      </c>
    </row>
    <row r="106" spans="2:23" x14ac:dyDescent="0.45">
      <c r="I106" t="s">
        <v>8</v>
      </c>
      <c r="J106">
        <f>J105/(50^(1/2))</f>
        <v>0.11127116491597806</v>
      </c>
      <c r="K106">
        <f t="shared" ref="K106:L106" si="10">K105/(50^(1/2))</f>
        <v>0.19226161955534821</v>
      </c>
      <c r="L106">
        <f t="shared" si="10"/>
        <v>9.5009438417610642E-2</v>
      </c>
      <c r="W106">
        <f>W105/(50^(1/2))</f>
        <v>9.6364008370504752</v>
      </c>
    </row>
    <row r="107" spans="2:23" x14ac:dyDescent="0.45">
      <c r="K107">
        <f>COUNTIF(K2:K101,"&lt;=3")</f>
        <v>32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A918-AA86-4575-9198-2E0F6D53985B}">
  <dimension ref="A1:AD107"/>
  <sheetViews>
    <sheetView topLeftCell="F1" workbookViewId="0">
      <pane ySplit="1" topLeftCell="A101" activePane="bottomLeft" state="frozen"/>
      <selection pane="bottomLeft" activeCell="Q105" sqref="Q105"/>
    </sheetView>
  </sheetViews>
  <sheetFormatPr defaultRowHeight="18" x14ac:dyDescent="0.45"/>
  <cols>
    <col min="2" max="2" width="9.09765625" bestFit="1" customWidth="1"/>
    <col min="3" max="3" width="10.5" bestFit="1" customWidth="1"/>
    <col min="4" max="4" width="10.3984375" bestFit="1" customWidth="1"/>
    <col min="5" max="5" width="9.5" bestFit="1" customWidth="1"/>
    <col min="6" max="6" width="10.5" bestFit="1" customWidth="1"/>
    <col min="7" max="7" width="9.5" bestFit="1" customWidth="1"/>
    <col min="8" max="8" width="10.5" bestFit="1" customWidth="1"/>
    <col min="9" max="9" width="10.3984375" bestFit="1" customWidth="1"/>
    <col min="10" max="10" width="12.59765625" bestFit="1" customWidth="1"/>
    <col min="22" max="22" width="12.69921875" bestFit="1" customWidth="1"/>
    <col min="30" max="30" width="9.5" bestFit="1" customWidth="1"/>
  </cols>
  <sheetData>
    <row r="1" spans="1:30" x14ac:dyDescent="0.4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 t="s">
        <v>1</v>
      </c>
      <c r="K1" t="s">
        <v>2</v>
      </c>
      <c r="L1" t="s">
        <v>3</v>
      </c>
      <c r="N1" t="s">
        <v>4</v>
      </c>
      <c r="O1">
        <v>1.5</v>
      </c>
      <c r="P1">
        <v>2.5</v>
      </c>
      <c r="Q1">
        <v>3.5</v>
      </c>
      <c r="R1">
        <v>4.5</v>
      </c>
      <c r="S1">
        <v>5.5</v>
      </c>
      <c r="T1">
        <v>6.5</v>
      </c>
      <c r="U1">
        <v>7.5</v>
      </c>
      <c r="V1" t="s">
        <v>1</v>
      </c>
      <c r="W1" t="s">
        <v>6</v>
      </c>
      <c r="AD1" t="s">
        <v>5</v>
      </c>
    </row>
    <row r="2" spans="1:30" x14ac:dyDescent="0.45">
      <c r="B2">
        <v>0</v>
      </c>
      <c r="C2">
        <v>1.7779048735907299</v>
      </c>
      <c r="D2">
        <v>-3.5419319594199399</v>
      </c>
      <c r="E2">
        <v>-1.7709659792240702</v>
      </c>
      <c r="F2">
        <v>-3.5423578768831798</v>
      </c>
      <c r="G2">
        <v>-3.90383047256957E-10</v>
      </c>
      <c r="H2">
        <v>3.58502343947062</v>
      </c>
      <c r="I2">
        <v>-6.8600426697856802</v>
      </c>
      <c r="J2">
        <f>AVERAGE(B2:I2)</f>
        <v>-1.2940462715802379</v>
      </c>
      <c r="K2">
        <f>COUNTIF(B2:I2,"&gt;=0")</f>
        <v>3</v>
      </c>
      <c r="L2" cm="1">
        <f t="array" ref="L2">SUMPRODUCT(N(B2:H2*C2:I2&lt;0))</f>
        <v>3</v>
      </c>
      <c r="O2">
        <v>0.128235514785039</v>
      </c>
      <c r="P2">
        <v>0.63241174540204503</v>
      </c>
      <c r="Q2">
        <v>0.63873276949435098</v>
      </c>
      <c r="R2">
        <v>0.139908224311698</v>
      </c>
      <c r="S2">
        <v>3.78602506643229E-2</v>
      </c>
      <c r="T2">
        <v>1.1243549035521201E-2</v>
      </c>
      <c r="U2">
        <v>3.1671690761064298E-3</v>
      </c>
      <c r="V2">
        <f>AVERAGE(O2:U2)</f>
        <v>0.2273656032527262</v>
      </c>
      <c r="W2">
        <f>V2*360/(3.14*2)</f>
        <v>13.033697001748635</v>
      </c>
    </row>
    <row r="3" spans="1:30" x14ac:dyDescent="0.45">
      <c r="B3">
        <v>0</v>
      </c>
      <c r="C3">
        <v>1.7779048735907299</v>
      </c>
      <c r="D3">
        <v>-3.5419319594199399</v>
      </c>
      <c r="E3">
        <v>5.30610101765987</v>
      </c>
      <c r="F3">
        <v>8.1375317215011904</v>
      </c>
      <c r="G3">
        <v>3.58502343947062</v>
      </c>
      <c r="H3">
        <v>-6.8600426697856802</v>
      </c>
      <c r="I3">
        <v>-7.8640927305722297</v>
      </c>
      <c r="J3">
        <f t="shared" ref="J3:J66" si="0">AVERAGE(B3:I3)</f>
        <v>6.7561711555570225E-2</v>
      </c>
      <c r="K3">
        <f t="shared" ref="K3:K66" si="1">COUNTIF(B3:I3,"&gt;=0")</f>
        <v>5</v>
      </c>
      <c r="L3" cm="1">
        <f t="array" ref="L3">SUMPRODUCT(N(B3:H3*C3:I3&lt;0))</f>
        <v>3</v>
      </c>
      <c r="O3">
        <v>0.128235514785039</v>
      </c>
      <c r="P3">
        <v>0.63241174540204503</v>
      </c>
      <c r="Q3">
        <v>0.63873276949435098</v>
      </c>
      <c r="R3">
        <v>0.139908224311698</v>
      </c>
      <c r="S3">
        <v>3.78602506643229E-2</v>
      </c>
      <c r="T3">
        <v>1.1243549035521201E-2</v>
      </c>
      <c r="U3">
        <v>3.1671690761064298E-3</v>
      </c>
      <c r="V3">
        <f t="shared" ref="V3:V66" si="2">AVERAGE(O3:U3)</f>
        <v>0.2273656032527262</v>
      </c>
      <c r="W3">
        <f t="shared" ref="W3:W66" si="3">V3*360/(3.14*2)</f>
        <v>13.033697001748635</v>
      </c>
    </row>
    <row r="4" spans="1:30" x14ac:dyDescent="0.45">
      <c r="B4">
        <v>0</v>
      </c>
      <c r="C4">
        <v>1.7779048735907299</v>
      </c>
      <c r="D4">
        <v>-3.5419319594199399</v>
      </c>
      <c r="E4">
        <v>-3.5424998494789097</v>
      </c>
      <c r="F4">
        <v>-3.5419319594199399</v>
      </c>
      <c r="G4">
        <v>-1.7952521083501103</v>
      </c>
      <c r="H4">
        <v>0</v>
      </c>
      <c r="I4">
        <v>1.27591923898725</v>
      </c>
      <c r="J4">
        <f t="shared" si="0"/>
        <v>-1.1709739705113651</v>
      </c>
      <c r="K4">
        <f t="shared" si="1"/>
        <v>4</v>
      </c>
      <c r="L4" cm="1">
        <f t="array" ref="L4">SUMPRODUCT(N(B4:H4*C4:I4&lt;0))</f>
        <v>1</v>
      </c>
      <c r="O4">
        <v>0.14407348342470799</v>
      </c>
      <c r="P4">
        <v>0.71104184088785904</v>
      </c>
      <c r="Q4">
        <v>0.48032554539912498</v>
      </c>
      <c r="R4">
        <v>0.47754672564760797</v>
      </c>
      <c r="S4">
        <v>0.71535603637787204</v>
      </c>
      <c r="T4">
        <v>0.155212952520938</v>
      </c>
      <c r="U4">
        <v>3.7941263872579498E-2</v>
      </c>
      <c r="V4">
        <f t="shared" si="2"/>
        <v>0.38878540687581281</v>
      </c>
      <c r="W4">
        <f t="shared" si="3"/>
        <v>22.287061540651688</v>
      </c>
    </row>
    <row r="5" spans="1:30" x14ac:dyDescent="0.45">
      <c r="B5">
        <v>0</v>
      </c>
      <c r="C5">
        <v>1.7779048735907299</v>
      </c>
      <c r="D5">
        <v>-3.5419319594199399</v>
      </c>
      <c r="E5">
        <v>-3.5424998494789097</v>
      </c>
      <c r="F5">
        <v>-3.5419319594199399</v>
      </c>
      <c r="G5">
        <v>-1.7952521083501103</v>
      </c>
      <c r="H5">
        <v>0</v>
      </c>
      <c r="I5">
        <v>1.27591923898725</v>
      </c>
      <c r="J5">
        <f t="shared" si="0"/>
        <v>-1.1709739705113651</v>
      </c>
      <c r="K5">
        <f t="shared" si="1"/>
        <v>4</v>
      </c>
      <c r="L5" cm="1">
        <f t="array" ref="L5">SUMPRODUCT(N(B5:H5*C5:I5&lt;0))</f>
        <v>1</v>
      </c>
      <c r="O5">
        <v>0.14407348342470799</v>
      </c>
      <c r="P5">
        <v>0.71104184088785904</v>
      </c>
      <c r="Q5">
        <v>0.48032554539912498</v>
      </c>
      <c r="R5">
        <v>0.47754672564760797</v>
      </c>
      <c r="S5">
        <v>0.71535603637787204</v>
      </c>
      <c r="T5">
        <v>0.155212952520938</v>
      </c>
      <c r="U5">
        <v>3.7941263872579498E-2</v>
      </c>
      <c r="V5">
        <f t="shared" si="2"/>
        <v>0.38878540687581281</v>
      </c>
      <c r="W5">
        <f t="shared" si="3"/>
        <v>22.287061540651688</v>
      </c>
    </row>
    <row r="6" spans="1:30" x14ac:dyDescent="0.45">
      <c r="B6">
        <v>0</v>
      </c>
      <c r="C6">
        <v>1.7779048735907299</v>
      </c>
      <c r="D6">
        <v>-3.5419319594199399</v>
      </c>
      <c r="E6">
        <v>5.30610101765987</v>
      </c>
      <c r="F6">
        <v>8.1375317215011904</v>
      </c>
      <c r="G6">
        <v>3.58502343947062</v>
      </c>
      <c r="H6">
        <v>-6.8600426697856802</v>
      </c>
      <c r="I6">
        <v>-7.8640927305722297</v>
      </c>
      <c r="J6">
        <f t="shared" si="0"/>
        <v>6.7561711555570225E-2</v>
      </c>
      <c r="K6">
        <f t="shared" si="1"/>
        <v>5</v>
      </c>
      <c r="L6" cm="1">
        <f t="array" ref="L6">SUMPRODUCT(N(B6:H6*C6:I6&lt;0))</f>
        <v>3</v>
      </c>
      <c r="O6">
        <v>0.128235514785039</v>
      </c>
      <c r="P6">
        <v>0.63241174540204503</v>
      </c>
      <c r="Q6">
        <v>0.63873276949435098</v>
      </c>
      <c r="R6">
        <v>0.139908224311698</v>
      </c>
      <c r="S6">
        <v>3.78602506643229E-2</v>
      </c>
      <c r="T6">
        <v>1.1243549035521201E-2</v>
      </c>
      <c r="U6">
        <v>3.1671690761064298E-3</v>
      </c>
      <c r="V6">
        <f t="shared" si="2"/>
        <v>0.2273656032527262</v>
      </c>
      <c r="W6">
        <f t="shared" si="3"/>
        <v>13.033697001748635</v>
      </c>
    </row>
    <row r="7" spans="1:30" x14ac:dyDescent="0.45">
      <c r="B7">
        <v>0</v>
      </c>
      <c r="C7">
        <v>1.7779048735907299</v>
      </c>
      <c r="D7">
        <v>-3.5419319594199399</v>
      </c>
      <c r="E7">
        <v>-1.7952521083501103</v>
      </c>
      <c r="F7">
        <v>0</v>
      </c>
      <c r="G7">
        <v>1.27591923898725</v>
      </c>
      <c r="H7">
        <v>-3.5600139522696099</v>
      </c>
      <c r="I7">
        <v>-5.5785320906463394</v>
      </c>
      <c r="J7">
        <f t="shared" si="0"/>
        <v>-1.4277382497635025</v>
      </c>
      <c r="K7">
        <f t="shared" si="1"/>
        <v>4</v>
      </c>
      <c r="L7" cm="1">
        <f t="array" ref="L7">SUMPRODUCT(N(B7:H7*C7:I7&lt;0))</f>
        <v>2</v>
      </c>
      <c r="O7">
        <v>0.128235514785039</v>
      </c>
      <c r="P7">
        <v>0.63241174540204503</v>
      </c>
      <c r="Q7">
        <v>0.63873276949435098</v>
      </c>
      <c r="R7">
        <v>0.139908224311698</v>
      </c>
      <c r="S7">
        <v>3.78602506643229E-2</v>
      </c>
      <c r="T7">
        <v>1.1243549035521201E-2</v>
      </c>
      <c r="U7">
        <v>3.1671690761064298E-3</v>
      </c>
      <c r="V7">
        <f t="shared" si="2"/>
        <v>0.2273656032527262</v>
      </c>
      <c r="W7">
        <f t="shared" si="3"/>
        <v>13.033697001748635</v>
      </c>
    </row>
    <row r="8" spans="1:30" x14ac:dyDescent="0.45">
      <c r="B8">
        <v>0</v>
      </c>
      <c r="C8">
        <v>1.7779048735907299</v>
      </c>
      <c r="D8">
        <v>-3.5419319594199399</v>
      </c>
      <c r="E8">
        <v>-1.7952521083501103</v>
      </c>
      <c r="F8">
        <v>0</v>
      </c>
      <c r="G8">
        <v>1.27591923898725</v>
      </c>
      <c r="H8">
        <v>-3.5600139522696099</v>
      </c>
      <c r="I8">
        <v>-5.5785320906463394</v>
      </c>
      <c r="J8">
        <f t="shared" si="0"/>
        <v>-1.4277382497635025</v>
      </c>
      <c r="K8">
        <f t="shared" si="1"/>
        <v>4</v>
      </c>
      <c r="L8" cm="1">
        <f t="array" ref="L8">SUMPRODUCT(N(B8:H8*C8:I8&lt;0))</f>
        <v>2</v>
      </c>
      <c r="O8">
        <v>0.113858267087087</v>
      </c>
      <c r="P8">
        <v>0.83409983905834995</v>
      </c>
      <c r="Q8">
        <v>1.2198255935042801</v>
      </c>
      <c r="R8">
        <v>1.2241124944190001</v>
      </c>
      <c r="S8">
        <v>0.83571430302685001</v>
      </c>
      <c r="T8">
        <v>0.121557089758523</v>
      </c>
      <c r="U8">
        <v>2.7803878566330199E-2</v>
      </c>
      <c r="V8">
        <f t="shared" si="2"/>
        <v>0.62528163791720293</v>
      </c>
      <c r="W8">
        <f t="shared" si="3"/>
        <v>35.84417032646386</v>
      </c>
    </row>
    <row r="9" spans="1:30" x14ac:dyDescent="0.45">
      <c r="B9">
        <v>0</v>
      </c>
      <c r="C9">
        <v>1.7779048735907299</v>
      </c>
      <c r="D9">
        <v>-3.5419319594199399</v>
      </c>
      <c r="E9">
        <v>-1.7709659792240702</v>
      </c>
      <c r="F9">
        <v>-3.5419319594199399</v>
      </c>
      <c r="G9">
        <v>5.30610101765987</v>
      </c>
      <c r="H9">
        <v>8.1375317215011904</v>
      </c>
      <c r="I9">
        <v>3.58502343947062</v>
      </c>
      <c r="J9">
        <f t="shared" si="0"/>
        <v>1.2439663942698076</v>
      </c>
      <c r="K9">
        <f t="shared" si="1"/>
        <v>5</v>
      </c>
      <c r="L9" cm="1">
        <f t="array" ref="L9">SUMPRODUCT(N(B9:H9*C9:I9&lt;0))</f>
        <v>2</v>
      </c>
      <c r="O9">
        <v>0.14407348342470799</v>
      </c>
      <c r="P9">
        <v>0.71104184088785904</v>
      </c>
      <c r="Q9">
        <v>0.48032554539912498</v>
      </c>
      <c r="R9">
        <v>0.47754672564760797</v>
      </c>
      <c r="S9">
        <v>0.71535603637787204</v>
      </c>
      <c r="T9">
        <v>0.155212952520938</v>
      </c>
      <c r="U9">
        <v>3.7941263872579498E-2</v>
      </c>
      <c r="V9">
        <f t="shared" si="2"/>
        <v>0.38878540687581281</v>
      </c>
      <c r="W9">
        <f t="shared" si="3"/>
        <v>22.287061540651688</v>
      </c>
    </row>
    <row r="10" spans="1:30" x14ac:dyDescent="0.45">
      <c r="B10">
        <v>0</v>
      </c>
      <c r="C10">
        <v>1.7779048735907299</v>
      </c>
      <c r="D10">
        <v>-3.5419319594199399</v>
      </c>
      <c r="E10">
        <v>-3.5424998494789097</v>
      </c>
      <c r="F10">
        <v>-3.5419319594199399</v>
      </c>
      <c r="G10">
        <v>-1.7952521083501103</v>
      </c>
      <c r="H10">
        <v>0</v>
      </c>
      <c r="I10">
        <v>1.27591923898725</v>
      </c>
      <c r="J10">
        <f t="shared" si="0"/>
        <v>-1.1709739705113651</v>
      </c>
      <c r="K10">
        <f t="shared" si="1"/>
        <v>4</v>
      </c>
      <c r="L10" cm="1">
        <f t="array" ref="L10">SUMPRODUCT(N(B10:H10*C10:I10&lt;0))</f>
        <v>1</v>
      </c>
      <c r="O10">
        <v>9.1766309131337404E-2</v>
      </c>
      <c r="P10">
        <v>0.79442985773559005</v>
      </c>
      <c r="Q10">
        <v>0.831559265478232</v>
      </c>
      <c r="R10">
        <v>2.5205554969364601E-2</v>
      </c>
      <c r="S10">
        <v>0.59138214393809996</v>
      </c>
      <c r="T10">
        <v>0.61359003886127095</v>
      </c>
      <c r="U10">
        <v>0.74778441708334298</v>
      </c>
      <c r="V10">
        <f t="shared" si="2"/>
        <v>0.52795965531389122</v>
      </c>
      <c r="W10">
        <f t="shared" si="3"/>
        <v>30.265203170860008</v>
      </c>
    </row>
    <row r="11" spans="1:30" x14ac:dyDescent="0.45">
      <c r="B11">
        <v>0</v>
      </c>
      <c r="C11">
        <v>1.7779048735907299</v>
      </c>
      <c r="D11">
        <v>-3.5419319594199399</v>
      </c>
      <c r="E11">
        <v>-3.5424998494789097</v>
      </c>
      <c r="F11">
        <v>-3.5419319594199399</v>
      </c>
      <c r="G11">
        <v>-1.7709659792240702</v>
      </c>
      <c r="H11">
        <v>1.7952521083501201</v>
      </c>
      <c r="I11">
        <v>0</v>
      </c>
      <c r="J11">
        <f t="shared" si="0"/>
        <v>-1.1030215957002514</v>
      </c>
      <c r="K11">
        <f t="shared" si="1"/>
        <v>4</v>
      </c>
      <c r="L11" cm="1">
        <f t="array" ref="L11">SUMPRODUCT(N(B11:H11*C11:I11&lt;0))</f>
        <v>2</v>
      </c>
      <c r="O11">
        <v>9.2327267020722595E-2</v>
      </c>
      <c r="P11">
        <v>0.80565493704062596</v>
      </c>
      <c r="Q11">
        <v>0.78591583289667999</v>
      </c>
      <c r="R11">
        <v>0.106797452378456</v>
      </c>
      <c r="S11">
        <v>7.0343216739858994E-2</v>
      </c>
      <c r="T11">
        <v>1.1707662192725E-2</v>
      </c>
      <c r="U11">
        <v>7.7405113603380904E-3</v>
      </c>
      <c r="V11">
        <f t="shared" si="2"/>
        <v>0.26864098280420096</v>
      </c>
      <c r="W11">
        <f t="shared" si="3"/>
        <v>15.399801562024257</v>
      </c>
    </row>
    <row r="12" spans="1:30" x14ac:dyDescent="0.45">
      <c r="B12">
        <v>0</v>
      </c>
      <c r="C12">
        <v>1.7779048735907299</v>
      </c>
      <c r="D12">
        <v>-3.5419319594199399</v>
      </c>
      <c r="E12">
        <v>-1.7709659792240702</v>
      </c>
      <c r="F12">
        <v>1.7952521083501201</v>
      </c>
      <c r="G12">
        <v>0</v>
      </c>
      <c r="H12">
        <v>1.27591923898725</v>
      </c>
      <c r="I12">
        <v>-3.5600139522696099</v>
      </c>
      <c r="J12">
        <f t="shared" si="0"/>
        <v>-0.50297945874818994</v>
      </c>
      <c r="K12">
        <f t="shared" si="1"/>
        <v>5</v>
      </c>
      <c r="L12" cm="1">
        <f t="array" ref="L12">SUMPRODUCT(N(B12:H12*C12:I12&lt;0))</f>
        <v>3</v>
      </c>
      <c r="O12">
        <v>0.17857397463335201</v>
      </c>
      <c r="P12">
        <v>0.94161191039233505</v>
      </c>
      <c r="Q12">
        <v>0.18929621538432101</v>
      </c>
      <c r="R12">
        <v>0.76899990574864996</v>
      </c>
      <c r="S12">
        <v>1.11946296773704</v>
      </c>
      <c r="T12">
        <v>0.87178623855368798</v>
      </c>
      <c r="U12">
        <v>0.119295175775689</v>
      </c>
      <c r="V12">
        <f t="shared" si="2"/>
        <v>0.59843234117501076</v>
      </c>
      <c r="W12">
        <f t="shared" si="3"/>
        <v>34.305038666083419</v>
      </c>
    </row>
    <row r="13" spans="1:30" x14ac:dyDescent="0.45">
      <c r="B13">
        <v>0</v>
      </c>
      <c r="C13">
        <v>1.7779048735907299</v>
      </c>
      <c r="D13">
        <v>-3.5419319594199399</v>
      </c>
      <c r="E13">
        <v>5.30610101765987</v>
      </c>
      <c r="F13">
        <v>8.1375317215011904</v>
      </c>
      <c r="G13">
        <v>3.58502343947062</v>
      </c>
      <c r="H13">
        <v>-6.8600426697856802</v>
      </c>
      <c r="I13">
        <v>-7.8640927305722297</v>
      </c>
      <c r="J13">
        <f t="shared" si="0"/>
        <v>6.7561711555570225E-2</v>
      </c>
      <c r="K13">
        <f t="shared" si="1"/>
        <v>5</v>
      </c>
      <c r="L13" cm="1">
        <f t="array" ref="L13">SUMPRODUCT(N(B13:H13*C13:I13&lt;0))</f>
        <v>3</v>
      </c>
      <c r="O13">
        <v>0.14407348342470799</v>
      </c>
      <c r="P13">
        <v>0.71104184088785904</v>
      </c>
      <c r="Q13">
        <v>0.48032554539912498</v>
      </c>
      <c r="R13">
        <v>0.47754672564760797</v>
      </c>
      <c r="S13">
        <v>0.71535603637787204</v>
      </c>
      <c r="T13">
        <v>0.155212952520938</v>
      </c>
      <c r="U13">
        <v>3.7941263872579498E-2</v>
      </c>
      <c r="V13">
        <f t="shared" si="2"/>
        <v>0.38878540687581281</v>
      </c>
      <c r="W13">
        <f t="shared" si="3"/>
        <v>22.287061540651688</v>
      </c>
    </row>
    <row r="14" spans="1:30" x14ac:dyDescent="0.45">
      <c r="B14">
        <v>0</v>
      </c>
      <c r="C14">
        <v>1.7779048735907299</v>
      </c>
      <c r="D14">
        <v>-3.5419319594199399</v>
      </c>
      <c r="E14">
        <v>-1.7952521083501103</v>
      </c>
      <c r="F14">
        <v>0</v>
      </c>
      <c r="G14">
        <v>1.27591923898725</v>
      </c>
      <c r="H14">
        <v>-3.5600139522696099</v>
      </c>
      <c r="I14">
        <v>-5.5785320906463394</v>
      </c>
      <c r="J14">
        <f t="shared" si="0"/>
        <v>-1.4277382497635025</v>
      </c>
      <c r="K14">
        <f t="shared" si="1"/>
        <v>4</v>
      </c>
      <c r="L14" cm="1">
        <f t="array" ref="L14">SUMPRODUCT(N(B14:H14*C14:I14&lt;0))</f>
        <v>2</v>
      </c>
      <c r="O14">
        <v>0.169927424490593</v>
      </c>
      <c r="P14">
        <v>0.93986071556557205</v>
      </c>
      <c r="Q14">
        <v>0.17956650900820301</v>
      </c>
      <c r="R14">
        <v>0.34706175666977102</v>
      </c>
      <c r="S14">
        <v>9.7058420692662697E-2</v>
      </c>
      <c r="T14">
        <v>0.66478382987267204</v>
      </c>
      <c r="U14">
        <v>0.64052031768167905</v>
      </c>
      <c r="V14">
        <f t="shared" si="2"/>
        <v>0.43411128199730759</v>
      </c>
      <c r="W14">
        <f t="shared" si="3"/>
        <v>24.885360114495338</v>
      </c>
    </row>
    <row r="15" spans="1:30" x14ac:dyDescent="0.45">
      <c r="B15">
        <v>0</v>
      </c>
      <c r="C15">
        <v>1.7779048735907299</v>
      </c>
      <c r="D15">
        <v>-3.5419319594199399</v>
      </c>
      <c r="E15">
        <v>5.30610101765987</v>
      </c>
      <c r="F15">
        <v>8.1375317215011904</v>
      </c>
      <c r="G15">
        <v>3.58502343947062</v>
      </c>
      <c r="H15">
        <v>-6.8600426697856802</v>
      </c>
      <c r="I15">
        <v>-7.8640927305722297</v>
      </c>
      <c r="J15">
        <f t="shared" si="0"/>
        <v>6.7561711555570225E-2</v>
      </c>
      <c r="K15">
        <f t="shared" si="1"/>
        <v>5</v>
      </c>
      <c r="L15" cm="1">
        <f t="array" ref="L15">SUMPRODUCT(N(B15:H15*C15:I15&lt;0))</f>
        <v>3</v>
      </c>
      <c r="O15">
        <v>0.14407348342470799</v>
      </c>
      <c r="P15">
        <v>0.71104184088785904</v>
      </c>
      <c r="Q15">
        <v>0.48032554539912498</v>
      </c>
      <c r="R15">
        <v>0.47754672564760797</v>
      </c>
      <c r="S15">
        <v>0.71535603637787204</v>
      </c>
      <c r="T15">
        <v>0.155212952520938</v>
      </c>
      <c r="U15">
        <v>3.7941263872579498E-2</v>
      </c>
      <c r="V15">
        <f t="shared" si="2"/>
        <v>0.38878540687581281</v>
      </c>
      <c r="W15">
        <f t="shared" si="3"/>
        <v>22.287061540651688</v>
      </c>
    </row>
    <row r="16" spans="1:30" x14ac:dyDescent="0.45">
      <c r="B16">
        <v>0</v>
      </c>
      <c r="C16">
        <v>1.7779048735907299</v>
      </c>
      <c r="D16">
        <v>-3.5419319594199399</v>
      </c>
      <c r="E16">
        <v>-1.7952521083501103</v>
      </c>
      <c r="F16">
        <v>0</v>
      </c>
      <c r="G16">
        <v>1.27591923898725</v>
      </c>
      <c r="H16">
        <v>-3.5600139522696099</v>
      </c>
      <c r="I16">
        <v>-5.5785320906463394</v>
      </c>
      <c r="J16">
        <f t="shared" si="0"/>
        <v>-1.4277382497635025</v>
      </c>
      <c r="K16">
        <f t="shared" si="1"/>
        <v>4</v>
      </c>
      <c r="L16" cm="1">
        <f t="array" ref="L16">SUMPRODUCT(N(B16:H16*C16:I16&lt;0))</f>
        <v>2</v>
      </c>
      <c r="O16">
        <v>0.180824974347676</v>
      </c>
      <c r="P16">
        <v>0.86748132821930302</v>
      </c>
      <c r="Q16">
        <v>2.4900412368091701E-3</v>
      </c>
      <c r="R16">
        <v>0.87470119581085204</v>
      </c>
      <c r="S16">
        <v>0.19559633122085501</v>
      </c>
      <c r="T16">
        <v>5.0296076868244E-2</v>
      </c>
      <c r="U16">
        <v>1.35433278970914E-2</v>
      </c>
      <c r="V16">
        <f t="shared" si="2"/>
        <v>0.31213332508583297</v>
      </c>
      <c r="W16">
        <f t="shared" si="3"/>
        <v>17.892993157786602</v>
      </c>
    </row>
    <row r="17" spans="2:23" x14ac:dyDescent="0.45">
      <c r="B17">
        <v>0</v>
      </c>
      <c r="C17">
        <v>1.7779048735907299</v>
      </c>
      <c r="D17">
        <v>-3.5419319594199399</v>
      </c>
      <c r="E17">
        <v>-1.7709659792240702</v>
      </c>
      <c r="F17">
        <v>-3.5419319594199399</v>
      </c>
      <c r="G17">
        <v>-1.7709659792240702</v>
      </c>
      <c r="H17">
        <v>-3.5419319594199399</v>
      </c>
      <c r="I17">
        <v>-3.5424998494789097</v>
      </c>
      <c r="J17">
        <f t="shared" si="0"/>
        <v>-1.9915403515745174</v>
      </c>
      <c r="K17">
        <f t="shared" si="1"/>
        <v>2</v>
      </c>
      <c r="L17" cm="1">
        <f t="array" ref="L17">SUMPRODUCT(N(B17:H17*C17:I17&lt;0))</f>
        <v>1</v>
      </c>
      <c r="O17">
        <v>8.3305261732685404E-2</v>
      </c>
      <c r="P17">
        <v>0.76892235418723098</v>
      </c>
      <c r="Q17">
        <v>0.80739468320890095</v>
      </c>
      <c r="R17">
        <v>0.100615747529938</v>
      </c>
      <c r="S17">
        <v>1.8577340345009598E-2</v>
      </c>
      <c r="T17">
        <v>3.81906724015703E-2</v>
      </c>
      <c r="U17">
        <v>2.8078926348069501E-2</v>
      </c>
      <c r="V17">
        <f t="shared" si="2"/>
        <v>0.26358356939334354</v>
      </c>
      <c r="W17">
        <f t="shared" si="3"/>
        <v>15.109886143567465</v>
      </c>
    </row>
    <row r="18" spans="2:23" x14ac:dyDescent="0.45">
      <c r="B18">
        <v>0</v>
      </c>
      <c r="C18">
        <v>1.7779048735907299</v>
      </c>
      <c r="D18">
        <v>-3.5419319594199399</v>
      </c>
      <c r="E18">
        <v>-1.7952521083501103</v>
      </c>
      <c r="F18">
        <v>0</v>
      </c>
      <c r="G18">
        <v>1.27591923898725</v>
      </c>
      <c r="H18">
        <v>-3.5600139522696099</v>
      </c>
      <c r="I18">
        <v>-5.5785320906463394</v>
      </c>
      <c r="J18">
        <f t="shared" si="0"/>
        <v>-1.4277382497635025</v>
      </c>
      <c r="K18">
        <f t="shared" si="1"/>
        <v>4</v>
      </c>
      <c r="L18" cm="1">
        <f t="array" ref="L18">SUMPRODUCT(N(B18:H18*C18:I18&lt;0))</f>
        <v>2</v>
      </c>
      <c r="O18">
        <v>0.14407348342470799</v>
      </c>
      <c r="P18">
        <v>0.71104184088785904</v>
      </c>
      <c r="Q18">
        <v>0.48032554539912498</v>
      </c>
      <c r="R18">
        <v>0.47754672564760797</v>
      </c>
      <c r="S18">
        <v>0.71535603637787204</v>
      </c>
      <c r="T18">
        <v>0.155212952520938</v>
      </c>
      <c r="U18">
        <v>3.7941263872579498E-2</v>
      </c>
      <c r="V18">
        <f t="shared" si="2"/>
        <v>0.38878540687581281</v>
      </c>
      <c r="W18">
        <f t="shared" si="3"/>
        <v>22.287061540651688</v>
      </c>
    </row>
    <row r="19" spans="2:23" x14ac:dyDescent="0.45">
      <c r="B19">
        <v>0</v>
      </c>
      <c r="C19">
        <v>1.7779048735907299</v>
      </c>
      <c r="D19">
        <v>-3.5419319594199399</v>
      </c>
      <c r="E19">
        <v>-1.7952521083501103</v>
      </c>
      <c r="F19">
        <v>0</v>
      </c>
      <c r="G19">
        <v>1.27591923898725</v>
      </c>
      <c r="H19">
        <v>-3.5600139522696099</v>
      </c>
      <c r="I19">
        <v>-5.5785320906463394</v>
      </c>
      <c r="J19">
        <f t="shared" si="0"/>
        <v>-1.4277382497635025</v>
      </c>
      <c r="K19">
        <f t="shared" si="1"/>
        <v>4</v>
      </c>
      <c r="L19" cm="1">
        <f t="array" ref="L19">SUMPRODUCT(N(B19:H19*C19:I19&lt;0))</f>
        <v>2</v>
      </c>
      <c r="O19">
        <v>0.14407348342470799</v>
      </c>
      <c r="P19">
        <v>0.71104184088785904</v>
      </c>
      <c r="Q19">
        <v>0.48032554539912498</v>
      </c>
      <c r="R19">
        <v>0.47754672564760797</v>
      </c>
      <c r="S19">
        <v>0.71535603637787204</v>
      </c>
      <c r="T19">
        <v>0.155212952520938</v>
      </c>
      <c r="U19">
        <v>3.7941263872579498E-2</v>
      </c>
      <c r="V19">
        <f t="shared" si="2"/>
        <v>0.38878540687581281</v>
      </c>
      <c r="W19">
        <f t="shared" si="3"/>
        <v>22.287061540651688</v>
      </c>
    </row>
    <row r="20" spans="2:23" x14ac:dyDescent="0.45">
      <c r="B20">
        <v>0</v>
      </c>
      <c r="C20">
        <v>1.7779048735907299</v>
      </c>
      <c r="D20">
        <v>-3.5419319594199399</v>
      </c>
      <c r="E20">
        <v>-1.7709659792240702</v>
      </c>
      <c r="F20">
        <v>1.7952521083501201</v>
      </c>
      <c r="G20">
        <v>0</v>
      </c>
      <c r="H20">
        <v>1.27591923898725</v>
      </c>
      <c r="I20">
        <v>-3.5600139522696099</v>
      </c>
      <c r="J20">
        <f t="shared" si="0"/>
        <v>-0.50297945874818994</v>
      </c>
      <c r="K20">
        <f t="shared" si="1"/>
        <v>5</v>
      </c>
      <c r="L20" cm="1">
        <f t="array" ref="L20">SUMPRODUCT(N(B20:H20*C20:I20&lt;0))</f>
        <v>3</v>
      </c>
      <c r="O20">
        <v>0.128235514785039</v>
      </c>
      <c r="P20">
        <v>0.63241174540204503</v>
      </c>
      <c r="Q20">
        <v>0.63873276949435098</v>
      </c>
      <c r="R20">
        <v>0.139908224311698</v>
      </c>
      <c r="S20">
        <v>3.78602506643229E-2</v>
      </c>
      <c r="T20">
        <v>1.1243549035521201E-2</v>
      </c>
      <c r="U20">
        <v>3.1671690761064298E-3</v>
      </c>
      <c r="V20">
        <f t="shared" si="2"/>
        <v>0.2273656032527262</v>
      </c>
      <c r="W20">
        <f t="shared" si="3"/>
        <v>13.033697001748635</v>
      </c>
    </row>
    <row r="21" spans="2:23" x14ac:dyDescent="0.45">
      <c r="B21">
        <v>0</v>
      </c>
      <c r="C21">
        <v>1.7779048735907299</v>
      </c>
      <c r="D21">
        <v>-3.5419319594199399</v>
      </c>
      <c r="E21">
        <v>5.30610101765987</v>
      </c>
      <c r="F21">
        <v>8.1375317215011904</v>
      </c>
      <c r="G21">
        <v>3.58502343947062</v>
      </c>
      <c r="H21">
        <v>-6.8600426697856802</v>
      </c>
      <c r="I21">
        <v>-7.8640927305722297</v>
      </c>
      <c r="J21">
        <f t="shared" si="0"/>
        <v>6.7561711555570225E-2</v>
      </c>
      <c r="K21">
        <f t="shared" si="1"/>
        <v>5</v>
      </c>
      <c r="L21" cm="1">
        <f t="array" ref="L21">SUMPRODUCT(N(B21:H21*C21:I21&lt;0))</f>
        <v>3</v>
      </c>
      <c r="O21">
        <v>0.14407348342470799</v>
      </c>
      <c r="P21">
        <v>0.71104184088785904</v>
      </c>
      <c r="Q21">
        <v>0.48032554539912498</v>
      </c>
      <c r="R21">
        <v>0.47754672564760797</v>
      </c>
      <c r="S21">
        <v>0.71535603637787204</v>
      </c>
      <c r="T21">
        <v>0.155212952520938</v>
      </c>
      <c r="U21">
        <v>3.7941263872579498E-2</v>
      </c>
      <c r="V21">
        <f t="shared" si="2"/>
        <v>0.38878540687581281</v>
      </c>
      <c r="W21">
        <f t="shared" si="3"/>
        <v>22.287061540651688</v>
      </c>
    </row>
    <row r="22" spans="2:23" x14ac:dyDescent="0.45">
      <c r="B22">
        <v>0</v>
      </c>
      <c r="C22">
        <v>1.7779048735907299</v>
      </c>
      <c r="D22">
        <v>-3.5419319594199399</v>
      </c>
      <c r="E22">
        <v>-3.5424998494789097</v>
      </c>
      <c r="F22">
        <v>-3.5419319594199399</v>
      </c>
      <c r="G22">
        <v>-1.7952521083501103</v>
      </c>
      <c r="H22">
        <v>0</v>
      </c>
      <c r="I22">
        <v>1.27591923898725</v>
      </c>
      <c r="J22">
        <f t="shared" si="0"/>
        <v>-1.1709739705113651</v>
      </c>
      <c r="K22">
        <f t="shared" si="1"/>
        <v>4</v>
      </c>
      <c r="L22" cm="1">
        <f t="array" ref="L22">SUMPRODUCT(N(B22:H22*C22:I22&lt;0))</f>
        <v>1</v>
      </c>
      <c r="O22">
        <v>0.128235514785039</v>
      </c>
      <c r="P22">
        <v>0.63241174540204503</v>
      </c>
      <c r="Q22">
        <v>0.63873276949435098</v>
      </c>
      <c r="R22">
        <v>0.139908224311698</v>
      </c>
      <c r="S22">
        <v>3.78602506643229E-2</v>
      </c>
      <c r="T22">
        <v>1.1243549035521201E-2</v>
      </c>
      <c r="U22">
        <v>3.1671690761064298E-3</v>
      </c>
      <c r="V22">
        <f t="shared" si="2"/>
        <v>0.2273656032527262</v>
      </c>
      <c r="W22">
        <f t="shared" si="3"/>
        <v>13.033697001748635</v>
      </c>
    </row>
    <row r="23" spans="2:23" x14ac:dyDescent="0.45">
      <c r="B23">
        <v>0</v>
      </c>
      <c r="C23">
        <v>1.7779048735907299</v>
      </c>
      <c r="D23">
        <v>-3.5419319594199399</v>
      </c>
      <c r="E23">
        <v>-1.7952521083501103</v>
      </c>
      <c r="F23">
        <v>0</v>
      </c>
      <c r="G23">
        <v>1.27591923898725</v>
      </c>
      <c r="H23">
        <v>-3.5600139522696099</v>
      </c>
      <c r="I23">
        <v>-5.5785320906463394</v>
      </c>
      <c r="J23">
        <f t="shared" si="0"/>
        <v>-1.4277382497635025</v>
      </c>
      <c r="K23">
        <f t="shared" si="1"/>
        <v>4</v>
      </c>
      <c r="L23" cm="1">
        <f t="array" ref="L23">SUMPRODUCT(N(B23:H23*C23:I23&lt;0))</f>
        <v>2</v>
      </c>
      <c r="O23">
        <v>0.14407348342470799</v>
      </c>
      <c r="P23">
        <v>0.71104184088785904</v>
      </c>
      <c r="Q23">
        <v>0.48032554539912498</v>
      </c>
      <c r="R23">
        <v>0.47754672564760797</v>
      </c>
      <c r="S23">
        <v>0.71535603637787204</v>
      </c>
      <c r="T23">
        <v>0.155212952520938</v>
      </c>
      <c r="U23">
        <v>3.7941263872579498E-2</v>
      </c>
      <c r="V23">
        <f t="shared" si="2"/>
        <v>0.38878540687581281</v>
      </c>
      <c r="W23">
        <f t="shared" si="3"/>
        <v>22.287061540651688</v>
      </c>
    </row>
    <row r="24" spans="2:23" x14ac:dyDescent="0.45">
      <c r="B24">
        <v>0</v>
      </c>
      <c r="C24">
        <v>1.7779048735907299</v>
      </c>
      <c r="D24">
        <v>-3.5419319594199399</v>
      </c>
      <c r="E24">
        <v>-3.5424998494789097</v>
      </c>
      <c r="F24">
        <v>-3.5419319594199399</v>
      </c>
      <c r="G24">
        <v>-1.7952521083501103</v>
      </c>
      <c r="H24">
        <v>0</v>
      </c>
      <c r="I24">
        <v>1.27591923898725</v>
      </c>
      <c r="J24">
        <f t="shared" si="0"/>
        <v>-1.1709739705113651</v>
      </c>
      <c r="K24">
        <f t="shared" si="1"/>
        <v>4</v>
      </c>
      <c r="L24" cm="1">
        <f t="array" ref="L24">SUMPRODUCT(N(B24:H24*C24:I24&lt;0))</f>
        <v>1</v>
      </c>
      <c r="O24">
        <v>0.14407348342470799</v>
      </c>
      <c r="P24">
        <v>0.71104184088785904</v>
      </c>
      <c r="Q24">
        <v>0.48032554539912498</v>
      </c>
      <c r="R24">
        <v>0.47754672564760797</v>
      </c>
      <c r="S24">
        <v>0.71535603637787204</v>
      </c>
      <c r="T24">
        <v>0.155212952520938</v>
      </c>
      <c r="U24">
        <v>3.7941263872579498E-2</v>
      </c>
      <c r="V24">
        <f t="shared" si="2"/>
        <v>0.38878540687581281</v>
      </c>
      <c r="W24">
        <f t="shared" si="3"/>
        <v>22.287061540651688</v>
      </c>
    </row>
    <row r="25" spans="2:23" x14ac:dyDescent="0.45">
      <c r="B25">
        <v>0</v>
      </c>
      <c r="C25">
        <v>1.7779048735907299</v>
      </c>
      <c r="D25">
        <v>-3.5419319594199399</v>
      </c>
      <c r="E25">
        <v>-3.5424998494789097</v>
      </c>
      <c r="F25">
        <v>-3.5419319594199399</v>
      </c>
      <c r="G25">
        <v>5.30610101765987</v>
      </c>
      <c r="H25">
        <v>8.1375317215011904</v>
      </c>
      <c r="I25">
        <v>3.58502343947062</v>
      </c>
      <c r="J25">
        <f t="shared" si="0"/>
        <v>1.0225246604879525</v>
      </c>
      <c r="K25">
        <f t="shared" si="1"/>
        <v>5</v>
      </c>
      <c r="L25" cm="1">
        <f t="array" ref="L25">SUMPRODUCT(N(B25:H25*C25:I25&lt;0))</f>
        <v>2</v>
      </c>
      <c r="O25">
        <v>0.128235514785039</v>
      </c>
      <c r="P25">
        <v>0.63241174540204503</v>
      </c>
      <c r="Q25">
        <v>0.63873276949435098</v>
      </c>
      <c r="R25">
        <v>0.139908224311698</v>
      </c>
      <c r="S25">
        <v>3.78602506643229E-2</v>
      </c>
      <c r="T25">
        <v>1.1243549035521201E-2</v>
      </c>
      <c r="U25">
        <v>3.1671690761064298E-3</v>
      </c>
      <c r="V25">
        <f t="shared" si="2"/>
        <v>0.2273656032527262</v>
      </c>
      <c r="W25">
        <f t="shared" si="3"/>
        <v>13.033697001748635</v>
      </c>
    </row>
    <row r="26" spans="2:23" x14ac:dyDescent="0.45">
      <c r="B26">
        <v>0</v>
      </c>
      <c r="C26">
        <v>1.7779048735907299</v>
      </c>
      <c r="D26">
        <v>-3.5419319594199399</v>
      </c>
      <c r="E26">
        <v>-1.7952521083501103</v>
      </c>
      <c r="F26">
        <v>0</v>
      </c>
      <c r="G26">
        <v>1.27591923898725</v>
      </c>
      <c r="H26">
        <v>-3.5600139522696099</v>
      </c>
      <c r="I26">
        <v>-5.5785320906463394</v>
      </c>
      <c r="J26">
        <f t="shared" si="0"/>
        <v>-1.4277382497635025</v>
      </c>
      <c r="K26">
        <f t="shared" si="1"/>
        <v>4</v>
      </c>
      <c r="L26" cm="1">
        <f t="array" ref="L26">SUMPRODUCT(N(B26:H26*C26:I26&lt;0))</f>
        <v>2</v>
      </c>
      <c r="O26">
        <v>0.14407348342470799</v>
      </c>
      <c r="P26">
        <v>0.71104184088785904</v>
      </c>
      <c r="Q26">
        <v>0.48032554539912498</v>
      </c>
      <c r="R26">
        <v>0.47754672564760797</v>
      </c>
      <c r="S26">
        <v>0.71535603637787204</v>
      </c>
      <c r="T26">
        <v>0.155212952520938</v>
      </c>
      <c r="U26">
        <v>3.7941263872579498E-2</v>
      </c>
      <c r="V26">
        <f t="shared" si="2"/>
        <v>0.38878540687581281</v>
      </c>
      <c r="W26">
        <f t="shared" si="3"/>
        <v>22.287061540651688</v>
      </c>
    </row>
    <row r="27" spans="2:23" x14ac:dyDescent="0.45">
      <c r="B27">
        <v>0</v>
      </c>
      <c r="C27">
        <v>1.7779048735907299</v>
      </c>
      <c r="D27">
        <v>-3.5419319594199399</v>
      </c>
      <c r="E27">
        <v>-1.7709659792240702</v>
      </c>
      <c r="F27">
        <v>-3.5419319594199399</v>
      </c>
      <c r="G27">
        <v>5.30610101765987</v>
      </c>
      <c r="H27">
        <v>8.1375317215011904</v>
      </c>
      <c r="I27">
        <v>3.58502343947062</v>
      </c>
      <c r="J27">
        <f t="shared" si="0"/>
        <v>1.2439663942698076</v>
      </c>
      <c r="K27">
        <f t="shared" si="1"/>
        <v>5</v>
      </c>
      <c r="L27" cm="1">
        <f t="array" ref="L27">SUMPRODUCT(N(B27:H27*C27:I27&lt;0))</f>
        <v>2</v>
      </c>
      <c r="O27">
        <v>0.128235514785039</v>
      </c>
      <c r="P27">
        <v>0.63241174540204503</v>
      </c>
      <c r="Q27">
        <v>0.63873276949435098</v>
      </c>
      <c r="R27">
        <v>0.139908224311698</v>
      </c>
      <c r="S27">
        <v>3.78602506643229E-2</v>
      </c>
      <c r="T27">
        <v>1.1243549035521201E-2</v>
      </c>
      <c r="U27">
        <v>3.1671690761064298E-3</v>
      </c>
      <c r="V27">
        <f t="shared" si="2"/>
        <v>0.2273656032527262</v>
      </c>
      <c r="W27">
        <f t="shared" si="3"/>
        <v>13.033697001748635</v>
      </c>
    </row>
    <row r="28" spans="2:23" x14ac:dyDescent="0.45">
      <c r="B28">
        <v>0</v>
      </c>
      <c r="C28">
        <v>1.7779048735907299</v>
      </c>
      <c r="D28">
        <v>-3.5419319594199399</v>
      </c>
      <c r="E28">
        <v>-1.7952521083501103</v>
      </c>
      <c r="F28">
        <v>0</v>
      </c>
      <c r="G28">
        <v>1.27591923898725</v>
      </c>
      <c r="H28">
        <v>-3.5600139522696099</v>
      </c>
      <c r="I28">
        <v>-5.5785320906463394</v>
      </c>
      <c r="J28">
        <f t="shared" si="0"/>
        <v>-1.4277382497635025</v>
      </c>
      <c r="K28">
        <f t="shared" si="1"/>
        <v>4</v>
      </c>
      <c r="L28" cm="1">
        <f t="array" ref="L28">SUMPRODUCT(N(B28:H28*C28:I28&lt;0))</f>
        <v>2</v>
      </c>
      <c r="O28">
        <v>9.2327267020722595E-2</v>
      </c>
      <c r="P28">
        <v>0.80565493704062596</v>
      </c>
      <c r="Q28">
        <v>0.78591583289667999</v>
      </c>
      <c r="R28">
        <v>0.106797452378456</v>
      </c>
      <c r="S28">
        <v>7.0343216739858994E-2</v>
      </c>
      <c r="T28">
        <v>1.1707662192725E-2</v>
      </c>
      <c r="U28">
        <v>7.7405113603380904E-3</v>
      </c>
      <c r="V28">
        <f t="shared" si="2"/>
        <v>0.26864098280420096</v>
      </c>
      <c r="W28">
        <f t="shared" si="3"/>
        <v>15.399801562024257</v>
      </c>
    </row>
    <row r="29" spans="2:23" x14ac:dyDescent="0.45">
      <c r="B29">
        <v>0</v>
      </c>
      <c r="C29">
        <v>1.7779048735907299</v>
      </c>
      <c r="D29">
        <v>-3.5419319594199399</v>
      </c>
      <c r="E29">
        <v>-1.7709659792240702</v>
      </c>
      <c r="F29">
        <v>-3.5423578768831798</v>
      </c>
      <c r="G29">
        <v>-3.90383047256957E-10</v>
      </c>
      <c r="H29">
        <v>3.58502343947062</v>
      </c>
      <c r="I29">
        <v>-6.8600426697856802</v>
      </c>
      <c r="J29">
        <f t="shared" si="0"/>
        <v>-1.2940462715802379</v>
      </c>
      <c r="K29">
        <f t="shared" si="1"/>
        <v>3</v>
      </c>
      <c r="L29" cm="1">
        <f t="array" ref="L29">SUMPRODUCT(N(B29:H29*C29:I29&lt;0))</f>
        <v>3</v>
      </c>
      <c r="O29">
        <v>0.14407348342470799</v>
      </c>
      <c r="P29">
        <v>0.71104184088785904</v>
      </c>
      <c r="Q29">
        <v>0.48032554539912498</v>
      </c>
      <c r="R29">
        <v>0.47754672564760797</v>
      </c>
      <c r="S29">
        <v>0.71535603637787204</v>
      </c>
      <c r="T29">
        <v>0.155212952520938</v>
      </c>
      <c r="U29">
        <v>3.7941263872579498E-2</v>
      </c>
      <c r="V29">
        <f t="shared" si="2"/>
        <v>0.38878540687581281</v>
      </c>
      <c r="W29">
        <f t="shared" si="3"/>
        <v>22.287061540651688</v>
      </c>
    </row>
    <row r="30" spans="2:23" x14ac:dyDescent="0.45">
      <c r="B30">
        <v>0</v>
      </c>
      <c r="C30">
        <v>1.7779048735907299</v>
      </c>
      <c r="D30">
        <v>-3.5419319594199399</v>
      </c>
      <c r="E30">
        <v>-1.7709659792240702</v>
      </c>
      <c r="F30">
        <v>-3.5423578768831798</v>
      </c>
      <c r="G30">
        <v>-3.90383047256957E-10</v>
      </c>
      <c r="H30">
        <v>3.58502343947062</v>
      </c>
      <c r="I30">
        <v>-6.8600426697856802</v>
      </c>
      <c r="J30">
        <f t="shared" si="0"/>
        <v>-1.2940462715802379</v>
      </c>
      <c r="K30">
        <f t="shared" si="1"/>
        <v>3</v>
      </c>
      <c r="L30" cm="1">
        <f t="array" ref="L30">SUMPRODUCT(N(B30:H30*C30:I30&lt;0))</f>
        <v>3</v>
      </c>
      <c r="O30">
        <v>0.128235514785039</v>
      </c>
      <c r="P30">
        <v>0.63241174540204503</v>
      </c>
      <c r="Q30">
        <v>0.63873276949435098</v>
      </c>
      <c r="R30">
        <v>0.139908224311698</v>
      </c>
      <c r="S30">
        <v>3.78602506643229E-2</v>
      </c>
      <c r="T30">
        <v>1.1243549035521201E-2</v>
      </c>
      <c r="U30">
        <v>3.1671690761064298E-3</v>
      </c>
      <c r="V30">
        <f t="shared" si="2"/>
        <v>0.2273656032527262</v>
      </c>
      <c r="W30">
        <f t="shared" si="3"/>
        <v>13.033697001748635</v>
      </c>
    </row>
    <row r="31" spans="2:23" x14ac:dyDescent="0.45">
      <c r="B31">
        <v>0</v>
      </c>
      <c r="C31">
        <v>1.7779048735907299</v>
      </c>
      <c r="D31">
        <v>-3.5419319594199399</v>
      </c>
      <c r="E31">
        <v>-3.5424998494789097</v>
      </c>
      <c r="F31">
        <v>-3.5419319594199399</v>
      </c>
      <c r="G31">
        <v>-3.5424998494789097</v>
      </c>
      <c r="H31">
        <v>-3.5419319594199399</v>
      </c>
      <c r="I31">
        <v>-3.5424998494789097</v>
      </c>
      <c r="J31">
        <f t="shared" si="0"/>
        <v>-2.4344238191382273</v>
      </c>
      <c r="K31">
        <f t="shared" si="1"/>
        <v>2</v>
      </c>
      <c r="L31" cm="1">
        <f t="array" ref="L31">SUMPRODUCT(N(B31:H31*C31:I31&lt;0))</f>
        <v>1</v>
      </c>
      <c r="O31">
        <v>0.14407348342470799</v>
      </c>
      <c r="P31">
        <v>0.71104184088785904</v>
      </c>
      <c r="Q31">
        <v>0.48032554539912498</v>
      </c>
      <c r="R31">
        <v>0.47754672564760797</v>
      </c>
      <c r="S31">
        <v>0.71535603637787204</v>
      </c>
      <c r="T31">
        <v>0.155212952520938</v>
      </c>
      <c r="U31">
        <v>3.7941263872579498E-2</v>
      </c>
      <c r="V31">
        <f t="shared" si="2"/>
        <v>0.38878540687581281</v>
      </c>
      <c r="W31">
        <f t="shared" si="3"/>
        <v>22.287061540651688</v>
      </c>
    </row>
    <row r="32" spans="2:23" x14ac:dyDescent="0.45">
      <c r="B32">
        <v>0</v>
      </c>
      <c r="C32">
        <v>1.7779048735907299</v>
      </c>
      <c r="D32">
        <v>-3.5419319594199399</v>
      </c>
      <c r="E32">
        <v>-1.7709659792240702</v>
      </c>
      <c r="F32">
        <v>1.7952521083501201</v>
      </c>
      <c r="G32">
        <v>0</v>
      </c>
      <c r="H32">
        <v>1.27591923898725</v>
      </c>
      <c r="I32">
        <v>-3.5600139522696099</v>
      </c>
      <c r="J32">
        <f t="shared" si="0"/>
        <v>-0.50297945874818994</v>
      </c>
      <c r="K32">
        <f t="shared" si="1"/>
        <v>5</v>
      </c>
      <c r="L32" cm="1">
        <f t="array" ref="L32">SUMPRODUCT(N(B32:H32*C32:I32&lt;0))</f>
        <v>3</v>
      </c>
      <c r="O32">
        <v>0.180824974347676</v>
      </c>
      <c r="P32">
        <v>0.86748132821930302</v>
      </c>
      <c r="Q32">
        <v>2.4900412368091701E-3</v>
      </c>
      <c r="R32">
        <v>0.87470119581085204</v>
      </c>
      <c r="S32">
        <v>0.19559633122085501</v>
      </c>
      <c r="T32">
        <v>5.0296076868244E-2</v>
      </c>
      <c r="U32">
        <v>1.35433278970914E-2</v>
      </c>
      <c r="V32">
        <f t="shared" si="2"/>
        <v>0.31213332508583297</v>
      </c>
      <c r="W32">
        <f t="shared" si="3"/>
        <v>17.892993157786602</v>
      </c>
    </row>
    <row r="33" spans="2:23" x14ac:dyDescent="0.45">
      <c r="B33">
        <v>0</v>
      </c>
      <c r="C33">
        <v>1.7779048735907299</v>
      </c>
      <c r="D33">
        <v>-3.5419319594199399</v>
      </c>
      <c r="E33">
        <v>-1.7709659792240702</v>
      </c>
      <c r="F33">
        <v>1.7952521083501201</v>
      </c>
      <c r="G33">
        <v>0</v>
      </c>
      <c r="H33">
        <v>1.27591923898725</v>
      </c>
      <c r="I33">
        <v>-3.5600139522696099</v>
      </c>
      <c r="J33">
        <f t="shared" si="0"/>
        <v>-0.50297945874818994</v>
      </c>
      <c r="K33">
        <f t="shared" si="1"/>
        <v>5</v>
      </c>
      <c r="L33" cm="1">
        <f t="array" ref="L33">SUMPRODUCT(N(B33:H33*C33:I33&lt;0))</f>
        <v>3</v>
      </c>
      <c r="O33">
        <v>9.1766309131337404E-2</v>
      </c>
      <c r="P33">
        <v>0.79442985773559005</v>
      </c>
      <c r="Q33">
        <v>0.831559265478232</v>
      </c>
      <c r="R33">
        <v>2.5205554969364601E-2</v>
      </c>
      <c r="S33">
        <v>0.59138214393809996</v>
      </c>
      <c r="T33">
        <v>0.61359003886127095</v>
      </c>
      <c r="U33">
        <v>0.74778441708334298</v>
      </c>
      <c r="V33">
        <f t="shared" si="2"/>
        <v>0.52795965531389122</v>
      </c>
      <c r="W33">
        <f t="shared" si="3"/>
        <v>30.265203170860008</v>
      </c>
    </row>
    <row r="34" spans="2:23" x14ac:dyDescent="0.45">
      <c r="B34">
        <v>0</v>
      </c>
      <c r="C34">
        <v>1.7779048735907299</v>
      </c>
      <c r="D34">
        <v>-3.5419319594199399</v>
      </c>
      <c r="E34">
        <v>-1.7709659792240702</v>
      </c>
      <c r="F34">
        <v>-3.5419319594199399</v>
      </c>
      <c r="G34">
        <v>-3.5424998494789097</v>
      </c>
      <c r="H34">
        <v>-3.5419319594199399</v>
      </c>
      <c r="I34">
        <v>5.30610101765987</v>
      </c>
      <c r="J34">
        <f t="shared" si="0"/>
        <v>-1.1069069769640252</v>
      </c>
      <c r="K34">
        <f t="shared" si="1"/>
        <v>3</v>
      </c>
      <c r="L34" cm="1">
        <f t="array" ref="L34">SUMPRODUCT(N(B34:H34*C34:I34&lt;0))</f>
        <v>2</v>
      </c>
      <c r="O34">
        <v>0.128235514785039</v>
      </c>
      <c r="P34">
        <v>0.63241174540204503</v>
      </c>
      <c r="Q34">
        <v>0.63873276949435098</v>
      </c>
      <c r="R34">
        <v>0.139908224311698</v>
      </c>
      <c r="S34">
        <v>3.78602506643229E-2</v>
      </c>
      <c r="T34">
        <v>1.1243549035521201E-2</v>
      </c>
      <c r="U34">
        <v>3.1671690761064298E-3</v>
      </c>
      <c r="V34">
        <f t="shared" si="2"/>
        <v>0.2273656032527262</v>
      </c>
      <c r="W34">
        <f t="shared" si="3"/>
        <v>13.033697001748635</v>
      </c>
    </row>
    <row r="35" spans="2:23" x14ac:dyDescent="0.45">
      <c r="B35">
        <v>0</v>
      </c>
      <c r="C35">
        <v>1.7779048735907299</v>
      </c>
      <c r="D35">
        <v>-3.5419319594199399</v>
      </c>
      <c r="E35">
        <v>-1.7709659792240702</v>
      </c>
      <c r="F35">
        <v>-3.5423578768831798</v>
      </c>
      <c r="G35">
        <v>-3.90383047256957E-10</v>
      </c>
      <c r="H35">
        <v>3.58502343947062</v>
      </c>
      <c r="I35">
        <v>-6.8600426697856802</v>
      </c>
      <c r="J35">
        <f t="shared" si="0"/>
        <v>-1.2940462715802379</v>
      </c>
      <c r="K35">
        <f t="shared" si="1"/>
        <v>3</v>
      </c>
      <c r="L35" cm="1">
        <f t="array" ref="L35">SUMPRODUCT(N(B35:H35*C35:I35&lt;0))</f>
        <v>3</v>
      </c>
      <c r="O35">
        <v>0.113858267087087</v>
      </c>
      <c r="P35">
        <v>0.83409983905834995</v>
      </c>
      <c r="Q35">
        <v>1.2198255935042801</v>
      </c>
      <c r="R35">
        <v>1.2241124944190001</v>
      </c>
      <c r="S35">
        <v>0.83571430302685001</v>
      </c>
      <c r="T35">
        <v>0.121557089758523</v>
      </c>
      <c r="U35">
        <v>2.7803878566330199E-2</v>
      </c>
      <c r="V35">
        <f t="shared" si="2"/>
        <v>0.62528163791720293</v>
      </c>
      <c r="W35">
        <f t="shared" si="3"/>
        <v>35.84417032646386</v>
      </c>
    </row>
    <row r="36" spans="2:23" x14ac:dyDescent="0.45">
      <c r="B36">
        <v>0</v>
      </c>
      <c r="C36">
        <v>1.7779048735907299</v>
      </c>
      <c r="D36">
        <v>-3.5419319594199399</v>
      </c>
      <c r="E36">
        <v>5.30610101765987</v>
      </c>
      <c r="F36">
        <v>8.1375317215011904</v>
      </c>
      <c r="G36">
        <v>3.58502343947062</v>
      </c>
      <c r="H36">
        <v>-6.8600426697856802</v>
      </c>
      <c r="I36">
        <v>-7.8640927305722297</v>
      </c>
      <c r="J36">
        <f t="shared" si="0"/>
        <v>6.7561711555570225E-2</v>
      </c>
      <c r="K36">
        <f t="shared" si="1"/>
        <v>5</v>
      </c>
      <c r="L36" cm="1">
        <f t="array" ref="L36">SUMPRODUCT(N(B36:H36*C36:I36&lt;0))</f>
        <v>3</v>
      </c>
      <c r="O36">
        <v>0.14407348342470799</v>
      </c>
      <c r="P36">
        <v>0.71104184088785904</v>
      </c>
      <c r="Q36">
        <v>0.48032554539912498</v>
      </c>
      <c r="R36">
        <v>0.47754672564760797</v>
      </c>
      <c r="S36">
        <v>0.71535603637787204</v>
      </c>
      <c r="T36">
        <v>0.155212952520938</v>
      </c>
      <c r="U36">
        <v>3.7941263872579498E-2</v>
      </c>
      <c r="V36">
        <f t="shared" si="2"/>
        <v>0.38878540687581281</v>
      </c>
      <c r="W36">
        <f t="shared" si="3"/>
        <v>22.287061540651688</v>
      </c>
    </row>
    <row r="37" spans="2:23" x14ac:dyDescent="0.45">
      <c r="B37">
        <v>0</v>
      </c>
      <c r="C37">
        <v>1.7779048735907299</v>
      </c>
      <c r="D37">
        <v>-3.5419319594199399</v>
      </c>
      <c r="E37">
        <v>-1.7709659792240702</v>
      </c>
      <c r="F37">
        <v>1.7952521083501201</v>
      </c>
      <c r="G37">
        <v>0</v>
      </c>
      <c r="H37">
        <v>1.27591923898725</v>
      </c>
      <c r="I37">
        <v>-3.5600139522696099</v>
      </c>
      <c r="J37">
        <f t="shared" si="0"/>
        <v>-0.50297945874818994</v>
      </c>
      <c r="K37">
        <f t="shared" si="1"/>
        <v>5</v>
      </c>
      <c r="L37" cm="1">
        <f t="array" ref="L37">SUMPRODUCT(N(B37:H37*C37:I37&lt;0))</f>
        <v>3</v>
      </c>
      <c r="O37">
        <v>0.169927424490593</v>
      </c>
      <c r="P37">
        <v>0.93986071556557205</v>
      </c>
      <c r="Q37">
        <v>0.17956650900820301</v>
      </c>
      <c r="R37">
        <v>0.34706175666977102</v>
      </c>
      <c r="S37">
        <v>9.7058420692662697E-2</v>
      </c>
      <c r="T37">
        <v>0.66478382987267204</v>
      </c>
      <c r="U37">
        <v>0.64052031768167905</v>
      </c>
      <c r="V37">
        <f t="shared" si="2"/>
        <v>0.43411128199730759</v>
      </c>
      <c r="W37">
        <f t="shared" si="3"/>
        <v>24.885360114495338</v>
      </c>
    </row>
    <row r="38" spans="2:23" x14ac:dyDescent="0.45">
      <c r="B38">
        <v>0</v>
      </c>
      <c r="C38">
        <v>1.7779048735907299</v>
      </c>
      <c r="D38">
        <v>-3.5419319594199399</v>
      </c>
      <c r="E38">
        <v>-1.7952521083501103</v>
      </c>
      <c r="F38">
        <v>0</v>
      </c>
      <c r="G38">
        <v>1.27591923898725</v>
      </c>
      <c r="H38">
        <v>-3.5600139522696099</v>
      </c>
      <c r="I38">
        <v>-5.5785320906463394</v>
      </c>
      <c r="J38">
        <f t="shared" si="0"/>
        <v>-1.4277382497635025</v>
      </c>
      <c r="K38">
        <f t="shared" si="1"/>
        <v>4</v>
      </c>
      <c r="L38" cm="1">
        <f t="array" ref="L38">SUMPRODUCT(N(B38:H38*C38:I38&lt;0))</f>
        <v>2</v>
      </c>
      <c r="O38">
        <v>0.14407348342470799</v>
      </c>
      <c r="P38">
        <v>0.71104184088785904</v>
      </c>
      <c r="Q38">
        <v>0.48032554539912498</v>
      </c>
      <c r="R38">
        <v>0.47754672564760797</v>
      </c>
      <c r="S38">
        <v>0.71535603637787204</v>
      </c>
      <c r="T38">
        <v>0.155212952520938</v>
      </c>
      <c r="U38">
        <v>3.7941263872579498E-2</v>
      </c>
      <c r="V38">
        <f t="shared" si="2"/>
        <v>0.38878540687581281</v>
      </c>
      <c r="W38">
        <f t="shared" si="3"/>
        <v>22.287061540651688</v>
      </c>
    </row>
    <row r="39" spans="2:23" x14ac:dyDescent="0.45">
      <c r="B39">
        <v>0</v>
      </c>
      <c r="C39">
        <v>1.7779048735907299</v>
      </c>
      <c r="D39">
        <v>-3.5419319594199399</v>
      </c>
      <c r="E39">
        <v>5.30610101765987</v>
      </c>
      <c r="F39">
        <v>8.1375317215011904</v>
      </c>
      <c r="G39">
        <v>3.58502343947062</v>
      </c>
      <c r="H39">
        <v>-6.8600426697856802</v>
      </c>
      <c r="I39">
        <v>-7.8640927305722297</v>
      </c>
      <c r="J39">
        <f t="shared" si="0"/>
        <v>6.7561711555570225E-2</v>
      </c>
      <c r="K39">
        <f t="shared" si="1"/>
        <v>5</v>
      </c>
      <c r="L39" cm="1">
        <f t="array" ref="L39">SUMPRODUCT(N(B39:H39*C39:I39&lt;0))</f>
        <v>3</v>
      </c>
      <c r="O39">
        <v>0.14407348342470799</v>
      </c>
      <c r="P39">
        <v>0.71104184088785904</v>
      </c>
      <c r="Q39">
        <v>0.48032554539912498</v>
      </c>
      <c r="R39">
        <v>0.47754672564760797</v>
      </c>
      <c r="S39">
        <v>0.71535603637787204</v>
      </c>
      <c r="T39">
        <v>0.155212952520938</v>
      </c>
      <c r="U39">
        <v>3.7941263872579498E-2</v>
      </c>
      <c r="V39">
        <f t="shared" si="2"/>
        <v>0.38878540687581281</v>
      </c>
      <c r="W39">
        <f t="shared" si="3"/>
        <v>22.287061540651688</v>
      </c>
    </row>
    <row r="40" spans="2:23" x14ac:dyDescent="0.45">
      <c r="B40">
        <v>0</v>
      </c>
      <c r="C40">
        <v>1.7779048735907299</v>
      </c>
      <c r="D40">
        <v>-3.5419319594199399</v>
      </c>
      <c r="E40">
        <v>-3.5424998494789097</v>
      </c>
      <c r="F40">
        <v>-3.5419319594199399</v>
      </c>
      <c r="G40">
        <v>5.30610101765987</v>
      </c>
      <c r="H40">
        <v>8.1375317215011904</v>
      </c>
      <c r="I40">
        <v>3.58502343947062</v>
      </c>
      <c r="J40">
        <f t="shared" si="0"/>
        <v>1.0225246604879525</v>
      </c>
      <c r="K40">
        <f t="shared" si="1"/>
        <v>5</v>
      </c>
      <c r="L40" cm="1">
        <f t="array" ref="L40">SUMPRODUCT(N(B40:H40*C40:I40&lt;0))</f>
        <v>2</v>
      </c>
      <c r="O40">
        <v>8.3305261732685404E-2</v>
      </c>
      <c r="P40">
        <v>0.76892235418723098</v>
      </c>
      <c r="Q40">
        <v>0.80739468320890095</v>
      </c>
      <c r="R40">
        <v>0.100615747529938</v>
      </c>
      <c r="S40">
        <v>1.8577340345009598E-2</v>
      </c>
      <c r="T40">
        <v>3.81906724015703E-2</v>
      </c>
      <c r="U40">
        <v>2.8078926348069501E-2</v>
      </c>
      <c r="V40">
        <f t="shared" si="2"/>
        <v>0.26358356939334354</v>
      </c>
      <c r="W40">
        <f t="shared" si="3"/>
        <v>15.109886143567465</v>
      </c>
    </row>
    <row r="41" spans="2:23" x14ac:dyDescent="0.45">
      <c r="B41">
        <v>0</v>
      </c>
      <c r="C41">
        <v>1.7779048735907299</v>
      </c>
      <c r="D41">
        <v>-3.5419319594199399</v>
      </c>
      <c r="E41">
        <v>-1.7709659792240702</v>
      </c>
      <c r="F41">
        <v>1.7952521083501201</v>
      </c>
      <c r="G41">
        <v>0</v>
      </c>
      <c r="H41">
        <v>1.27591923898725</v>
      </c>
      <c r="I41">
        <v>-3.5600139522696099</v>
      </c>
      <c r="J41">
        <f t="shared" si="0"/>
        <v>-0.50297945874818994</v>
      </c>
      <c r="K41">
        <f t="shared" si="1"/>
        <v>5</v>
      </c>
      <c r="L41" cm="1">
        <f t="array" ref="L41">SUMPRODUCT(N(B41:H41*C41:I41&lt;0))</f>
        <v>3</v>
      </c>
      <c r="O41">
        <v>0.128235514785039</v>
      </c>
      <c r="P41">
        <v>0.63241174540204503</v>
      </c>
      <c r="Q41">
        <v>0.63873276949435098</v>
      </c>
      <c r="R41">
        <v>0.139908224311698</v>
      </c>
      <c r="S41">
        <v>3.78602506643229E-2</v>
      </c>
      <c r="T41">
        <v>1.1243549035521201E-2</v>
      </c>
      <c r="U41">
        <v>3.1671690761064298E-3</v>
      </c>
      <c r="V41">
        <f t="shared" si="2"/>
        <v>0.2273656032527262</v>
      </c>
      <c r="W41">
        <f t="shared" si="3"/>
        <v>13.033697001748635</v>
      </c>
    </row>
    <row r="42" spans="2:23" x14ac:dyDescent="0.45">
      <c r="B42">
        <v>0</v>
      </c>
      <c r="C42">
        <v>1.7779048735907299</v>
      </c>
      <c r="D42">
        <v>-3.5419319594199399</v>
      </c>
      <c r="E42">
        <v>-1.7709659792240702</v>
      </c>
      <c r="F42">
        <v>-3.5424998494789097</v>
      </c>
      <c r="G42">
        <v>-1.7709659792240702</v>
      </c>
      <c r="H42">
        <v>-3.5419319594199399</v>
      </c>
      <c r="I42">
        <v>-1.7952521083501103</v>
      </c>
      <c r="J42">
        <f t="shared" si="0"/>
        <v>-1.7732053701907888</v>
      </c>
      <c r="K42">
        <f t="shared" si="1"/>
        <v>2</v>
      </c>
      <c r="L42" cm="1">
        <f t="array" ref="L42">SUMPRODUCT(N(B42:H42*C42:I42&lt;0))</f>
        <v>1</v>
      </c>
      <c r="O42">
        <v>0.14407348342470799</v>
      </c>
      <c r="P42">
        <v>0.71104184088785904</v>
      </c>
      <c r="Q42">
        <v>0.48032554539912498</v>
      </c>
      <c r="R42">
        <v>0.47754672564760797</v>
      </c>
      <c r="S42">
        <v>0.71535603637787204</v>
      </c>
      <c r="T42">
        <v>0.155212952520938</v>
      </c>
      <c r="U42">
        <v>3.7941263872579498E-2</v>
      </c>
      <c r="V42">
        <f t="shared" si="2"/>
        <v>0.38878540687581281</v>
      </c>
      <c r="W42">
        <f t="shared" si="3"/>
        <v>22.287061540651688</v>
      </c>
    </row>
    <row r="43" spans="2:23" x14ac:dyDescent="0.45">
      <c r="B43">
        <v>0</v>
      </c>
      <c r="C43">
        <v>1.7779048735907299</v>
      </c>
      <c r="D43">
        <v>-3.5419319594199399</v>
      </c>
      <c r="E43">
        <v>-1.7952521083501103</v>
      </c>
      <c r="F43">
        <v>0</v>
      </c>
      <c r="G43">
        <v>1.27591923898725</v>
      </c>
      <c r="H43">
        <v>-3.5600139522696099</v>
      </c>
      <c r="I43">
        <v>-5.5785320906463394</v>
      </c>
      <c r="J43">
        <f t="shared" si="0"/>
        <v>-1.4277382497635025</v>
      </c>
      <c r="K43">
        <f t="shared" si="1"/>
        <v>4</v>
      </c>
      <c r="L43" cm="1">
        <f t="array" ref="L43">SUMPRODUCT(N(B43:H43*C43:I43&lt;0))</f>
        <v>2</v>
      </c>
      <c r="O43">
        <v>0.14407348342470799</v>
      </c>
      <c r="P43">
        <v>0.71104184088785904</v>
      </c>
      <c r="Q43">
        <v>0.48032554539912498</v>
      </c>
      <c r="R43">
        <v>0.47754672564760797</v>
      </c>
      <c r="S43">
        <v>0.71535603637787204</v>
      </c>
      <c r="T43">
        <v>0.155212952520938</v>
      </c>
      <c r="U43">
        <v>3.7941263872579498E-2</v>
      </c>
      <c r="V43">
        <f t="shared" si="2"/>
        <v>0.38878540687581281</v>
      </c>
      <c r="W43">
        <f t="shared" si="3"/>
        <v>22.287061540651688</v>
      </c>
    </row>
    <row r="44" spans="2:23" x14ac:dyDescent="0.45">
      <c r="B44">
        <v>0</v>
      </c>
      <c r="C44">
        <v>1.7779048735907299</v>
      </c>
      <c r="D44">
        <v>-3.5419319594199399</v>
      </c>
      <c r="E44">
        <v>5.30610101765987</v>
      </c>
      <c r="F44">
        <v>8.1375317215011904</v>
      </c>
      <c r="G44">
        <v>3.58502343947062</v>
      </c>
      <c r="H44">
        <v>-6.8600426697856802</v>
      </c>
      <c r="I44">
        <v>-7.8640927305722297</v>
      </c>
      <c r="J44">
        <f t="shared" si="0"/>
        <v>6.7561711555570225E-2</v>
      </c>
      <c r="K44">
        <f t="shared" si="1"/>
        <v>5</v>
      </c>
      <c r="L44" cm="1">
        <f t="array" ref="L44">SUMPRODUCT(N(B44:H44*C44:I44&lt;0))</f>
        <v>3</v>
      </c>
      <c r="O44">
        <v>0.180824974347676</v>
      </c>
      <c r="P44">
        <v>0.86748132821930302</v>
      </c>
      <c r="Q44">
        <v>2.4900412368091701E-3</v>
      </c>
      <c r="R44">
        <v>0.87470119581085204</v>
      </c>
      <c r="S44">
        <v>0.19559633122085501</v>
      </c>
      <c r="T44">
        <v>5.0296076868244E-2</v>
      </c>
      <c r="U44">
        <v>1.35433278970914E-2</v>
      </c>
      <c r="V44">
        <f t="shared" si="2"/>
        <v>0.31213332508583297</v>
      </c>
      <c r="W44">
        <f t="shared" si="3"/>
        <v>17.892993157786602</v>
      </c>
    </row>
    <row r="45" spans="2:23" x14ac:dyDescent="0.45">
      <c r="B45">
        <v>0</v>
      </c>
      <c r="C45">
        <v>1.7779048735907299</v>
      </c>
      <c r="D45">
        <v>-3.5419319594199399</v>
      </c>
      <c r="E45">
        <v>-1.7952521083501103</v>
      </c>
      <c r="F45">
        <v>0</v>
      </c>
      <c r="G45">
        <v>1.27591923898725</v>
      </c>
      <c r="H45">
        <v>-3.5600139522696099</v>
      </c>
      <c r="I45">
        <v>-5.5785320906463394</v>
      </c>
      <c r="J45">
        <f t="shared" si="0"/>
        <v>-1.4277382497635025</v>
      </c>
      <c r="K45">
        <f t="shared" si="1"/>
        <v>4</v>
      </c>
      <c r="L45" cm="1">
        <f t="array" ref="L45">SUMPRODUCT(N(B45:H45*C45:I45&lt;0))</f>
        <v>2</v>
      </c>
      <c r="O45">
        <v>0.128235514785039</v>
      </c>
      <c r="P45">
        <v>0.63241174540204503</v>
      </c>
      <c r="Q45">
        <v>0.63873276949435098</v>
      </c>
      <c r="R45">
        <v>0.139908224311698</v>
      </c>
      <c r="S45">
        <v>3.78602506643229E-2</v>
      </c>
      <c r="T45">
        <v>1.1243549035521201E-2</v>
      </c>
      <c r="U45">
        <v>3.1671690761064298E-3</v>
      </c>
      <c r="V45">
        <f t="shared" si="2"/>
        <v>0.2273656032527262</v>
      </c>
      <c r="W45">
        <f t="shared" si="3"/>
        <v>13.033697001748635</v>
      </c>
    </row>
    <row r="46" spans="2:23" x14ac:dyDescent="0.45">
      <c r="B46">
        <v>0</v>
      </c>
      <c r="C46">
        <v>1.7779048735907299</v>
      </c>
      <c r="D46">
        <v>-3.5419319594199399</v>
      </c>
      <c r="E46">
        <v>-1.7709659792240702</v>
      </c>
      <c r="F46">
        <v>-3.5419319594199399</v>
      </c>
      <c r="G46">
        <v>-1.7709659792240702</v>
      </c>
      <c r="H46">
        <v>1.7952521083501201</v>
      </c>
      <c r="I46">
        <v>0</v>
      </c>
      <c r="J46">
        <f t="shared" si="0"/>
        <v>-0.88157986191839632</v>
      </c>
      <c r="K46">
        <f t="shared" si="1"/>
        <v>4</v>
      </c>
      <c r="L46" cm="1">
        <f t="array" ref="L46">SUMPRODUCT(N(B46:H46*C46:I46&lt;0))</f>
        <v>2</v>
      </c>
      <c r="O46">
        <v>0.14407348342470799</v>
      </c>
      <c r="P46">
        <v>0.71104184088785904</v>
      </c>
      <c r="Q46">
        <v>0.48032554539912498</v>
      </c>
      <c r="R46">
        <v>0.47754672564760797</v>
      </c>
      <c r="S46">
        <v>0.71535603637787204</v>
      </c>
      <c r="T46">
        <v>0.155212952520938</v>
      </c>
      <c r="U46">
        <v>3.7941263872579498E-2</v>
      </c>
      <c r="V46">
        <f t="shared" si="2"/>
        <v>0.38878540687581281</v>
      </c>
      <c r="W46">
        <f t="shared" si="3"/>
        <v>22.287061540651688</v>
      </c>
    </row>
    <row r="47" spans="2:23" x14ac:dyDescent="0.45">
      <c r="B47">
        <v>0</v>
      </c>
      <c r="C47">
        <v>1.7779048735907299</v>
      </c>
      <c r="D47">
        <v>-3.5419319594199399</v>
      </c>
      <c r="E47">
        <v>-1.7952521083501103</v>
      </c>
      <c r="F47">
        <v>0</v>
      </c>
      <c r="G47">
        <v>1.27591923898725</v>
      </c>
      <c r="H47">
        <v>-3.5600139522696099</v>
      </c>
      <c r="I47">
        <v>-5.5785320906463394</v>
      </c>
      <c r="J47">
        <f t="shared" si="0"/>
        <v>-1.4277382497635025</v>
      </c>
      <c r="K47">
        <f t="shared" si="1"/>
        <v>4</v>
      </c>
      <c r="L47" cm="1">
        <f t="array" ref="L47">SUMPRODUCT(N(B47:H47*C47:I47&lt;0))</f>
        <v>2</v>
      </c>
      <c r="O47">
        <v>0.14407348342470799</v>
      </c>
      <c r="P47">
        <v>0.71104184088785904</v>
      </c>
      <c r="Q47">
        <v>0.48032554539912498</v>
      </c>
      <c r="R47">
        <v>0.47754672564760797</v>
      </c>
      <c r="S47">
        <v>0.71535603637787204</v>
      </c>
      <c r="T47">
        <v>0.155212952520938</v>
      </c>
      <c r="U47">
        <v>3.7941263872579498E-2</v>
      </c>
      <c r="V47">
        <f t="shared" si="2"/>
        <v>0.38878540687581281</v>
      </c>
      <c r="W47">
        <f t="shared" si="3"/>
        <v>22.287061540651688</v>
      </c>
    </row>
    <row r="48" spans="2:23" x14ac:dyDescent="0.45">
      <c r="B48">
        <v>0</v>
      </c>
      <c r="C48">
        <v>1.7779048735907299</v>
      </c>
      <c r="D48">
        <v>-3.5419319594199399</v>
      </c>
      <c r="E48">
        <v>-3.5424998494789097</v>
      </c>
      <c r="F48">
        <v>-3.5419319594199399</v>
      </c>
      <c r="G48">
        <v>5.30610101765987</v>
      </c>
      <c r="H48">
        <v>8.1375317215011904</v>
      </c>
      <c r="I48">
        <v>3.58502343947062</v>
      </c>
      <c r="J48">
        <f t="shared" si="0"/>
        <v>1.0225246604879525</v>
      </c>
      <c r="K48">
        <f t="shared" si="1"/>
        <v>5</v>
      </c>
      <c r="L48" cm="1">
        <f t="array" ref="L48">SUMPRODUCT(N(B48:H48*C48:I48&lt;0))</f>
        <v>2</v>
      </c>
      <c r="O48">
        <v>9.2327267020722595E-2</v>
      </c>
      <c r="P48">
        <v>0.80565493704062596</v>
      </c>
      <c r="Q48">
        <v>0.78591583289667999</v>
      </c>
      <c r="R48">
        <v>0.106797452378456</v>
      </c>
      <c r="S48">
        <v>7.0343216739858994E-2</v>
      </c>
      <c r="T48">
        <v>1.1707662192725E-2</v>
      </c>
      <c r="U48">
        <v>7.7405113603380904E-3</v>
      </c>
      <c r="V48">
        <f t="shared" si="2"/>
        <v>0.26864098280420096</v>
      </c>
      <c r="W48">
        <f t="shared" si="3"/>
        <v>15.399801562024257</v>
      </c>
    </row>
    <row r="49" spans="2:23" x14ac:dyDescent="0.45">
      <c r="B49">
        <v>0</v>
      </c>
      <c r="C49">
        <v>1.7779048735907299</v>
      </c>
      <c r="D49">
        <v>-3.5419319594199399</v>
      </c>
      <c r="E49">
        <v>-1.7952521083501103</v>
      </c>
      <c r="F49">
        <v>0</v>
      </c>
      <c r="G49">
        <v>1.27591923898725</v>
      </c>
      <c r="H49">
        <v>-3.5600139522696099</v>
      </c>
      <c r="I49">
        <v>-5.5785320906463394</v>
      </c>
      <c r="J49">
        <f t="shared" si="0"/>
        <v>-1.4277382497635025</v>
      </c>
      <c r="K49">
        <f t="shared" si="1"/>
        <v>4</v>
      </c>
      <c r="L49" cm="1">
        <f t="array" ref="L49">SUMPRODUCT(N(B49:H49*C49:I49&lt;0))</f>
        <v>2</v>
      </c>
      <c r="O49">
        <v>0.128235514785039</v>
      </c>
      <c r="P49">
        <v>0.63241174540204503</v>
      </c>
      <c r="Q49">
        <v>0.63873276949435098</v>
      </c>
      <c r="R49">
        <v>0.139908224311698</v>
      </c>
      <c r="S49">
        <v>3.78602506643229E-2</v>
      </c>
      <c r="T49">
        <v>1.1243549035521201E-2</v>
      </c>
      <c r="U49">
        <v>3.1671690761064298E-3</v>
      </c>
      <c r="V49">
        <f t="shared" si="2"/>
        <v>0.2273656032527262</v>
      </c>
      <c r="W49">
        <f t="shared" si="3"/>
        <v>13.033697001748635</v>
      </c>
    </row>
    <row r="50" spans="2:23" x14ac:dyDescent="0.45">
      <c r="B50">
        <v>0</v>
      </c>
      <c r="C50">
        <v>1.7779048735907299</v>
      </c>
      <c r="D50">
        <v>-3.5419319594199399</v>
      </c>
      <c r="E50">
        <v>-1.7952521083501103</v>
      </c>
      <c r="F50">
        <v>0</v>
      </c>
      <c r="G50">
        <v>1.27591923898725</v>
      </c>
      <c r="H50">
        <v>-3.5600139522696099</v>
      </c>
      <c r="I50">
        <v>-5.5785320906463394</v>
      </c>
      <c r="J50">
        <f t="shared" si="0"/>
        <v>-1.4277382497635025</v>
      </c>
      <c r="K50">
        <f t="shared" si="1"/>
        <v>4</v>
      </c>
      <c r="L50" cm="1">
        <f t="array" ref="L50">SUMPRODUCT(N(B50:H50*C50:I50&lt;0))</f>
        <v>2</v>
      </c>
      <c r="O50">
        <v>0.128235514785039</v>
      </c>
      <c r="P50">
        <v>0.63241174540204503</v>
      </c>
      <c r="Q50">
        <v>0.63873276949435098</v>
      </c>
      <c r="R50">
        <v>0.139908224311698</v>
      </c>
      <c r="S50">
        <v>3.78602506643229E-2</v>
      </c>
      <c r="T50">
        <v>1.1243549035521201E-2</v>
      </c>
      <c r="U50">
        <v>3.1671690761064298E-3</v>
      </c>
      <c r="V50">
        <f t="shared" si="2"/>
        <v>0.2273656032527262</v>
      </c>
      <c r="W50">
        <f t="shared" si="3"/>
        <v>13.033697001748635</v>
      </c>
    </row>
    <row r="51" spans="2:23" x14ac:dyDescent="0.45">
      <c r="B51">
        <v>0</v>
      </c>
      <c r="C51">
        <v>1.7779048735907299</v>
      </c>
      <c r="D51">
        <v>-3.5419319594199399</v>
      </c>
      <c r="E51">
        <v>-1.7952521083501103</v>
      </c>
      <c r="F51">
        <v>0</v>
      </c>
      <c r="G51">
        <v>1.27591923898725</v>
      </c>
      <c r="H51">
        <v>-3.5600139522696099</v>
      </c>
      <c r="I51">
        <v>-5.5785320906463394</v>
      </c>
      <c r="J51">
        <f t="shared" si="0"/>
        <v>-1.4277382497635025</v>
      </c>
      <c r="K51">
        <f t="shared" si="1"/>
        <v>4</v>
      </c>
      <c r="L51" cm="1">
        <f t="array" ref="L51">SUMPRODUCT(N(B51:H51*C51:I51&lt;0))</f>
        <v>2</v>
      </c>
      <c r="O51">
        <v>0.14407348342470799</v>
      </c>
      <c r="P51">
        <v>0.71104184088785904</v>
      </c>
      <c r="Q51">
        <v>0.48032554539912498</v>
      </c>
      <c r="R51">
        <v>0.47754672564760797</v>
      </c>
      <c r="S51">
        <v>0.71535603637787204</v>
      </c>
      <c r="T51">
        <v>0.155212952520938</v>
      </c>
      <c r="U51">
        <v>3.7941263872579498E-2</v>
      </c>
      <c r="V51">
        <f t="shared" si="2"/>
        <v>0.38878540687581281</v>
      </c>
      <c r="W51">
        <f t="shared" si="3"/>
        <v>22.287061540651688</v>
      </c>
    </row>
    <row r="52" spans="2:23" x14ac:dyDescent="0.45">
      <c r="B52">
        <v>0</v>
      </c>
      <c r="C52">
        <v>1.7779048735907299</v>
      </c>
      <c r="D52">
        <v>-3.5419319594199399</v>
      </c>
      <c r="E52">
        <v>-1.7709659792240702</v>
      </c>
      <c r="F52">
        <v>1.7952521083501201</v>
      </c>
      <c r="G52">
        <v>0</v>
      </c>
      <c r="H52">
        <v>1.27591923898725</v>
      </c>
      <c r="I52">
        <v>-3.5600139522696099</v>
      </c>
      <c r="J52">
        <f t="shared" si="0"/>
        <v>-0.50297945874818994</v>
      </c>
      <c r="K52">
        <f t="shared" si="1"/>
        <v>5</v>
      </c>
      <c r="L52" cm="1">
        <f t="array" ref="L52">SUMPRODUCT(N(B52:H52*C52:I52&lt;0))</f>
        <v>3</v>
      </c>
      <c r="O52">
        <v>9.3617140350784694E-2</v>
      </c>
      <c r="P52">
        <v>0.71757999029508901</v>
      </c>
      <c r="Q52">
        <v>1.27923282985392</v>
      </c>
      <c r="R52">
        <v>0.58257170079957898</v>
      </c>
      <c r="S52">
        <v>0.52017872261321796</v>
      </c>
      <c r="T52">
        <v>0.72075042580772697</v>
      </c>
      <c r="U52">
        <v>0.14138991012315699</v>
      </c>
      <c r="V52">
        <f t="shared" si="2"/>
        <v>0.57933153140621063</v>
      </c>
      <c r="W52">
        <f t="shared" si="3"/>
        <v>33.210087787617169</v>
      </c>
    </row>
    <row r="53" spans="2:23" x14ac:dyDescent="0.45">
      <c r="B53">
        <v>0</v>
      </c>
      <c r="C53">
        <v>1.7779048735907299</v>
      </c>
      <c r="D53">
        <v>-3.5419319594199399</v>
      </c>
      <c r="E53">
        <v>5.30610101765987</v>
      </c>
      <c r="F53">
        <v>8.1375317215011904</v>
      </c>
      <c r="G53">
        <v>3.58502343947062</v>
      </c>
      <c r="H53">
        <v>-6.8600426697856802</v>
      </c>
      <c r="I53">
        <v>-7.8640927305722297</v>
      </c>
      <c r="J53">
        <f t="shared" si="0"/>
        <v>6.7561711555570225E-2</v>
      </c>
      <c r="K53">
        <f t="shared" si="1"/>
        <v>5</v>
      </c>
      <c r="L53" cm="1">
        <f t="array" ref="L53">SUMPRODUCT(N(B53:H53*C53:I53&lt;0))</f>
        <v>3</v>
      </c>
      <c r="O53">
        <v>0.128235514785039</v>
      </c>
      <c r="P53">
        <v>0.63241174540204503</v>
      </c>
      <c r="Q53">
        <v>0.63873276949435098</v>
      </c>
      <c r="R53">
        <v>0.139908224311698</v>
      </c>
      <c r="S53">
        <v>3.78602506643229E-2</v>
      </c>
      <c r="T53">
        <v>1.1243549035521201E-2</v>
      </c>
      <c r="U53">
        <v>3.1671690761064298E-3</v>
      </c>
      <c r="V53">
        <f t="shared" si="2"/>
        <v>0.2273656032527262</v>
      </c>
      <c r="W53">
        <f t="shared" si="3"/>
        <v>13.033697001748635</v>
      </c>
    </row>
    <row r="54" spans="2:23" x14ac:dyDescent="0.45">
      <c r="B54">
        <v>0</v>
      </c>
      <c r="C54">
        <v>1.7779048735907299</v>
      </c>
      <c r="D54">
        <v>-3.5419319594199399</v>
      </c>
      <c r="E54">
        <v>-1.7952521083501103</v>
      </c>
      <c r="F54">
        <v>0</v>
      </c>
      <c r="G54">
        <v>1.27591923898725</v>
      </c>
      <c r="H54">
        <v>-3.5600139522696099</v>
      </c>
      <c r="I54">
        <v>-5.5785320906463394</v>
      </c>
      <c r="J54">
        <f t="shared" si="0"/>
        <v>-1.4277382497635025</v>
      </c>
      <c r="K54">
        <f t="shared" si="1"/>
        <v>4</v>
      </c>
      <c r="L54" cm="1">
        <f t="array" ref="L54">SUMPRODUCT(N(B54:H54*C54:I54&lt;0))</f>
        <v>2</v>
      </c>
      <c r="O54">
        <v>0.14407348342470799</v>
      </c>
      <c r="P54">
        <v>0.71104184088785904</v>
      </c>
      <c r="Q54">
        <v>0.48032554539912498</v>
      </c>
      <c r="R54">
        <v>0.47754672564760797</v>
      </c>
      <c r="S54">
        <v>0.71535603637787204</v>
      </c>
      <c r="T54">
        <v>0.155212952520938</v>
      </c>
      <c r="U54">
        <v>3.7941263872579498E-2</v>
      </c>
      <c r="V54">
        <f t="shared" si="2"/>
        <v>0.38878540687581281</v>
      </c>
      <c r="W54">
        <f t="shared" si="3"/>
        <v>22.287061540651688</v>
      </c>
    </row>
    <row r="55" spans="2:23" x14ac:dyDescent="0.45">
      <c r="B55">
        <v>0</v>
      </c>
      <c r="C55">
        <v>1.7779048735907299</v>
      </c>
      <c r="D55">
        <v>-3.5419319594199399</v>
      </c>
      <c r="E55">
        <v>5.30610101765987</v>
      </c>
      <c r="F55">
        <v>8.1375317215011904</v>
      </c>
      <c r="G55">
        <v>3.58502343947062</v>
      </c>
      <c r="H55">
        <v>-6.8600426697856802</v>
      </c>
      <c r="I55">
        <v>-7.8640927305722297</v>
      </c>
      <c r="J55">
        <f t="shared" si="0"/>
        <v>6.7561711555570225E-2</v>
      </c>
      <c r="K55">
        <f t="shared" si="1"/>
        <v>5</v>
      </c>
      <c r="L55" cm="1">
        <f t="array" ref="L55">SUMPRODUCT(N(B55:H55*C55:I55&lt;0))</f>
        <v>3</v>
      </c>
      <c r="O55">
        <v>0.128235514785039</v>
      </c>
      <c r="P55">
        <v>0.63241174540204503</v>
      </c>
      <c r="Q55">
        <v>0.63873276949435098</v>
      </c>
      <c r="R55">
        <v>0.139908224311698</v>
      </c>
      <c r="S55">
        <v>3.78602506643229E-2</v>
      </c>
      <c r="T55">
        <v>1.1243549035521201E-2</v>
      </c>
      <c r="U55">
        <v>3.1671690761064298E-3</v>
      </c>
      <c r="V55">
        <f t="shared" si="2"/>
        <v>0.2273656032527262</v>
      </c>
      <c r="W55">
        <f t="shared" si="3"/>
        <v>13.033697001748635</v>
      </c>
    </row>
    <row r="56" spans="2:23" x14ac:dyDescent="0.45">
      <c r="B56">
        <v>0</v>
      </c>
      <c r="C56">
        <v>1.7779048735907299</v>
      </c>
      <c r="D56">
        <v>-3.5419319594199399</v>
      </c>
      <c r="E56">
        <v>-1.7952521083501103</v>
      </c>
      <c r="F56">
        <v>0</v>
      </c>
      <c r="G56">
        <v>1.27591923898725</v>
      </c>
      <c r="H56">
        <v>-3.5600139522696099</v>
      </c>
      <c r="I56">
        <v>-5.5785320906463394</v>
      </c>
      <c r="J56">
        <f t="shared" si="0"/>
        <v>-1.4277382497635025</v>
      </c>
      <c r="K56">
        <f t="shared" si="1"/>
        <v>4</v>
      </c>
      <c r="L56" cm="1">
        <f t="array" ref="L56">SUMPRODUCT(N(B56:H56*C56:I56&lt;0))</f>
        <v>2</v>
      </c>
      <c r="O56">
        <v>0.14407348342470799</v>
      </c>
      <c r="P56">
        <v>0.71104184088785904</v>
      </c>
      <c r="Q56">
        <v>0.48032554539912498</v>
      </c>
      <c r="R56">
        <v>0.47754672564760797</v>
      </c>
      <c r="S56">
        <v>0.71535603637787204</v>
      </c>
      <c r="T56">
        <v>0.155212952520938</v>
      </c>
      <c r="U56">
        <v>3.7941263872579498E-2</v>
      </c>
      <c r="V56">
        <f t="shared" si="2"/>
        <v>0.38878540687581281</v>
      </c>
      <c r="W56">
        <f t="shared" si="3"/>
        <v>22.287061540651688</v>
      </c>
    </row>
    <row r="57" spans="2:23" x14ac:dyDescent="0.45">
      <c r="B57">
        <v>0</v>
      </c>
      <c r="C57">
        <v>1.7779048735907299</v>
      </c>
      <c r="D57">
        <v>-3.5419319594199399</v>
      </c>
      <c r="E57">
        <v>-1.7709659792240702</v>
      </c>
      <c r="F57">
        <v>-3.5419319594199399</v>
      </c>
      <c r="G57">
        <v>5.30610101765987</v>
      </c>
      <c r="H57">
        <v>8.1375317215011904</v>
      </c>
      <c r="I57">
        <v>3.58502343947062</v>
      </c>
      <c r="J57">
        <f t="shared" si="0"/>
        <v>1.2439663942698076</v>
      </c>
      <c r="K57">
        <f t="shared" si="1"/>
        <v>5</v>
      </c>
      <c r="L57" cm="1">
        <f t="array" ref="L57">SUMPRODUCT(N(B57:H57*C57:I57&lt;0))</f>
        <v>2</v>
      </c>
      <c r="O57">
        <v>8.5803293755179602E-2</v>
      </c>
      <c r="P57">
        <v>0.73941899112135501</v>
      </c>
      <c r="Q57">
        <v>0.98005620865793097</v>
      </c>
      <c r="R57">
        <v>0.113036551261101</v>
      </c>
      <c r="S57">
        <v>0.92481862109227797</v>
      </c>
      <c r="T57">
        <v>0.185026561164092</v>
      </c>
      <c r="U57">
        <v>4.29848715280216E-2</v>
      </c>
      <c r="V57">
        <f t="shared" si="2"/>
        <v>0.43873501408285109</v>
      </c>
      <c r="W57">
        <f t="shared" si="3"/>
        <v>25.150414820036048</v>
      </c>
    </row>
    <row r="58" spans="2:23" x14ac:dyDescent="0.45">
      <c r="B58">
        <v>0</v>
      </c>
      <c r="C58">
        <v>1.7779048735907299</v>
      </c>
      <c r="D58">
        <v>-3.5419319594199399</v>
      </c>
      <c r="E58">
        <v>5.30610101765987</v>
      </c>
      <c r="F58">
        <v>8.1375317215011904</v>
      </c>
      <c r="G58">
        <v>3.58502343947062</v>
      </c>
      <c r="H58">
        <v>-6.8600426697856802</v>
      </c>
      <c r="I58">
        <v>-7.8640927305722297</v>
      </c>
      <c r="J58">
        <f t="shared" si="0"/>
        <v>6.7561711555570225E-2</v>
      </c>
      <c r="K58">
        <f t="shared" si="1"/>
        <v>5</v>
      </c>
      <c r="L58" cm="1">
        <f t="array" ref="L58">SUMPRODUCT(N(B58:H58*C58:I58&lt;0))</f>
        <v>3</v>
      </c>
      <c r="O58">
        <v>0.128235514785039</v>
      </c>
      <c r="P58">
        <v>0.63241174540204503</v>
      </c>
      <c r="Q58">
        <v>0.63873276949435098</v>
      </c>
      <c r="R58">
        <v>0.139908224311698</v>
      </c>
      <c r="S58">
        <v>3.78602506643229E-2</v>
      </c>
      <c r="T58">
        <v>1.1243549035521201E-2</v>
      </c>
      <c r="U58">
        <v>3.1671690761064298E-3</v>
      </c>
      <c r="V58">
        <f t="shared" si="2"/>
        <v>0.2273656032527262</v>
      </c>
      <c r="W58">
        <f t="shared" si="3"/>
        <v>13.033697001748635</v>
      </c>
    </row>
    <row r="59" spans="2:23" x14ac:dyDescent="0.45">
      <c r="B59">
        <v>0</v>
      </c>
      <c r="C59">
        <v>1.7779048735907299</v>
      </c>
      <c r="D59">
        <v>-3.5419319594199399</v>
      </c>
      <c r="E59">
        <v>-1.7709659792240702</v>
      </c>
      <c r="F59">
        <v>1.7952521083501201</v>
      </c>
      <c r="G59">
        <v>0</v>
      </c>
      <c r="H59">
        <v>1.27591923898725</v>
      </c>
      <c r="I59">
        <v>-3.5600139522696099</v>
      </c>
      <c r="J59">
        <f t="shared" si="0"/>
        <v>-0.50297945874818994</v>
      </c>
      <c r="K59">
        <f t="shared" si="1"/>
        <v>5</v>
      </c>
      <c r="L59" cm="1">
        <f t="array" ref="L59">SUMPRODUCT(N(B59:H59*C59:I59&lt;0))</f>
        <v>3</v>
      </c>
      <c r="O59">
        <v>9.3617140350784694E-2</v>
      </c>
      <c r="P59">
        <v>0.71757999029508901</v>
      </c>
      <c r="Q59">
        <v>1.27923282985392</v>
      </c>
      <c r="R59">
        <v>0.58257170079957898</v>
      </c>
      <c r="S59">
        <v>0.52017872261321796</v>
      </c>
      <c r="T59">
        <v>0.72075042580772697</v>
      </c>
      <c r="U59">
        <v>0.14138991012315699</v>
      </c>
      <c r="V59">
        <f t="shared" si="2"/>
        <v>0.57933153140621063</v>
      </c>
      <c r="W59">
        <f t="shared" si="3"/>
        <v>33.210087787617169</v>
      </c>
    </row>
    <row r="60" spans="2:23" x14ac:dyDescent="0.45">
      <c r="B60">
        <v>0</v>
      </c>
      <c r="C60">
        <v>1.7779048735907299</v>
      </c>
      <c r="D60">
        <v>-3.5419319594199399</v>
      </c>
      <c r="E60">
        <v>-3.5424998494789097</v>
      </c>
      <c r="F60">
        <v>-3.5419319594199399</v>
      </c>
      <c r="G60">
        <v>-3.5424998494789097</v>
      </c>
      <c r="H60">
        <v>-3.5419319594199399</v>
      </c>
      <c r="I60">
        <v>5.30610101765987</v>
      </c>
      <c r="J60">
        <f t="shared" si="0"/>
        <v>-1.32834871074588</v>
      </c>
      <c r="K60">
        <f t="shared" si="1"/>
        <v>3</v>
      </c>
      <c r="L60" cm="1">
        <f t="array" ref="L60">SUMPRODUCT(N(B60:H60*C60:I60&lt;0))</f>
        <v>2</v>
      </c>
      <c r="O60">
        <v>0.11223265896194801</v>
      </c>
      <c r="P60">
        <v>0.86345898439875302</v>
      </c>
      <c r="Q60">
        <v>0.87762329281651996</v>
      </c>
      <c r="R60">
        <v>0.48769855545719998</v>
      </c>
      <c r="S60">
        <v>0.46838957977971402</v>
      </c>
      <c r="T60">
        <v>0.80750385413083903</v>
      </c>
      <c r="U60">
        <v>0.84880671119318096</v>
      </c>
      <c r="V60">
        <f t="shared" si="2"/>
        <v>0.63795909096259351</v>
      </c>
      <c r="W60">
        <f t="shared" si="3"/>
        <v>36.57090330358816</v>
      </c>
    </row>
    <row r="61" spans="2:23" x14ac:dyDescent="0.45">
      <c r="B61">
        <v>0</v>
      </c>
      <c r="C61">
        <v>1.7779048735907299</v>
      </c>
      <c r="D61">
        <v>-3.5419319594199399</v>
      </c>
      <c r="E61">
        <v>-1.7952521083501103</v>
      </c>
      <c r="F61">
        <v>0</v>
      </c>
      <c r="G61">
        <v>1.27591923898725</v>
      </c>
      <c r="H61">
        <v>-3.5600139522696099</v>
      </c>
      <c r="I61">
        <v>-5.5785320906463394</v>
      </c>
      <c r="J61">
        <f t="shared" si="0"/>
        <v>-1.4277382497635025</v>
      </c>
      <c r="K61">
        <f t="shared" si="1"/>
        <v>4</v>
      </c>
      <c r="L61" cm="1">
        <f t="array" ref="L61">SUMPRODUCT(N(B61:H61*C61:I61&lt;0))</f>
        <v>2</v>
      </c>
      <c r="O61">
        <v>0.14407348342470799</v>
      </c>
      <c r="P61">
        <v>0.71104184088785904</v>
      </c>
      <c r="Q61">
        <v>0.48032554539912498</v>
      </c>
      <c r="R61">
        <v>0.47754672564760797</v>
      </c>
      <c r="S61">
        <v>0.71535603637787204</v>
      </c>
      <c r="T61">
        <v>0.155212952520938</v>
      </c>
      <c r="U61">
        <v>3.7941263872579498E-2</v>
      </c>
      <c r="V61">
        <f t="shared" si="2"/>
        <v>0.38878540687581281</v>
      </c>
      <c r="W61">
        <f t="shared" si="3"/>
        <v>22.287061540651688</v>
      </c>
    </row>
    <row r="62" spans="2:23" x14ac:dyDescent="0.45">
      <c r="B62">
        <v>0</v>
      </c>
      <c r="C62">
        <v>1.7779048735907299</v>
      </c>
      <c r="D62">
        <v>-3.5419319594199399</v>
      </c>
      <c r="E62">
        <v>-1.7709659792240702</v>
      </c>
      <c r="F62">
        <v>-3.5424998494789097</v>
      </c>
      <c r="G62">
        <v>-1.7709659792240702</v>
      </c>
      <c r="H62">
        <v>-3.5424998494789097</v>
      </c>
      <c r="I62">
        <v>-1.7709659792240702</v>
      </c>
      <c r="J62">
        <f t="shared" si="0"/>
        <v>-1.770240590307405</v>
      </c>
      <c r="K62">
        <f t="shared" si="1"/>
        <v>2</v>
      </c>
      <c r="L62" cm="1">
        <f t="array" ref="L62">SUMPRODUCT(N(B62:H62*C62:I62&lt;0))</f>
        <v>1</v>
      </c>
      <c r="O62">
        <v>0.17741400001324001</v>
      </c>
      <c r="P62">
        <v>0.94997660253995897</v>
      </c>
      <c r="Q62">
        <v>0.21734930553064</v>
      </c>
      <c r="R62">
        <v>0.24111682949757299</v>
      </c>
      <c r="S62">
        <v>0.145645226768189</v>
      </c>
      <c r="T62">
        <v>4.2291487751528897E-2</v>
      </c>
      <c r="U62">
        <v>2.7238577880464598E-3</v>
      </c>
      <c r="V62">
        <f t="shared" si="2"/>
        <v>0.25378818712702517</v>
      </c>
      <c r="W62">
        <f t="shared" si="3"/>
        <v>14.548367414925009</v>
      </c>
    </row>
    <row r="63" spans="2:23" x14ac:dyDescent="0.45">
      <c r="B63">
        <v>0</v>
      </c>
      <c r="C63">
        <v>1.7779048735907299</v>
      </c>
      <c r="D63">
        <v>-3.5419319594199399</v>
      </c>
      <c r="E63">
        <v>-1.7709659792240702</v>
      </c>
      <c r="F63">
        <v>-3.5423578768831798</v>
      </c>
      <c r="G63">
        <v>-3.90383047256957E-10</v>
      </c>
      <c r="H63">
        <v>3.58502343947062</v>
      </c>
      <c r="I63">
        <v>-6.8600426697856802</v>
      </c>
      <c r="J63">
        <f t="shared" si="0"/>
        <v>-1.2940462715802379</v>
      </c>
      <c r="K63">
        <f t="shared" si="1"/>
        <v>3</v>
      </c>
      <c r="L63" cm="1">
        <f t="array" ref="L63">SUMPRODUCT(N(B63:H63*C63:I63&lt;0))</f>
        <v>3</v>
      </c>
      <c r="O63">
        <v>0.180824974347676</v>
      </c>
      <c r="P63">
        <v>0.86748132821930302</v>
      </c>
      <c r="Q63">
        <v>2.4900412368091701E-3</v>
      </c>
      <c r="R63">
        <v>0.87470119581085204</v>
      </c>
      <c r="S63">
        <v>0.19559633122085501</v>
      </c>
      <c r="T63">
        <v>5.0296076868244E-2</v>
      </c>
      <c r="U63">
        <v>1.35433278970914E-2</v>
      </c>
      <c r="V63">
        <f t="shared" si="2"/>
        <v>0.31213332508583297</v>
      </c>
      <c r="W63">
        <f t="shared" si="3"/>
        <v>17.892993157786602</v>
      </c>
    </row>
    <row r="64" spans="2:23" x14ac:dyDescent="0.45">
      <c r="B64">
        <v>0</v>
      </c>
      <c r="C64">
        <v>1.7779048735907299</v>
      </c>
      <c r="D64">
        <v>-3.5419319594199399</v>
      </c>
      <c r="E64">
        <v>-3.5424998494789097</v>
      </c>
      <c r="F64">
        <v>-3.5419319594199399</v>
      </c>
      <c r="G64">
        <v>5.30610101765987</v>
      </c>
      <c r="H64">
        <v>8.1375317215011904</v>
      </c>
      <c r="I64">
        <v>3.58502343947062</v>
      </c>
      <c r="J64">
        <f t="shared" si="0"/>
        <v>1.0225246604879525</v>
      </c>
      <c r="K64">
        <f t="shared" si="1"/>
        <v>5</v>
      </c>
      <c r="L64" cm="1">
        <f t="array" ref="L64">SUMPRODUCT(N(B64:H64*C64:I64&lt;0))</f>
        <v>2</v>
      </c>
      <c r="O64">
        <v>0.113858267087087</v>
      </c>
      <c r="P64">
        <v>0.83409983905834995</v>
      </c>
      <c r="Q64">
        <v>1.2198255935042801</v>
      </c>
      <c r="R64">
        <v>1.2241124944190001</v>
      </c>
      <c r="S64">
        <v>0.83571430302685001</v>
      </c>
      <c r="T64">
        <v>0.121557089758523</v>
      </c>
      <c r="U64">
        <v>2.7803878566330199E-2</v>
      </c>
      <c r="V64">
        <f t="shared" si="2"/>
        <v>0.62528163791720293</v>
      </c>
      <c r="W64">
        <f t="shared" si="3"/>
        <v>35.84417032646386</v>
      </c>
    </row>
    <row r="65" spans="2:23" x14ac:dyDescent="0.45">
      <c r="B65">
        <v>0</v>
      </c>
      <c r="C65">
        <v>1.7779048735907299</v>
      </c>
      <c r="D65">
        <v>-3.5419319594199399</v>
      </c>
      <c r="E65">
        <v>-3.5424998494789097</v>
      </c>
      <c r="F65">
        <v>-3.5419319594199399</v>
      </c>
      <c r="G65">
        <v>-1.7709659792240702</v>
      </c>
      <c r="H65">
        <v>-3.5423578768831798</v>
      </c>
      <c r="I65">
        <v>-3.90383047256957E-10</v>
      </c>
      <c r="J65">
        <f t="shared" si="0"/>
        <v>-1.7702228439032117</v>
      </c>
      <c r="K65">
        <f t="shared" si="1"/>
        <v>2</v>
      </c>
      <c r="L65" cm="1">
        <f t="array" ref="L65">SUMPRODUCT(N(B65:H65*C65:I65&lt;0))</f>
        <v>1</v>
      </c>
      <c r="O65">
        <v>8.2089220682593805E-2</v>
      </c>
      <c r="P65">
        <v>0.75040243195911804</v>
      </c>
      <c r="Q65">
        <v>0.86511107450773805</v>
      </c>
      <c r="R65">
        <v>4.6997020142479501E-2</v>
      </c>
      <c r="S65">
        <v>0.20363357864422599</v>
      </c>
      <c r="T65">
        <v>0.94625433963234695</v>
      </c>
      <c r="U65">
        <v>0.19634076670300801</v>
      </c>
      <c r="V65">
        <f t="shared" si="2"/>
        <v>0.44154691889593006</v>
      </c>
      <c r="W65">
        <f t="shared" si="3"/>
        <v>25.311606815690258</v>
      </c>
    </row>
    <row r="66" spans="2:23" x14ac:dyDescent="0.45">
      <c r="B66">
        <v>0</v>
      </c>
      <c r="C66">
        <v>1.7779048735907299</v>
      </c>
      <c r="D66">
        <v>-3.5419319594199399</v>
      </c>
      <c r="E66">
        <v>-1.7952521083501103</v>
      </c>
      <c r="F66">
        <v>0</v>
      </c>
      <c r="G66">
        <v>1.27591923898725</v>
      </c>
      <c r="H66">
        <v>-3.5600139522696099</v>
      </c>
      <c r="I66">
        <v>-5.5785320906463394</v>
      </c>
      <c r="J66">
        <f t="shared" si="0"/>
        <v>-1.4277382497635025</v>
      </c>
      <c r="K66">
        <f t="shared" si="1"/>
        <v>4</v>
      </c>
      <c r="L66" cm="1">
        <f t="array" ref="L66">SUMPRODUCT(N(B66:H66*C66:I66&lt;0))</f>
        <v>2</v>
      </c>
      <c r="O66">
        <v>0.14407348342470799</v>
      </c>
      <c r="P66">
        <v>0.71104184088785904</v>
      </c>
      <c r="Q66">
        <v>0.48032554539912498</v>
      </c>
      <c r="R66">
        <v>0.47754672564760797</v>
      </c>
      <c r="S66">
        <v>0.71535603637787204</v>
      </c>
      <c r="T66">
        <v>0.155212952520938</v>
      </c>
      <c r="U66">
        <v>3.7941263872579498E-2</v>
      </c>
      <c r="V66">
        <f t="shared" si="2"/>
        <v>0.38878540687581281</v>
      </c>
      <c r="W66">
        <f t="shared" si="3"/>
        <v>22.287061540651688</v>
      </c>
    </row>
    <row r="67" spans="2:23" x14ac:dyDescent="0.45">
      <c r="B67">
        <v>0</v>
      </c>
      <c r="C67">
        <v>1.7779048735907299</v>
      </c>
      <c r="D67">
        <v>-3.5419319594199399</v>
      </c>
      <c r="E67">
        <v>5.30610101765987</v>
      </c>
      <c r="F67">
        <v>8.1375317215011904</v>
      </c>
      <c r="G67">
        <v>3.58502343947062</v>
      </c>
      <c r="H67">
        <v>-6.8600426697856802</v>
      </c>
      <c r="I67">
        <v>-7.8640927305722297</v>
      </c>
      <c r="J67">
        <f t="shared" ref="J67:J101" si="4">AVERAGE(B67:I67)</f>
        <v>6.7561711555570225E-2</v>
      </c>
      <c r="K67">
        <f t="shared" ref="K67:K101" si="5">COUNTIF(B67:I67,"&gt;=0")</f>
        <v>5</v>
      </c>
      <c r="L67" cm="1">
        <f t="array" ref="L67">SUMPRODUCT(N(B67:H67*C67:I67&lt;0))</f>
        <v>3</v>
      </c>
      <c r="O67">
        <v>0.128235514785039</v>
      </c>
      <c r="P67">
        <v>0.63241174540204503</v>
      </c>
      <c r="Q67">
        <v>0.63873276949435098</v>
      </c>
      <c r="R67">
        <v>0.139908224311698</v>
      </c>
      <c r="S67">
        <v>3.78602506643229E-2</v>
      </c>
      <c r="T67">
        <v>1.1243549035521201E-2</v>
      </c>
      <c r="U67">
        <v>3.1671690761064298E-3</v>
      </c>
      <c r="V67">
        <f t="shared" ref="V67:V101" si="6">AVERAGE(O67:U67)</f>
        <v>0.2273656032527262</v>
      </c>
      <c r="W67">
        <f t="shared" ref="W67:W101" si="7">V67*360/(3.14*2)</f>
        <v>13.033697001748635</v>
      </c>
    </row>
    <row r="68" spans="2:23" x14ac:dyDescent="0.45">
      <c r="B68">
        <v>0</v>
      </c>
      <c r="C68">
        <v>1.7779048735907299</v>
      </c>
      <c r="D68">
        <v>-3.5419319594199399</v>
      </c>
      <c r="E68">
        <v>-1.7952521083501103</v>
      </c>
      <c r="F68">
        <v>0</v>
      </c>
      <c r="G68">
        <v>1.27591923898725</v>
      </c>
      <c r="H68">
        <v>-3.5600139522696099</v>
      </c>
      <c r="I68">
        <v>-5.5785320906463394</v>
      </c>
      <c r="J68">
        <f t="shared" si="4"/>
        <v>-1.4277382497635025</v>
      </c>
      <c r="K68">
        <f t="shared" si="5"/>
        <v>4</v>
      </c>
      <c r="L68" cm="1">
        <f t="array" ref="L68">SUMPRODUCT(N(B68:H68*C68:I68&lt;0))</f>
        <v>2</v>
      </c>
      <c r="O68">
        <v>0.14407348342470799</v>
      </c>
      <c r="P68">
        <v>0.71104184088785904</v>
      </c>
      <c r="Q68">
        <v>0.48032554539912498</v>
      </c>
      <c r="R68">
        <v>0.47754672564760797</v>
      </c>
      <c r="S68">
        <v>0.71535603637787204</v>
      </c>
      <c r="T68">
        <v>0.155212952520938</v>
      </c>
      <c r="U68">
        <v>3.7941263872579498E-2</v>
      </c>
      <c r="V68">
        <f t="shared" si="6"/>
        <v>0.38878540687581281</v>
      </c>
      <c r="W68">
        <f t="shared" si="7"/>
        <v>22.287061540651688</v>
      </c>
    </row>
    <row r="69" spans="2:23" x14ac:dyDescent="0.45">
      <c r="B69">
        <v>0</v>
      </c>
      <c r="C69">
        <v>1.7779048735907299</v>
      </c>
      <c r="D69">
        <v>-3.5419319594199399</v>
      </c>
      <c r="E69">
        <v>5.30610101765987</v>
      </c>
      <c r="F69">
        <v>8.1375317215011904</v>
      </c>
      <c r="G69">
        <v>3.58502343947062</v>
      </c>
      <c r="H69">
        <v>-6.8600426697856802</v>
      </c>
      <c r="I69">
        <v>-7.8640927305722297</v>
      </c>
      <c r="J69">
        <f t="shared" si="4"/>
        <v>6.7561711555570225E-2</v>
      </c>
      <c r="K69">
        <f t="shared" si="5"/>
        <v>5</v>
      </c>
      <c r="L69" cm="1">
        <f t="array" ref="L69">SUMPRODUCT(N(B69:H69*C69:I69&lt;0))</f>
        <v>3</v>
      </c>
      <c r="O69">
        <v>0.128235514785039</v>
      </c>
      <c r="P69">
        <v>0.63241174540204503</v>
      </c>
      <c r="Q69">
        <v>0.63873276949435098</v>
      </c>
      <c r="R69">
        <v>0.139908224311698</v>
      </c>
      <c r="S69">
        <v>3.78602506643229E-2</v>
      </c>
      <c r="T69">
        <v>1.1243549035521201E-2</v>
      </c>
      <c r="U69">
        <v>3.1671690761064298E-3</v>
      </c>
      <c r="V69">
        <f t="shared" si="6"/>
        <v>0.2273656032527262</v>
      </c>
      <c r="W69">
        <f t="shared" si="7"/>
        <v>13.033697001748635</v>
      </c>
    </row>
    <row r="70" spans="2:23" x14ac:dyDescent="0.45">
      <c r="B70">
        <v>0</v>
      </c>
      <c r="C70">
        <v>1.7779048735907299</v>
      </c>
      <c r="D70">
        <v>-3.5419319594199399</v>
      </c>
      <c r="E70">
        <v>5.30610101765987</v>
      </c>
      <c r="F70">
        <v>8.1375317215011904</v>
      </c>
      <c r="G70">
        <v>3.58502343947062</v>
      </c>
      <c r="H70">
        <v>-6.8600426697856802</v>
      </c>
      <c r="I70">
        <v>-7.8640927305722297</v>
      </c>
      <c r="J70">
        <f t="shared" si="4"/>
        <v>6.7561711555570225E-2</v>
      </c>
      <c r="K70">
        <f t="shared" si="5"/>
        <v>5</v>
      </c>
      <c r="L70" cm="1">
        <f t="array" ref="L70">SUMPRODUCT(N(B70:H70*C70:I70&lt;0))</f>
        <v>3</v>
      </c>
      <c r="O70">
        <v>0.128235514785039</v>
      </c>
      <c r="P70">
        <v>0.63241174540204503</v>
      </c>
      <c r="Q70">
        <v>0.63873276949435098</v>
      </c>
      <c r="R70">
        <v>0.139908224311698</v>
      </c>
      <c r="S70">
        <v>3.78602506643229E-2</v>
      </c>
      <c r="T70">
        <v>1.1243549035521201E-2</v>
      </c>
      <c r="U70">
        <v>3.1671690761064298E-3</v>
      </c>
      <c r="V70">
        <f t="shared" si="6"/>
        <v>0.2273656032527262</v>
      </c>
      <c r="W70">
        <f t="shared" si="7"/>
        <v>13.033697001748635</v>
      </c>
    </row>
    <row r="71" spans="2:23" x14ac:dyDescent="0.45">
      <c r="B71">
        <v>0</v>
      </c>
      <c r="C71">
        <v>1.7779048735907299</v>
      </c>
      <c r="D71">
        <v>-3.5419319594199399</v>
      </c>
      <c r="E71">
        <v>-1.7952521083501103</v>
      </c>
      <c r="F71">
        <v>0</v>
      </c>
      <c r="G71">
        <v>1.27591923898725</v>
      </c>
      <c r="H71">
        <v>-3.5600139522696099</v>
      </c>
      <c r="I71">
        <v>-5.5785320906463394</v>
      </c>
      <c r="J71">
        <f t="shared" si="4"/>
        <v>-1.4277382497635025</v>
      </c>
      <c r="K71">
        <f t="shared" si="5"/>
        <v>4</v>
      </c>
      <c r="L71" cm="1">
        <f t="array" ref="L71">SUMPRODUCT(N(B71:H71*C71:I71&lt;0))</f>
        <v>2</v>
      </c>
      <c r="O71">
        <v>0.14407348342470799</v>
      </c>
      <c r="P71">
        <v>0.71104184088785904</v>
      </c>
      <c r="Q71">
        <v>0.48032554539912498</v>
      </c>
      <c r="R71">
        <v>0.47754672564760797</v>
      </c>
      <c r="S71">
        <v>0.71535603637787204</v>
      </c>
      <c r="T71">
        <v>0.155212952520938</v>
      </c>
      <c r="U71">
        <v>3.7941263872579498E-2</v>
      </c>
      <c r="V71">
        <f t="shared" si="6"/>
        <v>0.38878540687581281</v>
      </c>
      <c r="W71">
        <f t="shared" si="7"/>
        <v>22.287061540651688</v>
      </c>
    </row>
    <row r="72" spans="2:23" x14ac:dyDescent="0.45">
      <c r="B72">
        <v>0</v>
      </c>
      <c r="C72">
        <v>1.7779048735907299</v>
      </c>
      <c r="D72">
        <v>-3.5419319594199399</v>
      </c>
      <c r="E72">
        <v>5.30610101765987</v>
      </c>
      <c r="F72">
        <v>8.1375317215011904</v>
      </c>
      <c r="G72">
        <v>3.58502343947062</v>
      </c>
      <c r="H72">
        <v>-6.8600426697856802</v>
      </c>
      <c r="I72">
        <v>-7.8640927305722297</v>
      </c>
      <c r="J72">
        <f t="shared" si="4"/>
        <v>6.7561711555570225E-2</v>
      </c>
      <c r="K72">
        <f t="shared" si="5"/>
        <v>5</v>
      </c>
      <c r="L72" cm="1">
        <f t="array" ref="L72">SUMPRODUCT(N(B72:H72*C72:I72&lt;0))</f>
        <v>3</v>
      </c>
      <c r="O72">
        <v>0.128235514785039</v>
      </c>
      <c r="P72">
        <v>0.63241174540204503</v>
      </c>
      <c r="Q72">
        <v>0.63873276949435098</v>
      </c>
      <c r="R72">
        <v>0.139908224311698</v>
      </c>
      <c r="S72">
        <v>3.78602506643229E-2</v>
      </c>
      <c r="T72">
        <v>1.1243549035521201E-2</v>
      </c>
      <c r="U72">
        <v>3.1671690761064298E-3</v>
      </c>
      <c r="V72">
        <f t="shared" si="6"/>
        <v>0.2273656032527262</v>
      </c>
      <c r="W72">
        <f t="shared" si="7"/>
        <v>13.033697001748635</v>
      </c>
    </row>
    <row r="73" spans="2:23" x14ac:dyDescent="0.45">
      <c r="B73">
        <v>0</v>
      </c>
      <c r="C73">
        <v>1.7779048735907299</v>
      </c>
      <c r="D73">
        <v>-3.5419319594199399</v>
      </c>
      <c r="E73">
        <v>-1.7952521083501103</v>
      </c>
      <c r="F73">
        <v>0</v>
      </c>
      <c r="G73">
        <v>1.27591923898725</v>
      </c>
      <c r="H73">
        <v>-3.5600139522696099</v>
      </c>
      <c r="I73">
        <v>-5.5785320906463394</v>
      </c>
      <c r="J73">
        <f t="shared" si="4"/>
        <v>-1.4277382497635025</v>
      </c>
      <c r="K73">
        <f t="shared" si="5"/>
        <v>4</v>
      </c>
      <c r="L73" cm="1">
        <f t="array" ref="L73">SUMPRODUCT(N(B73:H73*C73:I73&lt;0))</f>
        <v>2</v>
      </c>
      <c r="O73">
        <v>0.14407348342470799</v>
      </c>
      <c r="P73">
        <v>0.71104184088785904</v>
      </c>
      <c r="Q73">
        <v>0.48032554539912498</v>
      </c>
      <c r="R73">
        <v>0.47754672564760797</v>
      </c>
      <c r="S73">
        <v>0.71535603637787204</v>
      </c>
      <c r="T73">
        <v>0.155212952520938</v>
      </c>
      <c r="U73">
        <v>3.7941263872579498E-2</v>
      </c>
      <c r="V73">
        <f t="shared" si="6"/>
        <v>0.38878540687581281</v>
      </c>
      <c r="W73">
        <f t="shared" si="7"/>
        <v>22.287061540651688</v>
      </c>
    </row>
    <row r="74" spans="2:23" x14ac:dyDescent="0.45">
      <c r="B74">
        <v>0</v>
      </c>
      <c r="C74">
        <v>1.7779048735907299</v>
      </c>
      <c r="D74">
        <v>-3.5419319594199399</v>
      </c>
      <c r="E74">
        <v>-1.7952521083501103</v>
      </c>
      <c r="F74">
        <v>0</v>
      </c>
      <c r="G74">
        <v>1.27591923898725</v>
      </c>
      <c r="H74">
        <v>-3.5600139522696099</v>
      </c>
      <c r="I74">
        <v>-5.5785320906463394</v>
      </c>
      <c r="J74">
        <f t="shared" si="4"/>
        <v>-1.4277382497635025</v>
      </c>
      <c r="K74">
        <f t="shared" si="5"/>
        <v>4</v>
      </c>
      <c r="L74" cm="1">
        <f t="array" ref="L74">SUMPRODUCT(N(B74:H74*C74:I74&lt;0))</f>
        <v>2</v>
      </c>
      <c r="O74">
        <v>0.14407348342470799</v>
      </c>
      <c r="P74">
        <v>0.71104184088785904</v>
      </c>
      <c r="Q74">
        <v>0.48032554539912498</v>
      </c>
      <c r="R74">
        <v>0.47754672564760797</v>
      </c>
      <c r="S74">
        <v>0.71535603637787204</v>
      </c>
      <c r="T74">
        <v>0.155212952520938</v>
      </c>
      <c r="U74">
        <v>3.7941263872579498E-2</v>
      </c>
      <c r="V74">
        <f t="shared" si="6"/>
        <v>0.38878540687581281</v>
      </c>
      <c r="W74">
        <f t="shared" si="7"/>
        <v>22.287061540651688</v>
      </c>
    </row>
    <row r="75" spans="2:23" x14ac:dyDescent="0.45">
      <c r="B75">
        <v>0</v>
      </c>
      <c r="C75">
        <v>1.7779048735907299</v>
      </c>
      <c r="D75">
        <v>-3.5419319594199399</v>
      </c>
      <c r="E75">
        <v>5.30610101765987</v>
      </c>
      <c r="F75">
        <v>8.1375317215011904</v>
      </c>
      <c r="G75">
        <v>3.58502343947062</v>
      </c>
      <c r="H75">
        <v>-6.8600426697856802</v>
      </c>
      <c r="I75">
        <v>-7.8640927305722297</v>
      </c>
      <c r="J75">
        <f t="shared" si="4"/>
        <v>6.7561711555570225E-2</v>
      </c>
      <c r="K75">
        <f t="shared" si="5"/>
        <v>5</v>
      </c>
      <c r="L75" cm="1">
        <f t="array" ref="L75">SUMPRODUCT(N(B75:H75*C75:I75&lt;0))</f>
        <v>3</v>
      </c>
      <c r="O75">
        <v>0.128235514785039</v>
      </c>
      <c r="P75">
        <v>0.63241174540204503</v>
      </c>
      <c r="Q75">
        <v>0.63873276949435098</v>
      </c>
      <c r="R75">
        <v>0.139908224311698</v>
      </c>
      <c r="S75">
        <v>3.78602506643229E-2</v>
      </c>
      <c r="T75">
        <v>1.1243549035521201E-2</v>
      </c>
      <c r="U75">
        <v>3.1671690761064298E-3</v>
      </c>
      <c r="V75">
        <f t="shared" si="6"/>
        <v>0.2273656032527262</v>
      </c>
      <c r="W75">
        <f t="shared" si="7"/>
        <v>13.033697001748635</v>
      </c>
    </row>
    <row r="76" spans="2:23" x14ac:dyDescent="0.45">
      <c r="B76">
        <v>0</v>
      </c>
      <c r="C76">
        <v>1.7779048735907299</v>
      </c>
      <c r="D76">
        <v>-3.5419319594199399</v>
      </c>
      <c r="E76">
        <v>5.30610101765987</v>
      </c>
      <c r="F76">
        <v>8.1375317215011904</v>
      </c>
      <c r="G76">
        <v>3.58502343947062</v>
      </c>
      <c r="H76">
        <v>-6.8600426697856802</v>
      </c>
      <c r="I76">
        <v>-7.8640927305722297</v>
      </c>
      <c r="J76">
        <f t="shared" si="4"/>
        <v>6.7561711555570225E-2</v>
      </c>
      <c r="K76">
        <f t="shared" si="5"/>
        <v>5</v>
      </c>
      <c r="L76" cm="1">
        <f t="array" ref="L76">SUMPRODUCT(N(B76:H76*C76:I76&lt;0))</f>
        <v>3</v>
      </c>
      <c r="O76">
        <v>0.128235514785039</v>
      </c>
      <c r="P76">
        <v>0.63241174540204503</v>
      </c>
      <c r="Q76">
        <v>0.63873276949435098</v>
      </c>
      <c r="R76">
        <v>0.139908224311698</v>
      </c>
      <c r="S76">
        <v>3.78602506643229E-2</v>
      </c>
      <c r="T76">
        <v>1.1243549035521201E-2</v>
      </c>
      <c r="U76">
        <v>3.1671690761064298E-3</v>
      </c>
      <c r="V76">
        <f t="shared" si="6"/>
        <v>0.2273656032527262</v>
      </c>
      <c r="W76">
        <f t="shared" si="7"/>
        <v>13.033697001748635</v>
      </c>
    </row>
    <row r="77" spans="2:23" x14ac:dyDescent="0.45">
      <c r="B77">
        <v>0</v>
      </c>
      <c r="C77">
        <v>1.7779048735907299</v>
      </c>
      <c r="D77">
        <v>-3.5419319594199399</v>
      </c>
      <c r="E77">
        <v>-1.7709659792240702</v>
      </c>
      <c r="F77">
        <v>1.7952521083501201</v>
      </c>
      <c r="G77">
        <v>0</v>
      </c>
      <c r="H77">
        <v>1.27591923898725</v>
      </c>
      <c r="I77">
        <v>-3.5600139522696099</v>
      </c>
      <c r="J77">
        <f t="shared" si="4"/>
        <v>-0.50297945874818994</v>
      </c>
      <c r="K77">
        <f t="shared" si="5"/>
        <v>5</v>
      </c>
      <c r="L77" cm="1">
        <f t="array" ref="L77">SUMPRODUCT(N(B77:H77*C77:I77&lt;0))</f>
        <v>3</v>
      </c>
      <c r="O77">
        <v>9.3617140350784694E-2</v>
      </c>
      <c r="P77">
        <v>0.71757999029508901</v>
      </c>
      <c r="Q77">
        <v>1.27923282985392</v>
      </c>
      <c r="R77">
        <v>0.58257170079957898</v>
      </c>
      <c r="S77">
        <v>0.52017872261321796</v>
      </c>
      <c r="T77">
        <v>0.72075042580772697</v>
      </c>
      <c r="U77">
        <v>0.14138991012315699</v>
      </c>
      <c r="V77">
        <f t="shared" si="6"/>
        <v>0.57933153140621063</v>
      </c>
      <c r="W77">
        <f t="shared" si="7"/>
        <v>33.210087787617169</v>
      </c>
    </row>
    <row r="78" spans="2:23" x14ac:dyDescent="0.45">
      <c r="B78">
        <v>0</v>
      </c>
      <c r="C78">
        <v>1.7779048735907299</v>
      </c>
      <c r="D78">
        <v>-3.5419319594199399</v>
      </c>
      <c r="E78">
        <v>5.30610101765987</v>
      </c>
      <c r="F78">
        <v>8.1375317215011904</v>
      </c>
      <c r="G78">
        <v>3.58502343947062</v>
      </c>
      <c r="H78">
        <v>-6.8600426697856802</v>
      </c>
      <c r="I78">
        <v>-7.8640927305722297</v>
      </c>
      <c r="J78">
        <f t="shared" si="4"/>
        <v>6.7561711555570225E-2</v>
      </c>
      <c r="K78">
        <f t="shared" si="5"/>
        <v>5</v>
      </c>
      <c r="L78" cm="1">
        <f t="array" ref="L78">SUMPRODUCT(N(B78:H78*C78:I78&lt;0))</f>
        <v>3</v>
      </c>
      <c r="O78">
        <v>0.128235514785039</v>
      </c>
      <c r="P78">
        <v>0.63241174540204503</v>
      </c>
      <c r="Q78">
        <v>0.63873276949435098</v>
      </c>
      <c r="R78">
        <v>0.139908224311698</v>
      </c>
      <c r="S78">
        <v>3.78602506643229E-2</v>
      </c>
      <c r="T78">
        <v>1.1243549035521201E-2</v>
      </c>
      <c r="U78">
        <v>3.1671690761064298E-3</v>
      </c>
      <c r="V78">
        <f t="shared" si="6"/>
        <v>0.2273656032527262</v>
      </c>
      <c r="W78">
        <f t="shared" si="7"/>
        <v>13.033697001748635</v>
      </c>
    </row>
    <row r="79" spans="2:23" x14ac:dyDescent="0.45">
      <c r="B79">
        <v>0</v>
      </c>
      <c r="C79">
        <v>1.7779048735907299</v>
      </c>
      <c r="D79">
        <v>-3.5419319594199399</v>
      </c>
      <c r="E79">
        <v>-1.7709659792240702</v>
      </c>
      <c r="F79">
        <v>-3.5424998494789097</v>
      </c>
      <c r="G79">
        <v>-1.7709659792240702</v>
      </c>
      <c r="H79">
        <v>-3.5424998494789097</v>
      </c>
      <c r="I79">
        <v>-1.7709659792240702</v>
      </c>
      <c r="J79">
        <f t="shared" si="4"/>
        <v>-1.770240590307405</v>
      </c>
      <c r="K79">
        <f t="shared" si="5"/>
        <v>2</v>
      </c>
      <c r="L79" cm="1">
        <f t="array" ref="L79">SUMPRODUCT(N(B79:H79*C79:I79&lt;0))</f>
        <v>1</v>
      </c>
      <c r="O79">
        <v>0.17741400001324001</v>
      </c>
      <c r="P79">
        <v>0.94997660253995897</v>
      </c>
      <c r="Q79">
        <v>0.21734930553064</v>
      </c>
      <c r="R79">
        <v>0.24111682949757299</v>
      </c>
      <c r="S79">
        <v>0.145645226768189</v>
      </c>
      <c r="T79">
        <v>4.2291487751528897E-2</v>
      </c>
      <c r="U79">
        <v>2.7238577880464598E-3</v>
      </c>
      <c r="V79">
        <f t="shared" si="6"/>
        <v>0.25378818712702517</v>
      </c>
      <c r="W79">
        <f t="shared" si="7"/>
        <v>14.548367414925009</v>
      </c>
    </row>
    <row r="80" spans="2:23" x14ac:dyDescent="0.45">
      <c r="B80">
        <v>0</v>
      </c>
      <c r="C80">
        <v>1.7779048735907299</v>
      </c>
      <c r="D80">
        <v>-3.5419319594199399</v>
      </c>
      <c r="E80">
        <v>5.30610101765987</v>
      </c>
      <c r="F80">
        <v>8.1375317215011904</v>
      </c>
      <c r="G80">
        <v>3.58502343947062</v>
      </c>
      <c r="H80">
        <v>-6.8600426697856802</v>
      </c>
      <c r="I80">
        <v>-7.8640927305722297</v>
      </c>
      <c r="J80">
        <f t="shared" si="4"/>
        <v>6.7561711555570225E-2</v>
      </c>
      <c r="K80">
        <f t="shared" si="5"/>
        <v>5</v>
      </c>
      <c r="L80" cm="1">
        <f t="array" ref="L80">SUMPRODUCT(N(B80:H80*C80:I80&lt;0))</f>
        <v>3</v>
      </c>
      <c r="O80">
        <v>0.128235514785039</v>
      </c>
      <c r="P80">
        <v>0.63241174540204503</v>
      </c>
      <c r="Q80">
        <v>0.63873276949435098</v>
      </c>
      <c r="R80">
        <v>0.139908224311698</v>
      </c>
      <c r="S80">
        <v>3.78602506643229E-2</v>
      </c>
      <c r="T80">
        <v>1.1243549035521201E-2</v>
      </c>
      <c r="U80">
        <v>3.1671690761064298E-3</v>
      </c>
      <c r="V80">
        <f t="shared" si="6"/>
        <v>0.2273656032527262</v>
      </c>
      <c r="W80">
        <f t="shared" si="7"/>
        <v>13.033697001748635</v>
      </c>
    </row>
    <row r="81" spans="2:23" x14ac:dyDescent="0.45">
      <c r="B81">
        <v>0</v>
      </c>
      <c r="C81">
        <v>1.7779048735907299</v>
      </c>
      <c r="D81">
        <v>-3.5419319594199399</v>
      </c>
      <c r="E81">
        <v>-1.7709659792240702</v>
      </c>
      <c r="F81">
        <v>-3.5423578768831798</v>
      </c>
      <c r="G81">
        <v>-3.90383047256957E-10</v>
      </c>
      <c r="H81">
        <v>3.58502343947062</v>
      </c>
      <c r="I81">
        <v>-6.8600426697856802</v>
      </c>
      <c r="J81">
        <f t="shared" si="4"/>
        <v>-1.2940462715802379</v>
      </c>
      <c r="K81">
        <f t="shared" si="5"/>
        <v>3</v>
      </c>
      <c r="L81" cm="1">
        <f t="array" ref="L81">SUMPRODUCT(N(B81:H81*C81:I81&lt;0))</f>
        <v>3</v>
      </c>
      <c r="O81">
        <v>0.180824974347676</v>
      </c>
      <c r="P81">
        <v>0.86748132821930302</v>
      </c>
      <c r="Q81">
        <v>2.4900412368091701E-3</v>
      </c>
      <c r="R81">
        <v>0.87470119581085204</v>
      </c>
      <c r="S81">
        <v>0.19559633122085501</v>
      </c>
      <c r="T81">
        <v>5.0296076868244E-2</v>
      </c>
      <c r="U81">
        <v>1.35433278970914E-2</v>
      </c>
      <c r="V81">
        <f t="shared" si="6"/>
        <v>0.31213332508583297</v>
      </c>
      <c r="W81">
        <f t="shared" si="7"/>
        <v>17.892993157786602</v>
      </c>
    </row>
    <row r="82" spans="2:23" x14ac:dyDescent="0.45">
      <c r="B82">
        <v>0</v>
      </c>
      <c r="C82">
        <v>1.7779048735907299</v>
      </c>
      <c r="D82">
        <v>-3.5419319594199399</v>
      </c>
      <c r="E82">
        <v>5.30610101765987</v>
      </c>
      <c r="F82">
        <v>8.1375317215011904</v>
      </c>
      <c r="G82">
        <v>3.58502343947062</v>
      </c>
      <c r="H82">
        <v>-6.8600426697856802</v>
      </c>
      <c r="I82">
        <v>-7.8640927305722297</v>
      </c>
      <c r="J82">
        <f t="shared" si="4"/>
        <v>6.7561711555570225E-2</v>
      </c>
      <c r="K82">
        <f t="shared" si="5"/>
        <v>5</v>
      </c>
      <c r="L82" cm="1">
        <f t="array" ref="L82">SUMPRODUCT(N(B82:H82*C82:I82&lt;0))</f>
        <v>3</v>
      </c>
      <c r="O82">
        <v>0.128235514785039</v>
      </c>
      <c r="P82">
        <v>0.63241174540204503</v>
      </c>
      <c r="Q82">
        <v>0.63873276949435098</v>
      </c>
      <c r="R82">
        <v>0.139908224311698</v>
      </c>
      <c r="S82">
        <v>3.78602506643229E-2</v>
      </c>
      <c r="T82">
        <v>1.1243549035521201E-2</v>
      </c>
      <c r="U82">
        <v>3.1671690761064298E-3</v>
      </c>
      <c r="V82">
        <f t="shared" si="6"/>
        <v>0.2273656032527262</v>
      </c>
      <c r="W82">
        <f t="shared" si="7"/>
        <v>13.033697001748635</v>
      </c>
    </row>
    <row r="83" spans="2:23" x14ac:dyDescent="0.45">
      <c r="B83">
        <v>0</v>
      </c>
      <c r="C83">
        <v>1.7779048735907299</v>
      </c>
      <c r="D83">
        <v>-3.5419319594199399</v>
      </c>
      <c r="E83">
        <v>-1.7952521083501103</v>
      </c>
      <c r="F83">
        <v>0</v>
      </c>
      <c r="G83">
        <v>1.27591923898725</v>
      </c>
      <c r="H83">
        <v>-3.5600139522696099</v>
      </c>
      <c r="I83">
        <v>-5.5785320906463394</v>
      </c>
      <c r="J83">
        <f t="shared" si="4"/>
        <v>-1.4277382497635025</v>
      </c>
      <c r="K83">
        <f t="shared" si="5"/>
        <v>4</v>
      </c>
      <c r="L83" cm="1">
        <f t="array" ref="L83">SUMPRODUCT(N(B83:H83*C83:I83&lt;0))</f>
        <v>2</v>
      </c>
      <c r="O83">
        <v>0.14407348342470799</v>
      </c>
      <c r="P83">
        <v>0.71104184088785904</v>
      </c>
      <c r="Q83">
        <v>0.48032554539912498</v>
      </c>
      <c r="R83">
        <v>0.47754672564760797</v>
      </c>
      <c r="S83">
        <v>0.71535603637787204</v>
      </c>
      <c r="T83">
        <v>0.155212952520938</v>
      </c>
      <c r="U83">
        <v>3.7941263872579498E-2</v>
      </c>
      <c r="V83">
        <f t="shared" si="6"/>
        <v>0.38878540687581281</v>
      </c>
      <c r="W83">
        <f t="shared" si="7"/>
        <v>22.287061540651688</v>
      </c>
    </row>
    <row r="84" spans="2:23" x14ac:dyDescent="0.45">
      <c r="B84">
        <v>0</v>
      </c>
      <c r="C84">
        <v>1.7779048735907299</v>
      </c>
      <c r="D84">
        <v>-3.5419319594199399</v>
      </c>
      <c r="E84">
        <v>-1.7709659792240702</v>
      </c>
      <c r="F84">
        <v>1.7952521083501201</v>
      </c>
      <c r="G84">
        <v>0</v>
      </c>
      <c r="H84">
        <v>1.27591923898725</v>
      </c>
      <c r="I84">
        <v>-3.5600139522696099</v>
      </c>
      <c r="J84">
        <f t="shared" si="4"/>
        <v>-0.50297945874818994</v>
      </c>
      <c r="K84">
        <f t="shared" si="5"/>
        <v>5</v>
      </c>
      <c r="L84" cm="1">
        <f t="array" ref="L84">SUMPRODUCT(N(B84:H84*C84:I84&lt;0))</f>
        <v>3</v>
      </c>
      <c r="O84">
        <v>9.3617140350784694E-2</v>
      </c>
      <c r="P84">
        <v>0.71757999029508901</v>
      </c>
      <c r="Q84">
        <v>1.27923282985392</v>
      </c>
      <c r="R84">
        <v>0.58257170079957898</v>
      </c>
      <c r="S84">
        <v>0.52017872261321796</v>
      </c>
      <c r="T84">
        <v>0.72075042580772697</v>
      </c>
      <c r="U84">
        <v>0.14138991012315699</v>
      </c>
      <c r="V84">
        <f t="shared" si="6"/>
        <v>0.57933153140621063</v>
      </c>
      <c r="W84">
        <f t="shared" si="7"/>
        <v>33.210087787617169</v>
      </c>
    </row>
    <row r="85" spans="2:23" x14ac:dyDescent="0.45">
      <c r="B85">
        <v>0</v>
      </c>
      <c r="C85">
        <v>1.7779048735907299</v>
      </c>
      <c r="D85">
        <v>-3.5419319594199399</v>
      </c>
      <c r="E85">
        <v>5.30610101765987</v>
      </c>
      <c r="F85">
        <v>8.1375317215011904</v>
      </c>
      <c r="G85">
        <v>3.58502343947062</v>
      </c>
      <c r="H85">
        <v>-6.8600426697856802</v>
      </c>
      <c r="I85">
        <v>-7.8640927305722297</v>
      </c>
      <c r="J85">
        <f t="shared" si="4"/>
        <v>6.7561711555570225E-2</v>
      </c>
      <c r="K85">
        <f t="shared" si="5"/>
        <v>5</v>
      </c>
      <c r="L85" cm="1">
        <f t="array" ref="L85">SUMPRODUCT(N(B85:H85*C85:I85&lt;0))</f>
        <v>3</v>
      </c>
      <c r="O85">
        <v>0.128235514785039</v>
      </c>
      <c r="P85">
        <v>0.63241174540204503</v>
      </c>
      <c r="Q85">
        <v>0.63873276949435098</v>
      </c>
      <c r="R85">
        <v>0.139908224311698</v>
      </c>
      <c r="S85">
        <v>3.78602506643229E-2</v>
      </c>
      <c r="T85">
        <v>1.1243549035521201E-2</v>
      </c>
      <c r="U85">
        <v>3.1671690761064298E-3</v>
      </c>
      <c r="V85">
        <f t="shared" si="6"/>
        <v>0.2273656032527262</v>
      </c>
      <c r="W85">
        <f t="shared" si="7"/>
        <v>13.033697001748635</v>
      </c>
    </row>
    <row r="86" spans="2:23" x14ac:dyDescent="0.45">
      <c r="B86">
        <v>0</v>
      </c>
      <c r="C86">
        <v>1.7779048735907299</v>
      </c>
      <c r="D86">
        <v>-3.5419319594199399</v>
      </c>
      <c r="E86">
        <v>5.30610101765987</v>
      </c>
      <c r="F86">
        <v>8.1375317215011904</v>
      </c>
      <c r="G86">
        <v>3.58502343947062</v>
      </c>
      <c r="H86">
        <v>-6.8600426697856802</v>
      </c>
      <c r="I86">
        <v>-7.8640927305722297</v>
      </c>
      <c r="J86">
        <f t="shared" si="4"/>
        <v>6.7561711555570225E-2</v>
      </c>
      <c r="K86">
        <f t="shared" si="5"/>
        <v>5</v>
      </c>
      <c r="L86" cm="1">
        <f t="array" ref="L86">SUMPRODUCT(N(B86:H86*C86:I86&lt;0))</f>
        <v>3</v>
      </c>
      <c r="O86">
        <v>0.128235514785039</v>
      </c>
      <c r="P86">
        <v>0.63241174540204503</v>
      </c>
      <c r="Q86">
        <v>0.63873276949435098</v>
      </c>
      <c r="R86">
        <v>0.139908224311698</v>
      </c>
      <c r="S86">
        <v>3.78602506643229E-2</v>
      </c>
      <c r="T86">
        <v>1.1243549035521201E-2</v>
      </c>
      <c r="U86">
        <v>3.1671690761064298E-3</v>
      </c>
      <c r="V86">
        <f t="shared" si="6"/>
        <v>0.2273656032527262</v>
      </c>
      <c r="W86">
        <f t="shared" si="7"/>
        <v>13.033697001748635</v>
      </c>
    </row>
    <row r="87" spans="2:23" x14ac:dyDescent="0.45">
      <c r="B87">
        <v>0</v>
      </c>
      <c r="C87">
        <v>1.7779048735907299</v>
      </c>
      <c r="D87">
        <v>-3.5419319594199399</v>
      </c>
      <c r="E87">
        <v>-3.5424998494789097</v>
      </c>
      <c r="F87">
        <v>-3.5419319594199399</v>
      </c>
      <c r="G87">
        <v>-3.5424998494789097</v>
      </c>
      <c r="H87">
        <v>-3.5419319594199399</v>
      </c>
      <c r="I87">
        <v>5.30610101765987</v>
      </c>
      <c r="J87">
        <f t="shared" si="4"/>
        <v>-1.32834871074588</v>
      </c>
      <c r="K87">
        <f t="shared" si="5"/>
        <v>3</v>
      </c>
      <c r="L87" cm="1">
        <f t="array" ref="L87">SUMPRODUCT(N(B87:H87*C87:I87&lt;0))</f>
        <v>2</v>
      </c>
      <c r="O87">
        <v>0.11223265896194801</v>
      </c>
      <c r="P87">
        <v>0.86345898439875302</v>
      </c>
      <c r="Q87">
        <v>0.87762329281651996</v>
      </c>
      <c r="R87">
        <v>0.48769855545719998</v>
      </c>
      <c r="S87">
        <v>0.46838957977971402</v>
      </c>
      <c r="T87">
        <v>0.80750385413083903</v>
      </c>
      <c r="U87">
        <v>0.84880671119318096</v>
      </c>
      <c r="V87">
        <f t="shared" si="6"/>
        <v>0.63795909096259351</v>
      </c>
      <c r="W87">
        <f t="shared" si="7"/>
        <v>36.57090330358816</v>
      </c>
    </row>
    <row r="88" spans="2:23" x14ac:dyDescent="0.45">
      <c r="B88">
        <v>0</v>
      </c>
      <c r="C88">
        <v>1.7779048735907299</v>
      </c>
      <c r="D88">
        <v>-3.5419319594199399</v>
      </c>
      <c r="E88">
        <v>5.30610101765987</v>
      </c>
      <c r="F88">
        <v>8.1375317215011904</v>
      </c>
      <c r="G88">
        <v>3.58502343947062</v>
      </c>
      <c r="H88">
        <v>-6.8600426697856802</v>
      </c>
      <c r="I88">
        <v>-7.8640927305722297</v>
      </c>
      <c r="J88">
        <f t="shared" si="4"/>
        <v>6.7561711555570225E-2</v>
      </c>
      <c r="K88">
        <f t="shared" si="5"/>
        <v>5</v>
      </c>
      <c r="L88" cm="1">
        <f t="array" ref="L88">SUMPRODUCT(N(B88:H88*C88:I88&lt;0))</f>
        <v>3</v>
      </c>
      <c r="O88">
        <v>0.128235514785039</v>
      </c>
      <c r="P88">
        <v>0.63241174540204503</v>
      </c>
      <c r="Q88">
        <v>0.63873276949435098</v>
      </c>
      <c r="R88">
        <v>0.139908224311698</v>
      </c>
      <c r="S88">
        <v>3.78602506643229E-2</v>
      </c>
      <c r="T88">
        <v>1.1243549035521201E-2</v>
      </c>
      <c r="U88">
        <v>3.1671690761064298E-3</v>
      </c>
      <c r="V88">
        <f t="shared" si="6"/>
        <v>0.2273656032527262</v>
      </c>
      <c r="W88">
        <f t="shared" si="7"/>
        <v>13.033697001748635</v>
      </c>
    </row>
    <row r="89" spans="2:23" x14ac:dyDescent="0.45">
      <c r="B89">
        <v>0</v>
      </c>
      <c r="C89">
        <v>1.7779048735907299</v>
      </c>
      <c r="D89">
        <v>-3.5419319594199399</v>
      </c>
      <c r="E89">
        <v>-1.7709659792240702</v>
      </c>
      <c r="F89">
        <v>-3.5419319594199399</v>
      </c>
      <c r="G89">
        <v>-1.7952521083501103</v>
      </c>
      <c r="H89">
        <v>0</v>
      </c>
      <c r="I89">
        <v>1.27591923898725</v>
      </c>
      <c r="J89">
        <f t="shared" si="4"/>
        <v>-0.94953223672951004</v>
      </c>
      <c r="K89">
        <f t="shared" si="5"/>
        <v>4</v>
      </c>
      <c r="L89" cm="1">
        <f t="array" ref="L89">SUMPRODUCT(N(B89:H89*C89:I89&lt;0))</f>
        <v>1</v>
      </c>
      <c r="O89">
        <v>0.115604639822615</v>
      </c>
      <c r="P89">
        <v>0.84637939470093804</v>
      </c>
      <c r="Q89">
        <v>1.19124006459621</v>
      </c>
      <c r="R89">
        <v>1.0656489382849601</v>
      </c>
      <c r="S89">
        <v>0.68510082753839896</v>
      </c>
      <c r="T89">
        <v>0.52093539237151598</v>
      </c>
      <c r="U89">
        <v>0.68451548542313301</v>
      </c>
      <c r="V89">
        <f t="shared" si="6"/>
        <v>0.72991782039111019</v>
      </c>
      <c r="W89">
        <f t="shared" si="7"/>
        <v>41.842422824968097</v>
      </c>
    </row>
    <row r="90" spans="2:23" x14ac:dyDescent="0.45">
      <c r="B90">
        <v>0</v>
      </c>
      <c r="C90">
        <v>1.7779048735907299</v>
      </c>
      <c r="D90">
        <v>-3.5419319594199399</v>
      </c>
      <c r="E90">
        <v>-1.7709659792240702</v>
      </c>
      <c r="F90">
        <v>-3.5423578768831798</v>
      </c>
      <c r="G90">
        <v>-3.90383047256957E-10</v>
      </c>
      <c r="H90">
        <v>3.58502343947062</v>
      </c>
      <c r="I90">
        <v>-6.8600426697856802</v>
      </c>
      <c r="J90">
        <f t="shared" si="4"/>
        <v>-1.2940462715802379</v>
      </c>
      <c r="K90">
        <f t="shared" si="5"/>
        <v>3</v>
      </c>
      <c r="L90" cm="1">
        <f t="array" ref="L90">SUMPRODUCT(N(B90:H90*C90:I90&lt;0))</f>
        <v>3</v>
      </c>
      <c r="O90">
        <v>0.180824974347676</v>
      </c>
      <c r="P90">
        <v>0.86748132821930302</v>
      </c>
      <c r="Q90">
        <v>2.4900412368091701E-3</v>
      </c>
      <c r="R90">
        <v>0.87470119581085204</v>
      </c>
      <c r="S90">
        <v>0.19559633122085501</v>
      </c>
      <c r="T90">
        <v>5.0296076868244E-2</v>
      </c>
      <c r="U90">
        <v>1.35433278970914E-2</v>
      </c>
      <c r="V90">
        <f t="shared" si="6"/>
        <v>0.31213332508583297</v>
      </c>
      <c r="W90">
        <f t="shared" si="7"/>
        <v>17.892993157786602</v>
      </c>
    </row>
    <row r="91" spans="2:23" x14ac:dyDescent="0.45">
      <c r="B91">
        <v>0</v>
      </c>
      <c r="C91">
        <v>1.7779048735907299</v>
      </c>
      <c r="D91">
        <v>-3.5419319594199399</v>
      </c>
      <c r="E91">
        <v>-1.7709659792240702</v>
      </c>
      <c r="F91">
        <v>-3.5424998494789097</v>
      </c>
      <c r="G91">
        <v>-1.7709659792240702</v>
      </c>
      <c r="H91">
        <v>-3.5423578768831798</v>
      </c>
      <c r="I91">
        <v>-3.90383047256957E-10</v>
      </c>
      <c r="J91">
        <f t="shared" si="4"/>
        <v>-1.5488520963787278</v>
      </c>
      <c r="K91">
        <f t="shared" si="5"/>
        <v>2</v>
      </c>
      <c r="L91" cm="1">
        <f t="array" ref="L91">SUMPRODUCT(N(B91:H91*C91:I91&lt;0))</f>
        <v>1</v>
      </c>
      <c r="O91">
        <v>0.17857397463335201</v>
      </c>
      <c r="P91">
        <v>0.94161191039233505</v>
      </c>
      <c r="Q91">
        <v>0.18929621538432101</v>
      </c>
      <c r="R91">
        <v>0.76899990574864996</v>
      </c>
      <c r="S91">
        <v>1.11946296773704</v>
      </c>
      <c r="T91">
        <v>0.87178623855368798</v>
      </c>
      <c r="U91">
        <v>0.119295175775689</v>
      </c>
      <c r="V91">
        <f t="shared" si="6"/>
        <v>0.59843234117501076</v>
      </c>
      <c r="W91">
        <f t="shared" si="7"/>
        <v>34.305038666083419</v>
      </c>
    </row>
    <row r="92" spans="2:23" x14ac:dyDescent="0.45">
      <c r="B92">
        <v>0</v>
      </c>
      <c r="C92">
        <v>1.7779048735907299</v>
      </c>
      <c r="D92">
        <v>-3.5419319594199399</v>
      </c>
      <c r="E92">
        <v>5.30610101765987</v>
      </c>
      <c r="F92">
        <v>8.1375317215011904</v>
      </c>
      <c r="G92">
        <v>3.58502343947062</v>
      </c>
      <c r="H92">
        <v>-6.8600426697856802</v>
      </c>
      <c r="I92">
        <v>-7.8640927305722297</v>
      </c>
      <c r="J92">
        <f t="shared" si="4"/>
        <v>6.7561711555570225E-2</v>
      </c>
      <c r="K92">
        <f t="shared" si="5"/>
        <v>5</v>
      </c>
      <c r="L92" cm="1">
        <f t="array" ref="L92">SUMPRODUCT(N(B92:H92*C92:I92&lt;0))</f>
        <v>3</v>
      </c>
      <c r="O92">
        <v>0.128235514785039</v>
      </c>
      <c r="P92">
        <v>0.63241174540204503</v>
      </c>
      <c r="Q92">
        <v>0.63873276949435098</v>
      </c>
      <c r="R92">
        <v>0.139908224311698</v>
      </c>
      <c r="S92">
        <v>3.78602506643229E-2</v>
      </c>
      <c r="T92">
        <v>1.1243549035521201E-2</v>
      </c>
      <c r="U92">
        <v>3.1671690761064298E-3</v>
      </c>
      <c r="V92">
        <f t="shared" si="6"/>
        <v>0.2273656032527262</v>
      </c>
      <c r="W92">
        <f t="shared" si="7"/>
        <v>13.033697001748635</v>
      </c>
    </row>
    <row r="93" spans="2:23" x14ac:dyDescent="0.45">
      <c r="B93">
        <v>0</v>
      </c>
      <c r="C93">
        <v>1.7779048735907299</v>
      </c>
      <c r="D93">
        <v>-3.5419319594199399</v>
      </c>
      <c r="E93">
        <v>-1.7952521083501103</v>
      </c>
      <c r="F93">
        <v>0</v>
      </c>
      <c r="G93">
        <v>1.27591923898725</v>
      </c>
      <c r="H93">
        <v>-3.5600139522696099</v>
      </c>
      <c r="I93">
        <v>-5.5785320906463394</v>
      </c>
      <c r="J93">
        <f t="shared" si="4"/>
        <v>-1.4277382497635025</v>
      </c>
      <c r="K93">
        <f t="shared" si="5"/>
        <v>4</v>
      </c>
      <c r="L93" cm="1">
        <f t="array" ref="L93">SUMPRODUCT(N(B93:H93*C93:I93&lt;0))</f>
        <v>2</v>
      </c>
      <c r="O93">
        <v>0.14407348342470799</v>
      </c>
      <c r="P93">
        <v>0.71104184088785904</v>
      </c>
      <c r="Q93">
        <v>0.48032554539912498</v>
      </c>
      <c r="R93">
        <v>0.47754672564760797</v>
      </c>
      <c r="S93">
        <v>0.71535603637787204</v>
      </c>
      <c r="T93">
        <v>0.155212952520938</v>
      </c>
      <c r="U93">
        <v>3.7941263872579498E-2</v>
      </c>
      <c r="V93">
        <f t="shared" si="6"/>
        <v>0.38878540687581281</v>
      </c>
      <c r="W93">
        <f t="shared" si="7"/>
        <v>22.287061540651688</v>
      </c>
    </row>
    <row r="94" spans="2:23" x14ac:dyDescent="0.45">
      <c r="B94">
        <v>0</v>
      </c>
      <c r="C94">
        <v>1.7779048735907299</v>
      </c>
      <c r="D94">
        <v>-3.5419319594199399</v>
      </c>
      <c r="E94">
        <v>-1.7709659792240702</v>
      </c>
      <c r="F94">
        <v>1.7952521083501201</v>
      </c>
      <c r="G94">
        <v>0</v>
      </c>
      <c r="H94">
        <v>1.27591923898725</v>
      </c>
      <c r="I94">
        <v>-3.5600139522696099</v>
      </c>
      <c r="J94">
        <f t="shared" si="4"/>
        <v>-0.50297945874818994</v>
      </c>
      <c r="K94">
        <f t="shared" si="5"/>
        <v>5</v>
      </c>
      <c r="L94" cm="1">
        <f t="array" ref="L94">SUMPRODUCT(N(B94:H94*C94:I94&lt;0))</f>
        <v>3</v>
      </c>
      <c r="O94">
        <v>9.3617140350784694E-2</v>
      </c>
      <c r="P94">
        <v>0.71757999029508901</v>
      </c>
      <c r="Q94">
        <v>1.27923282985392</v>
      </c>
      <c r="R94">
        <v>0.58257170079957898</v>
      </c>
      <c r="S94">
        <v>0.52017872261321796</v>
      </c>
      <c r="T94">
        <v>0.72075042580772697</v>
      </c>
      <c r="U94">
        <v>0.14138991012315699</v>
      </c>
      <c r="V94">
        <f t="shared" si="6"/>
        <v>0.57933153140621063</v>
      </c>
      <c r="W94">
        <f t="shared" si="7"/>
        <v>33.210087787617169</v>
      </c>
    </row>
    <row r="95" spans="2:23" x14ac:dyDescent="0.45">
      <c r="B95">
        <v>0</v>
      </c>
      <c r="C95">
        <v>1.7779048735907299</v>
      </c>
      <c r="D95">
        <v>-3.5419319594199399</v>
      </c>
      <c r="E95">
        <v>-1.7709659792240702</v>
      </c>
      <c r="F95">
        <v>-3.5423578768831798</v>
      </c>
      <c r="G95">
        <v>-3.90383047256957E-10</v>
      </c>
      <c r="H95">
        <v>3.58502343947062</v>
      </c>
      <c r="I95">
        <v>-6.8600426697856802</v>
      </c>
      <c r="J95">
        <f t="shared" si="4"/>
        <v>-1.2940462715802379</v>
      </c>
      <c r="K95">
        <f t="shared" si="5"/>
        <v>3</v>
      </c>
      <c r="L95" cm="1">
        <f t="array" ref="L95">SUMPRODUCT(N(B95:H95*C95:I95&lt;0))</f>
        <v>3</v>
      </c>
      <c r="O95">
        <v>0.180824974347676</v>
      </c>
      <c r="P95">
        <v>0.86748132821930302</v>
      </c>
      <c r="Q95">
        <v>2.4900412368091701E-3</v>
      </c>
      <c r="R95">
        <v>0.87470119581085204</v>
      </c>
      <c r="S95">
        <v>0.19559633122085501</v>
      </c>
      <c r="T95">
        <v>5.0296076868244E-2</v>
      </c>
      <c r="U95">
        <v>1.35433278970914E-2</v>
      </c>
      <c r="V95">
        <f t="shared" si="6"/>
        <v>0.31213332508583297</v>
      </c>
      <c r="W95">
        <f t="shared" si="7"/>
        <v>17.892993157786602</v>
      </c>
    </row>
    <row r="96" spans="2:23" x14ac:dyDescent="0.45">
      <c r="B96">
        <v>0</v>
      </c>
      <c r="C96">
        <v>1.7779048735907299</v>
      </c>
      <c r="D96">
        <v>-3.5419319594199399</v>
      </c>
      <c r="E96">
        <v>-3.5424998494789097</v>
      </c>
      <c r="F96">
        <v>-3.5419319594199399</v>
      </c>
      <c r="G96">
        <v>-3.5424998494789097</v>
      </c>
      <c r="H96">
        <v>-3.5419319594199399</v>
      </c>
      <c r="I96">
        <v>-1.7709659792240702</v>
      </c>
      <c r="J96">
        <f t="shared" si="4"/>
        <v>-2.2129820853563724</v>
      </c>
      <c r="K96">
        <f t="shared" si="5"/>
        <v>2</v>
      </c>
      <c r="L96" cm="1">
        <f t="array" ref="L96">SUMPRODUCT(N(B96:H96*C96:I96&lt;0))</f>
        <v>1</v>
      </c>
      <c r="O96">
        <v>0.11007221605129</v>
      </c>
      <c r="P96">
        <v>0.861342672560925</v>
      </c>
      <c r="Q96">
        <v>0.82610332945772103</v>
      </c>
      <c r="R96">
        <v>0.39132692832034699</v>
      </c>
      <c r="S96">
        <v>0.123391783435569</v>
      </c>
      <c r="T96">
        <v>9.5301394241572909E-3</v>
      </c>
      <c r="U96">
        <v>7.5080637677359301E-3</v>
      </c>
      <c r="V96">
        <f t="shared" si="6"/>
        <v>0.33275359043110653</v>
      </c>
      <c r="W96">
        <f t="shared" si="7"/>
        <v>19.075046585222665</v>
      </c>
    </row>
    <row r="97" spans="2:23" x14ac:dyDescent="0.45">
      <c r="B97">
        <v>0</v>
      </c>
      <c r="C97">
        <v>1.7779048735907299</v>
      </c>
      <c r="D97">
        <v>-3.5419319594199399</v>
      </c>
      <c r="E97">
        <v>5.30610101765987</v>
      </c>
      <c r="F97">
        <v>8.1375317215011904</v>
      </c>
      <c r="G97">
        <v>3.58502343947062</v>
      </c>
      <c r="H97">
        <v>-6.8600426697856802</v>
      </c>
      <c r="I97">
        <v>-7.8640927305722297</v>
      </c>
      <c r="J97">
        <f t="shared" si="4"/>
        <v>6.7561711555570225E-2</v>
      </c>
      <c r="K97">
        <f t="shared" si="5"/>
        <v>5</v>
      </c>
      <c r="L97" cm="1">
        <f t="array" ref="L97">SUMPRODUCT(N(B97:H97*C97:I97&lt;0))</f>
        <v>3</v>
      </c>
      <c r="O97">
        <v>0.128235514785039</v>
      </c>
      <c r="P97">
        <v>0.63241174540204503</v>
      </c>
      <c r="Q97">
        <v>0.63873276949435098</v>
      </c>
      <c r="R97">
        <v>0.139908224311698</v>
      </c>
      <c r="S97">
        <v>3.78602506643229E-2</v>
      </c>
      <c r="T97">
        <v>1.1243549035521201E-2</v>
      </c>
      <c r="U97">
        <v>3.1671690761064298E-3</v>
      </c>
      <c r="V97">
        <f t="shared" si="6"/>
        <v>0.2273656032527262</v>
      </c>
      <c r="W97">
        <f t="shared" si="7"/>
        <v>13.033697001748635</v>
      </c>
    </row>
    <row r="98" spans="2:23" x14ac:dyDescent="0.45">
      <c r="B98">
        <v>0</v>
      </c>
      <c r="C98">
        <v>1.7779048735907299</v>
      </c>
      <c r="D98">
        <v>-3.5419319594199399</v>
      </c>
      <c r="E98">
        <v>-1.7952521083501103</v>
      </c>
      <c r="F98">
        <v>0</v>
      </c>
      <c r="G98">
        <v>1.27591923898725</v>
      </c>
      <c r="H98">
        <v>-3.5600139522696099</v>
      </c>
      <c r="I98">
        <v>-5.5785320906463394</v>
      </c>
      <c r="J98">
        <f t="shared" si="4"/>
        <v>-1.4277382497635025</v>
      </c>
      <c r="K98">
        <f t="shared" si="5"/>
        <v>4</v>
      </c>
      <c r="L98" cm="1">
        <f t="array" ref="L98">SUMPRODUCT(N(B98:H98*C98:I98&lt;0))</f>
        <v>2</v>
      </c>
      <c r="O98">
        <v>0.14407348342470799</v>
      </c>
      <c r="P98">
        <v>0.71104184088785904</v>
      </c>
      <c r="Q98">
        <v>0.48032554539912498</v>
      </c>
      <c r="R98">
        <v>0.47754672564760797</v>
      </c>
      <c r="S98">
        <v>0.71535603637787204</v>
      </c>
      <c r="T98">
        <v>0.155212952520938</v>
      </c>
      <c r="U98">
        <v>3.7941263872579498E-2</v>
      </c>
      <c r="V98">
        <f t="shared" si="6"/>
        <v>0.38878540687581281</v>
      </c>
      <c r="W98">
        <f t="shared" si="7"/>
        <v>22.287061540651688</v>
      </c>
    </row>
    <row r="99" spans="2:23" x14ac:dyDescent="0.45">
      <c r="B99">
        <v>0</v>
      </c>
      <c r="C99">
        <v>1.7779048735907299</v>
      </c>
      <c r="D99">
        <v>-3.5419319594199399</v>
      </c>
      <c r="E99">
        <v>-3.5424998494789097</v>
      </c>
      <c r="F99">
        <v>-3.5419319594199399</v>
      </c>
      <c r="G99">
        <v>-1.7952521083501103</v>
      </c>
      <c r="H99">
        <v>0</v>
      </c>
      <c r="I99">
        <v>1.27591923898725</v>
      </c>
      <c r="J99">
        <f t="shared" si="4"/>
        <v>-1.1709739705113651</v>
      </c>
      <c r="K99">
        <f t="shared" si="5"/>
        <v>4</v>
      </c>
      <c r="L99" cm="1">
        <f t="array" ref="L99">SUMPRODUCT(N(B99:H99*C99:I99&lt;0))</f>
        <v>1</v>
      </c>
      <c r="O99">
        <v>8.4612976001457299E-2</v>
      </c>
      <c r="P99">
        <v>0.74288762009577203</v>
      </c>
      <c r="Q99">
        <v>0.94137241062791399</v>
      </c>
      <c r="R99">
        <v>5.3661229936710901E-2</v>
      </c>
      <c r="S99">
        <v>0.72387776348571498</v>
      </c>
      <c r="T99">
        <v>0.44842693293570601</v>
      </c>
      <c r="U99">
        <v>0.69117868856005105</v>
      </c>
      <c r="V99">
        <f t="shared" si="6"/>
        <v>0.52657394594904661</v>
      </c>
      <c r="W99">
        <f t="shared" si="7"/>
        <v>30.185767602174646</v>
      </c>
    </row>
    <row r="100" spans="2:23" x14ac:dyDescent="0.45">
      <c r="B100">
        <v>0</v>
      </c>
      <c r="C100">
        <v>1.7779048735907299</v>
      </c>
      <c r="D100">
        <v>-3.5419319594199399</v>
      </c>
      <c r="E100">
        <v>-1.7952521083501103</v>
      </c>
      <c r="F100">
        <v>0</v>
      </c>
      <c r="G100">
        <v>1.27591923898725</v>
      </c>
      <c r="H100">
        <v>-3.5600139522696099</v>
      </c>
      <c r="I100">
        <v>-5.5785320906463394</v>
      </c>
      <c r="J100">
        <f t="shared" si="4"/>
        <v>-1.4277382497635025</v>
      </c>
      <c r="K100">
        <f t="shared" si="5"/>
        <v>4</v>
      </c>
      <c r="L100" cm="1">
        <f t="array" ref="L100">SUMPRODUCT(N(B100:H100*C100:I100&lt;0))</f>
        <v>2</v>
      </c>
      <c r="O100">
        <v>0.14407348342470799</v>
      </c>
      <c r="P100">
        <v>0.71104184088785904</v>
      </c>
      <c r="Q100">
        <v>0.48032554539912498</v>
      </c>
      <c r="R100">
        <v>0.47754672564760797</v>
      </c>
      <c r="S100">
        <v>0.71535603637787204</v>
      </c>
      <c r="T100">
        <v>0.155212952520938</v>
      </c>
      <c r="U100">
        <v>3.7941263872579498E-2</v>
      </c>
      <c r="V100">
        <f t="shared" si="6"/>
        <v>0.38878540687581281</v>
      </c>
      <c r="W100">
        <f t="shared" si="7"/>
        <v>22.287061540651688</v>
      </c>
    </row>
    <row r="101" spans="2:23" x14ac:dyDescent="0.45">
      <c r="B101">
        <v>0</v>
      </c>
      <c r="C101">
        <v>1.7779048735907299</v>
      </c>
      <c r="D101">
        <v>-3.5419319594199399</v>
      </c>
      <c r="E101">
        <v>-1.7709659792240702</v>
      </c>
      <c r="F101">
        <v>-3.5423578768831798</v>
      </c>
      <c r="G101">
        <v>-3.90383047256957E-10</v>
      </c>
      <c r="H101">
        <v>3.58502343947062</v>
      </c>
      <c r="I101">
        <v>-6.8600426697856802</v>
      </c>
      <c r="J101">
        <f t="shared" si="4"/>
        <v>-1.2940462715802379</v>
      </c>
      <c r="K101">
        <f t="shared" si="5"/>
        <v>3</v>
      </c>
      <c r="L101" cm="1">
        <f t="array" ref="L101">SUMPRODUCT(N(B101:H101*C101:I101&lt;0))</f>
        <v>3</v>
      </c>
      <c r="O101">
        <v>0.180824974347676</v>
      </c>
      <c r="P101">
        <v>0.86748132821930302</v>
      </c>
      <c r="Q101">
        <v>2.4900412368091701E-3</v>
      </c>
      <c r="R101">
        <v>0.87470119581085204</v>
      </c>
      <c r="S101">
        <v>0.19559633122085501</v>
      </c>
      <c r="T101">
        <v>5.0296076868244E-2</v>
      </c>
      <c r="U101">
        <v>1.35433278970914E-2</v>
      </c>
      <c r="V101">
        <f t="shared" si="6"/>
        <v>0.31213332508583297</v>
      </c>
      <c r="W101">
        <f t="shared" si="7"/>
        <v>17.892993157786602</v>
      </c>
    </row>
    <row r="104" spans="2:23" x14ac:dyDescent="0.45">
      <c r="I104" t="s">
        <v>1</v>
      </c>
      <c r="J104">
        <f>AVERAGE(J2:J101)</f>
        <v>-0.76640110533208616</v>
      </c>
      <c r="K104">
        <f t="shared" ref="K104:L104" si="8">AVERAGE(K2:K101)</f>
        <v>4.1500000000000004</v>
      </c>
      <c r="L104">
        <f t="shared" si="8"/>
        <v>2.2999999999999998</v>
      </c>
      <c r="V104">
        <f>AVERAGE(V2:V101)</f>
        <v>0.35854939789306622</v>
      </c>
      <c r="W104">
        <f>AVERAGE(W2:W101)</f>
        <v>20.553787140366854</v>
      </c>
    </row>
    <row r="105" spans="2:23" x14ac:dyDescent="0.45">
      <c r="I105" t="s">
        <v>7</v>
      </c>
      <c r="J105">
        <f>_xlfn.VAR.S(J2:J101)</f>
        <v>0.7145743274361287</v>
      </c>
      <c r="K105">
        <f t="shared" ref="K105:L105" si="9">_xlfn.VAR.S(K2:K101)</f>
        <v>0.85606060606060608</v>
      </c>
      <c r="L105">
        <f t="shared" si="9"/>
        <v>0.51515151515151514</v>
      </c>
      <c r="W105">
        <f>_xlfn.VAR.S(W2:W101)</f>
        <v>53.854997539735663</v>
      </c>
    </row>
    <row r="106" spans="2:23" x14ac:dyDescent="0.45">
      <c r="I106" t="s">
        <v>8</v>
      </c>
      <c r="J106">
        <f>J105/(50^(1/2))</f>
        <v>0.1010560705183806</v>
      </c>
      <c r="K106">
        <f t="shared" ref="K106:L106" si="10">K105/(50^(1/2))</f>
        <v>0.12106525193042404</v>
      </c>
      <c r="L106">
        <f t="shared" si="10"/>
        <v>7.2853425940432162E-2</v>
      </c>
      <c r="W106">
        <f>W105/(50^(1/2))</f>
        <v>7.6162467922263843</v>
      </c>
    </row>
    <row r="107" spans="2:23" x14ac:dyDescent="0.45">
      <c r="K107">
        <f>COUNTIF(K2:K101,"&lt;=3")</f>
        <v>20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70E86-F6B8-4B8D-BAC6-FD243B2CAF18}">
  <dimension ref="A1:AD107"/>
  <sheetViews>
    <sheetView topLeftCell="C1" workbookViewId="0">
      <pane ySplit="1" topLeftCell="A2" activePane="bottomLeft" state="frozen"/>
      <selection pane="bottomLeft" activeCell="P106" sqref="P106"/>
    </sheetView>
  </sheetViews>
  <sheetFormatPr defaultRowHeight="18" x14ac:dyDescent="0.45"/>
  <cols>
    <col min="2" max="2" width="9.09765625" bestFit="1" customWidth="1"/>
    <col min="3" max="3" width="10.5" bestFit="1" customWidth="1"/>
    <col min="4" max="4" width="10.3984375" bestFit="1" customWidth="1"/>
    <col min="5" max="5" width="9.5" bestFit="1" customWidth="1"/>
    <col min="6" max="6" width="10.5" bestFit="1" customWidth="1"/>
    <col min="7" max="7" width="9.5" bestFit="1" customWidth="1"/>
    <col min="8" max="8" width="10.5" bestFit="1" customWidth="1"/>
    <col min="9" max="9" width="10.3984375" bestFit="1" customWidth="1"/>
    <col min="10" max="10" width="12.59765625" bestFit="1" customWidth="1"/>
    <col min="22" max="22" width="12.69921875" bestFit="1" customWidth="1"/>
    <col min="30" max="30" width="9.5" bestFit="1" customWidth="1"/>
  </cols>
  <sheetData>
    <row r="1" spans="1:30" x14ac:dyDescent="0.4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 t="s">
        <v>1</v>
      </c>
      <c r="K1" t="s">
        <v>2</v>
      </c>
      <c r="L1" t="s">
        <v>3</v>
      </c>
      <c r="N1" t="s">
        <v>4</v>
      </c>
      <c r="O1">
        <v>1.5</v>
      </c>
      <c r="P1">
        <v>2.5</v>
      </c>
      <c r="Q1">
        <v>3.5</v>
      </c>
      <c r="R1">
        <v>4.5</v>
      </c>
      <c r="S1">
        <v>5.5</v>
      </c>
      <c r="T1">
        <v>6.5</v>
      </c>
      <c r="U1">
        <v>7.5</v>
      </c>
      <c r="V1" t="s">
        <v>1</v>
      </c>
      <c r="W1" t="s">
        <v>6</v>
      </c>
      <c r="AD1" t="s">
        <v>5</v>
      </c>
    </row>
    <row r="2" spans="1:30" x14ac:dyDescent="0.45">
      <c r="B2">
        <v>0</v>
      </c>
      <c r="C2">
        <v>1.7779048735907299</v>
      </c>
      <c r="D2">
        <v>-3.5419319594199399</v>
      </c>
      <c r="E2">
        <v>5.30610101765987</v>
      </c>
      <c r="F2">
        <v>8.1375317215011904</v>
      </c>
      <c r="G2">
        <v>3.58502343947062</v>
      </c>
      <c r="H2">
        <v>-6.8600426697856802</v>
      </c>
      <c r="I2">
        <v>-7.8640927305722297</v>
      </c>
      <c r="J2">
        <f>AVERAGE(B2:I2)</f>
        <v>6.7561711555570225E-2</v>
      </c>
      <c r="K2">
        <f>COUNTIF(B2:I2,"&gt;=0")</f>
        <v>5</v>
      </c>
      <c r="L2" cm="1">
        <f t="array" ref="L2">SUMPRODUCT(N(B2:H2*C2:I2&lt;0))</f>
        <v>3</v>
      </c>
      <c r="O2">
        <v>0.14407348342470799</v>
      </c>
      <c r="P2">
        <v>0.71104184088785904</v>
      </c>
      <c r="Q2">
        <v>0.48032554539912498</v>
      </c>
      <c r="R2">
        <v>0.47754672564760797</v>
      </c>
      <c r="S2">
        <v>0.71535603637787204</v>
      </c>
      <c r="T2">
        <v>0.155212952520938</v>
      </c>
      <c r="U2">
        <v>3.7941263872579498E-2</v>
      </c>
      <c r="V2">
        <f>AVERAGE(O2:U2)</f>
        <v>0.38878540687581281</v>
      </c>
      <c r="W2">
        <f>V2*360/(3.14*2)</f>
        <v>22.287061540651688</v>
      </c>
    </row>
    <row r="3" spans="1:30" x14ac:dyDescent="0.45">
      <c r="B3">
        <v>0</v>
      </c>
      <c r="C3">
        <v>1.7779048735907299</v>
      </c>
      <c r="D3">
        <v>-3.5419319594199399</v>
      </c>
      <c r="E3">
        <v>-1.7709659792240702</v>
      </c>
      <c r="F3">
        <v>-3.5419319594199399</v>
      </c>
      <c r="G3">
        <v>-1.7952521083501103</v>
      </c>
      <c r="H3">
        <v>0</v>
      </c>
      <c r="I3">
        <v>1.27591923898725</v>
      </c>
      <c r="J3">
        <f t="shared" ref="J3:J66" si="0">AVERAGE(B3:I3)</f>
        <v>-0.94953223672951004</v>
      </c>
      <c r="K3">
        <f t="shared" ref="K3:K66" si="1">COUNTIF(B3:I3,"&gt;=0")</f>
        <v>4</v>
      </c>
      <c r="L3" cm="1">
        <f t="array" ref="L3">SUMPRODUCT(N(B3:H3*C3:I3&lt;0))</f>
        <v>1</v>
      </c>
      <c r="O3">
        <v>0.128235514785039</v>
      </c>
      <c r="P3">
        <v>0.63241174540204503</v>
      </c>
      <c r="Q3">
        <v>0.63873276949435098</v>
      </c>
      <c r="R3">
        <v>0.139908224311698</v>
      </c>
      <c r="S3">
        <v>3.78602506643229E-2</v>
      </c>
      <c r="T3">
        <v>1.1243549035521201E-2</v>
      </c>
      <c r="U3">
        <v>3.1671690761064298E-3</v>
      </c>
      <c r="V3">
        <f t="shared" ref="V3:V66" si="2">AVERAGE(O3:U3)</f>
        <v>0.2273656032527262</v>
      </c>
      <c r="W3">
        <f t="shared" ref="W3:W66" si="3">V3*360/(3.14*2)</f>
        <v>13.033697001748635</v>
      </c>
    </row>
    <row r="4" spans="1:30" x14ac:dyDescent="0.45">
      <c r="B4">
        <v>0</v>
      </c>
      <c r="C4">
        <v>1.7779048735907299</v>
      </c>
      <c r="D4">
        <v>-3.5419319594199399</v>
      </c>
      <c r="E4">
        <v>-1.7709659792240702</v>
      </c>
      <c r="F4">
        <v>-3.5423578768831798</v>
      </c>
      <c r="G4">
        <v>-3.90383047256957E-10</v>
      </c>
      <c r="H4">
        <v>3.58502343947062</v>
      </c>
      <c r="I4">
        <v>-6.8600426697856802</v>
      </c>
      <c r="J4">
        <f t="shared" si="0"/>
        <v>-1.2940462715802379</v>
      </c>
      <c r="K4">
        <f t="shared" si="1"/>
        <v>3</v>
      </c>
      <c r="L4" cm="1">
        <f t="array" ref="L4">SUMPRODUCT(N(B4:H4*C4:I4&lt;0))</f>
        <v>3</v>
      </c>
      <c r="O4">
        <v>9.3617140350784694E-2</v>
      </c>
      <c r="P4">
        <v>0.71757999029508901</v>
      </c>
      <c r="Q4">
        <v>1.27923282985392</v>
      </c>
      <c r="R4">
        <v>0.58257170079957898</v>
      </c>
      <c r="S4">
        <v>0.52017872261321796</v>
      </c>
      <c r="T4">
        <v>0.72075042580772697</v>
      </c>
      <c r="U4">
        <v>0.14138991012315699</v>
      </c>
      <c r="V4">
        <f t="shared" si="2"/>
        <v>0.57933153140621063</v>
      </c>
      <c r="W4">
        <f t="shared" si="3"/>
        <v>33.210087787617169</v>
      </c>
    </row>
    <row r="5" spans="1:30" x14ac:dyDescent="0.45">
      <c r="B5">
        <v>0</v>
      </c>
      <c r="C5">
        <v>1.7779048735907299</v>
      </c>
      <c r="D5">
        <v>-3.5419319594199399</v>
      </c>
      <c r="E5">
        <v>5.30610101765987</v>
      </c>
      <c r="F5">
        <v>8.1375317215011904</v>
      </c>
      <c r="G5">
        <v>3.58502343947062</v>
      </c>
      <c r="H5">
        <v>-6.8600426697856802</v>
      </c>
      <c r="I5">
        <v>-7.8640927305722297</v>
      </c>
      <c r="J5">
        <f t="shared" si="0"/>
        <v>6.7561711555570225E-2</v>
      </c>
      <c r="K5">
        <f t="shared" si="1"/>
        <v>5</v>
      </c>
      <c r="L5" cm="1">
        <f t="array" ref="L5">SUMPRODUCT(N(B5:H5*C5:I5&lt;0))</f>
        <v>3</v>
      </c>
      <c r="O5">
        <v>0.17857397463335201</v>
      </c>
      <c r="P5">
        <v>0.94161191039233505</v>
      </c>
      <c r="Q5">
        <v>0.18929621538432101</v>
      </c>
      <c r="R5">
        <v>0.76899990574864996</v>
      </c>
      <c r="S5">
        <v>1.11946296773704</v>
      </c>
      <c r="T5">
        <v>0.87178623855368798</v>
      </c>
      <c r="U5">
        <v>0.119295175775689</v>
      </c>
      <c r="V5">
        <f t="shared" si="2"/>
        <v>0.59843234117501076</v>
      </c>
      <c r="W5">
        <f t="shared" si="3"/>
        <v>34.305038666083419</v>
      </c>
    </row>
    <row r="6" spans="1:30" x14ac:dyDescent="0.45">
      <c r="B6">
        <v>0</v>
      </c>
      <c r="C6">
        <v>1.7779048735907299</v>
      </c>
      <c r="D6">
        <v>-3.5419319594199399</v>
      </c>
      <c r="E6">
        <v>-1.7952521083501103</v>
      </c>
      <c r="F6">
        <v>0</v>
      </c>
      <c r="G6">
        <v>1.27591923898725</v>
      </c>
      <c r="H6">
        <v>-3.5600139522696099</v>
      </c>
      <c r="I6">
        <v>-5.5785320906463394</v>
      </c>
      <c r="J6">
        <f t="shared" si="0"/>
        <v>-1.4277382497635025</v>
      </c>
      <c r="K6">
        <f t="shared" si="1"/>
        <v>4</v>
      </c>
      <c r="L6" cm="1">
        <f t="array" ref="L6">SUMPRODUCT(N(B6:H6*C6:I6&lt;0))</f>
        <v>2</v>
      </c>
      <c r="O6">
        <v>0.113858267087087</v>
      </c>
      <c r="P6">
        <v>0.83409983905834995</v>
      </c>
      <c r="Q6">
        <v>1.2198255935042801</v>
      </c>
      <c r="R6">
        <v>1.2241124944190001</v>
      </c>
      <c r="S6">
        <v>0.83571430302685001</v>
      </c>
      <c r="T6">
        <v>0.121557089758523</v>
      </c>
      <c r="U6">
        <v>2.7803878566330199E-2</v>
      </c>
      <c r="V6">
        <f t="shared" si="2"/>
        <v>0.62528163791720293</v>
      </c>
      <c r="W6">
        <f t="shared" si="3"/>
        <v>35.84417032646386</v>
      </c>
    </row>
    <row r="7" spans="1:30" x14ac:dyDescent="0.45">
      <c r="B7">
        <v>0</v>
      </c>
      <c r="C7">
        <v>1.7779048735907299</v>
      </c>
      <c r="D7">
        <v>-3.5419319594199399</v>
      </c>
      <c r="E7">
        <v>-3.5424998494789097</v>
      </c>
      <c r="F7">
        <v>-3.5419319594199399</v>
      </c>
      <c r="G7">
        <v>-1.7952521083501103</v>
      </c>
      <c r="H7">
        <v>0</v>
      </c>
      <c r="I7">
        <v>1.27591923898725</v>
      </c>
      <c r="J7">
        <f t="shared" si="0"/>
        <v>-1.1709739705113651</v>
      </c>
      <c r="K7">
        <f t="shared" si="1"/>
        <v>4</v>
      </c>
      <c r="L7" cm="1">
        <f t="array" ref="L7">SUMPRODUCT(N(B7:H7*C7:I7&lt;0))</f>
        <v>1</v>
      </c>
      <c r="O7">
        <v>8.4612976001457299E-2</v>
      </c>
      <c r="P7">
        <v>0.74288762009577203</v>
      </c>
      <c r="Q7">
        <v>0.94137241062791399</v>
      </c>
      <c r="R7">
        <v>5.3661229936710901E-2</v>
      </c>
      <c r="S7">
        <v>0.72387776348571498</v>
      </c>
      <c r="T7">
        <v>0.44842693293570601</v>
      </c>
      <c r="U7">
        <v>0.69117868856005105</v>
      </c>
      <c r="V7">
        <f t="shared" si="2"/>
        <v>0.52657394594904661</v>
      </c>
      <c r="W7">
        <f t="shared" si="3"/>
        <v>30.185767602174646</v>
      </c>
    </row>
    <row r="8" spans="1:30" x14ac:dyDescent="0.45">
      <c r="B8">
        <v>0</v>
      </c>
      <c r="C8">
        <v>1.7779048735907299</v>
      </c>
      <c r="D8">
        <v>-3.5419319594199399</v>
      </c>
      <c r="E8">
        <v>-1.7952521083501103</v>
      </c>
      <c r="F8">
        <v>0</v>
      </c>
      <c r="G8">
        <v>1.27591923898725</v>
      </c>
      <c r="H8">
        <v>-3.5600139522696099</v>
      </c>
      <c r="I8">
        <v>-5.5785320906463394</v>
      </c>
      <c r="J8">
        <f t="shared" si="0"/>
        <v>-1.4277382497635025</v>
      </c>
      <c r="K8">
        <f t="shared" si="1"/>
        <v>4</v>
      </c>
      <c r="L8" cm="1">
        <f t="array" ref="L8">SUMPRODUCT(N(B8:H8*C8:I8&lt;0))</f>
        <v>2</v>
      </c>
      <c r="O8">
        <v>0.14407348342470799</v>
      </c>
      <c r="P8">
        <v>0.71104184088785904</v>
      </c>
      <c r="Q8">
        <v>0.48032554539912498</v>
      </c>
      <c r="R8">
        <v>0.47754672564760797</v>
      </c>
      <c r="S8">
        <v>0.71535603637787204</v>
      </c>
      <c r="T8">
        <v>0.155212952520938</v>
      </c>
      <c r="U8">
        <v>3.7941263872579498E-2</v>
      </c>
      <c r="V8">
        <f t="shared" si="2"/>
        <v>0.38878540687581281</v>
      </c>
      <c r="W8">
        <f t="shared" si="3"/>
        <v>22.287061540651688</v>
      </c>
    </row>
    <row r="9" spans="1:30" x14ac:dyDescent="0.45">
      <c r="B9">
        <v>0</v>
      </c>
      <c r="C9">
        <v>1.7779048735907299</v>
      </c>
      <c r="D9">
        <v>-3.5419319594199399</v>
      </c>
      <c r="E9">
        <v>-1.7952521083501103</v>
      </c>
      <c r="F9">
        <v>0</v>
      </c>
      <c r="G9">
        <v>1.27591923898725</v>
      </c>
      <c r="H9">
        <v>-3.5600139522696099</v>
      </c>
      <c r="I9">
        <v>-5.5785320906463394</v>
      </c>
      <c r="J9">
        <f t="shared" si="0"/>
        <v>-1.4277382497635025</v>
      </c>
      <c r="K9">
        <f t="shared" si="1"/>
        <v>4</v>
      </c>
      <c r="L9" cm="1">
        <f t="array" ref="L9">SUMPRODUCT(N(B9:H9*C9:I9&lt;0))</f>
        <v>2</v>
      </c>
      <c r="O9">
        <v>0.128235514785039</v>
      </c>
      <c r="P9">
        <v>0.63241174540204503</v>
      </c>
      <c r="Q9">
        <v>0.63873276949435098</v>
      </c>
      <c r="R9">
        <v>0.139908224311698</v>
      </c>
      <c r="S9">
        <v>3.78602506643229E-2</v>
      </c>
      <c r="T9">
        <v>1.1243549035521201E-2</v>
      </c>
      <c r="U9">
        <v>3.1671690761064298E-3</v>
      </c>
      <c r="V9">
        <f t="shared" si="2"/>
        <v>0.2273656032527262</v>
      </c>
      <c r="W9">
        <f t="shared" si="3"/>
        <v>13.033697001748635</v>
      </c>
    </row>
    <row r="10" spans="1:30" x14ac:dyDescent="0.45">
      <c r="B10">
        <v>0</v>
      </c>
      <c r="C10">
        <v>1.7779048735907299</v>
      </c>
      <c r="D10">
        <v>-3.5419319594199399</v>
      </c>
      <c r="E10">
        <v>-3.5424998494789097</v>
      </c>
      <c r="F10">
        <v>-3.5419319594199399</v>
      </c>
      <c r="G10">
        <v>-1.7709659792240702</v>
      </c>
      <c r="H10">
        <v>-3.5419319594199399</v>
      </c>
      <c r="I10">
        <v>5.30610101765987</v>
      </c>
      <c r="J10">
        <f t="shared" si="0"/>
        <v>-1.1069069769640252</v>
      </c>
      <c r="K10">
        <f t="shared" si="1"/>
        <v>3</v>
      </c>
      <c r="L10" cm="1">
        <f t="array" ref="L10">SUMPRODUCT(N(B10:H10*C10:I10&lt;0))</f>
        <v>2</v>
      </c>
      <c r="O10">
        <v>0.14407348342470799</v>
      </c>
      <c r="P10">
        <v>0.71104184088785904</v>
      </c>
      <c r="Q10">
        <v>0.48032554539912498</v>
      </c>
      <c r="R10">
        <v>0.47754672564760797</v>
      </c>
      <c r="S10">
        <v>0.71535603637787204</v>
      </c>
      <c r="T10">
        <v>0.155212952520938</v>
      </c>
      <c r="U10">
        <v>3.7941263872579498E-2</v>
      </c>
      <c r="V10">
        <f t="shared" si="2"/>
        <v>0.38878540687581281</v>
      </c>
      <c r="W10">
        <f t="shared" si="3"/>
        <v>22.287061540651688</v>
      </c>
    </row>
    <row r="11" spans="1:30" x14ac:dyDescent="0.45">
      <c r="B11">
        <v>0</v>
      </c>
      <c r="C11">
        <v>1.7779048735907299</v>
      </c>
      <c r="D11">
        <v>-3.5419319594199399</v>
      </c>
      <c r="E11">
        <v>5.30610101765987</v>
      </c>
      <c r="F11">
        <v>8.1375317215011904</v>
      </c>
      <c r="G11">
        <v>3.58502343947062</v>
      </c>
      <c r="H11">
        <v>-6.8600426697856802</v>
      </c>
      <c r="I11">
        <v>-7.8640927305722297</v>
      </c>
      <c r="J11">
        <f t="shared" si="0"/>
        <v>6.7561711555570225E-2</v>
      </c>
      <c r="K11">
        <f t="shared" si="1"/>
        <v>5</v>
      </c>
      <c r="L11" cm="1">
        <f t="array" ref="L11">SUMPRODUCT(N(B11:H11*C11:I11&lt;0))</f>
        <v>3</v>
      </c>
      <c r="O11">
        <v>0.128235514785039</v>
      </c>
      <c r="P11">
        <v>0.63241174540204503</v>
      </c>
      <c r="Q11">
        <v>0.63873276949435098</v>
      </c>
      <c r="R11">
        <v>0.139908224311698</v>
      </c>
      <c r="S11">
        <v>3.78602506643229E-2</v>
      </c>
      <c r="T11">
        <v>1.1243549035521201E-2</v>
      </c>
      <c r="U11">
        <v>3.1671690761064298E-3</v>
      </c>
      <c r="V11">
        <f t="shared" si="2"/>
        <v>0.2273656032527262</v>
      </c>
      <c r="W11">
        <f t="shared" si="3"/>
        <v>13.033697001748635</v>
      </c>
    </row>
    <row r="12" spans="1:30" x14ac:dyDescent="0.45">
      <c r="B12">
        <v>0</v>
      </c>
      <c r="C12">
        <v>1.7779048735907299</v>
      </c>
      <c r="D12">
        <v>-3.5419319594199399</v>
      </c>
      <c r="E12">
        <v>-1.7709659792240702</v>
      </c>
      <c r="F12">
        <v>-3.5423578768831798</v>
      </c>
      <c r="G12">
        <v>-3.90383047256957E-10</v>
      </c>
      <c r="H12">
        <v>3.58502343947062</v>
      </c>
      <c r="I12">
        <v>-6.8600426697856802</v>
      </c>
      <c r="J12">
        <f t="shared" si="0"/>
        <v>-1.2940462715802379</v>
      </c>
      <c r="K12">
        <f t="shared" si="1"/>
        <v>3</v>
      </c>
      <c r="L12" cm="1">
        <f t="array" ref="L12">SUMPRODUCT(N(B12:H12*C12:I12&lt;0))</f>
        <v>3</v>
      </c>
      <c r="O12">
        <v>9.3617140350784694E-2</v>
      </c>
      <c r="P12">
        <v>0.71757999029508901</v>
      </c>
      <c r="Q12">
        <v>1.27923282985392</v>
      </c>
      <c r="R12">
        <v>0.58257170079957898</v>
      </c>
      <c r="S12">
        <v>0.52017872261321796</v>
      </c>
      <c r="T12">
        <v>0.72075042580772697</v>
      </c>
      <c r="U12">
        <v>0.14138991012315699</v>
      </c>
      <c r="V12">
        <f t="shared" si="2"/>
        <v>0.57933153140621063</v>
      </c>
      <c r="W12">
        <f t="shared" si="3"/>
        <v>33.210087787617169</v>
      </c>
    </row>
    <row r="13" spans="1:30" x14ac:dyDescent="0.45">
      <c r="B13">
        <v>0</v>
      </c>
      <c r="C13">
        <v>1.7779048735907299</v>
      </c>
      <c r="D13">
        <v>-3.5419319594199399</v>
      </c>
      <c r="E13">
        <v>5.30610101765987</v>
      </c>
      <c r="F13">
        <v>8.1375317215011904</v>
      </c>
      <c r="G13">
        <v>3.58502343947062</v>
      </c>
      <c r="H13">
        <v>-6.8600426697856802</v>
      </c>
      <c r="I13">
        <v>-7.8640927305722297</v>
      </c>
      <c r="J13">
        <f t="shared" si="0"/>
        <v>6.7561711555570225E-2</v>
      </c>
      <c r="K13">
        <f t="shared" si="1"/>
        <v>5</v>
      </c>
      <c r="L13" cm="1">
        <f t="array" ref="L13">SUMPRODUCT(N(B13:H13*C13:I13&lt;0))</f>
        <v>3</v>
      </c>
      <c r="O13">
        <v>0.14407348342470799</v>
      </c>
      <c r="P13">
        <v>0.71104184088785904</v>
      </c>
      <c r="Q13">
        <v>0.48032554539912498</v>
      </c>
      <c r="R13">
        <v>0.47754672564760797</v>
      </c>
      <c r="S13">
        <v>0.71535603637787204</v>
      </c>
      <c r="T13">
        <v>0.155212952520938</v>
      </c>
      <c r="U13">
        <v>3.7941263872579498E-2</v>
      </c>
      <c r="V13">
        <f t="shared" si="2"/>
        <v>0.38878540687581281</v>
      </c>
      <c r="W13">
        <f t="shared" si="3"/>
        <v>22.287061540651688</v>
      </c>
    </row>
    <row r="14" spans="1:30" x14ac:dyDescent="0.45">
      <c r="B14">
        <v>0</v>
      </c>
      <c r="C14">
        <v>1.7779048735907299</v>
      </c>
      <c r="D14">
        <v>-3.5419319594199399</v>
      </c>
      <c r="E14">
        <v>5.30610101765987</v>
      </c>
      <c r="F14">
        <v>8.1375317215011904</v>
      </c>
      <c r="G14">
        <v>3.58502343947062</v>
      </c>
      <c r="H14">
        <v>-6.8600426697856802</v>
      </c>
      <c r="I14">
        <v>-7.8640927305722297</v>
      </c>
      <c r="J14">
        <f t="shared" si="0"/>
        <v>6.7561711555570225E-2</v>
      </c>
      <c r="K14">
        <f t="shared" si="1"/>
        <v>5</v>
      </c>
      <c r="L14" cm="1">
        <f t="array" ref="L14">SUMPRODUCT(N(B14:H14*C14:I14&lt;0))</f>
        <v>3</v>
      </c>
      <c r="O14">
        <v>0.109369142596054</v>
      </c>
      <c r="P14">
        <v>0.85606033696065598</v>
      </c>
      <c r="Q14">
        <v>0.84893785232000496</v>
      </c>
      <c r="R14">
        <v>0.52648097170413299</v>
      </c>
      <c r="S14">
        <v>0.359357581984108</v>
      </c>
      <c r="T14">
        <v>0.18394251168297299</v>
      </c>
      <c r="U14">
        <v>0.88498062639580599</v>
      </c>
      <c r="V14">
        <f t="shared" si="2"/>
        <v>0.53844700337767637</v>
      </c>
      <c r="W14">
        <f t="shared" si="3"/>
        <v>30.866388728656609</v>
      </c>
    </row>
    <row r="15" spans="1:30" x14ac:dyDescent="0.45">
      <c r="B15">
        <v>0</v>
      </c>
      <c r="C15">
        <v>1.7779048735907299</v>
      </c>
      <c r="D15">
        <v>-3.5419319594199399</v>
      </c>
      <c r="E15">
        <v>-1.7952521083501103</v>
      </c>
      <c r="F15">
        <v>0</v>
      </c>
      <c r="G15">
        <v>1.27591923898725</v>
      </c>
      <c r="H15">
        <v>-3.5600139522696099</v>
      </c>
      <c r="I15">
        <v>-5.5785320906463394</v>
      </c>
      <c r="J15">
        <f t="shared" si="0"/>
        <v>-1.4277382497635025</v>
      </c>
      <c r="K15">
        <f t="shared" si="1"/>
        <v>4</v>
      </c>
      <c r="L15" cm="1">
        <f t="array" ref="L15">SUMPRODUCT(N(B15:H15*C15:I15&lt;0))</f>
        <v>2</v>
      </c>
      <c r="O15">
        <v>0.128235514785039</v>
      </c>
      <c r="P15">
        <v>0.63241174540204503</v>
      </c>
      <c r="Q15">
        <v>0.63873276949435098</v>
      </c>
      <c r="R15">
        <v>0.139908224311698</v>
      </c>
      <c r="S15">
        <v>3.78602506643229E-2</v>
      </c>
      <c r="T15">
        <v>1.1243549035521201E-2</v>
      </c>
      <c r="U15">
        <v>3.1671690761064298E-3</v>
      </c>
      <c r="V15">
        <f t="shared" si="2"/>
        <v>0.2273656032527262</v>
      </c>
      <c r="W15">
        <f t="shared" si="3"/>
        <v>13.033697001748635</v>
      </c>
    </row>
    <row r="16" spans="1:30" x14ac:dyDescent="0.45">
      <c r="B16">
        <v>0</v>
      </c>
      <c r="C16">
        <v>1.7779048735907299</v>
      </c>
      <c r="D16">
        <v>-3.5419319594199399</v>
      </c>
      <c r="E16">
        <v>-3.5424998494789097</v>
      </c>
      <c r="F16">
        <v>-3.5419319594199399</v>
      </c>
      <c r="G16">
        <v>-1.7952521083501103</v>
      </c>
      <c r="H16">
        <v>0</v>
      </c>
      <c r="I16">
        <v>1.27591923898725</v>
      </c>
      <c r="J16">
        <f t="shared" si="0"/>
        <v>-1.1709739705113651</v>
      </c>
      <c r="K16">
        <f t="shared" si="1"/>
        <v>4</v>
      </c>
      <c r="L16" cm="1">
        <f t="array" ref="L16">SUMPRODUCT(N(B16:H16*C16:I16&lt;0))</f>
        <v>1</v>
      </c>
      <c r="O16">
        <v>0.113858267087087</v>
      </c>
      <c r="P16">
        <v>0.83409983905834995</v>
      </c>
      <c r="Q16">
        <v>1.2198255935042801</v>
      </c>
      <c r="R16">
        <v>1.2241124944190001</v>
      </c>
      <c r="S16">
        <v>0.83571430302685001</v>
      </c>
      <c r="T16">
        <v>0.121557089758523</v>
      </c>
      <c r="U16">
        <v>2.7803878566330199E-2</v>
      </c>
      <c r="V16">
        <f t="shared" si="2"/>
        <v>0.62528163791720293</v>
      </c>
      <c r="W16">
        <f t="shared" si="3"/>
        <v>35.84417032646386</v>
      </c>
    </row>
    <row r="17" spans="2:23" x14ac:dyDescent="0.45">
      <c r="B17">
        <v>0</v>
      </c>
      <c r="C17">
        <v>1.7779048735907299</v>
      </c>
      <c r="D17">
        <v>-3.5419319594199399</v>
      </c>
      <c r="E17">
        <v>-1.7709659792240702</v>
      </c>
      <c r="F17">
        <v>-3.5424998494789097</v>
      </c>
      <c r="G17">
        <v>-1.7709659792240702</v>
      </c>
      <c r="H17">
        <v>-3.5423578768831798</v>
      </c>
      <c r="I17">
        <v>-3.90383047256957E-10</v>
      </c>
      <c r="J17">
        <f t="shared" si="0"/>
        <v>-1.5488520963787278</v>
      </c>
      <c r="K17">
        <f t="shared" si="1"/>
        <v>2</v>
      </c>
      <c r="L17" cm="1">
        <f t="array" ref="L17">SUMPRODUCT(N(B17:H17*C17:I17&lt;0))</f>
        <v>1</v>
      </c>
      <c r="O17">
        <v>0.128235514785039</v>
      </c>
      <c r="P17">
        <v>0.63241174540204503</v>
      </c>
      <c r="Q17">
        <v>0.63873276949435098</v>
      </c>
      <c r="R17">
        <v>0.139908224311698</v>
      </c>
      <c r="S17">
        <v>3.78602506643229E-2</v>
      </c>
      <c r="T17">
        <v>1.1243549035521201E-2</v>
      </c>
      <c r="U17">
        <v>3.1671690761064298E-3</v>
      </c>
      <c r="V17">
        <f t="shared" si="2"/>
        <v>0.2273656032527262</v>
      </c>
      <c r="W17">
        <f t="shared" si="3"/>
        <v>13.033697001748635</v>
      </c>
    </row>
    <row r="18" spans="2:23" x14ac:dyDescent="0.45">
      <c r="B18">
        <v>0</v>
      </c>
      <c r="C18">
        <v>1.7779048735907299</v>
      </c>
      <c r="D18">
        <v>-3.5419319594199399</v>
      </c>
      <c r="E18">
        <v>5.30610101765987</v>
      </c>
      <c r="F18">
        <v>8.1375317215011904</v>
      </c>
      <c r="G18">
        <v>3.58502343947062</v>
      </c>
      <c r="H18">
        <v>-6.8600426697856802</v>
      </c>
      <c r="I18">
        <v>-7.8640927305722297</v>
      </c>
      <c r="J18">
        <f t="shared" si="0"/>
        <v>6.7561711555570225E-2</v>
      </c>
      <c r="K18">
        <f t="shared" si="1"/>
        <v>5</v>
      </c>
      <c r="L18" cm="1">
        <f t="array" ref="L18">SUMPRODUCT(N(B18:H18*C18:I18&lt;0))</f>
        <v>3</v>
      </c>
      <c r="O18">
        <v>0.128235514785039</v>
      </c>
      <c r="P18">
        <v>0.63241174540204503</v>
      </c>
      <c r="Q18">
        <v>0.63873276949435098</v>
      </c>
      <c r="R18">
        <v>0.139908224311698</v>
      </c>
      <c r="S18">
        <v>3.78602506643229E-2</v>
      </c>
      <c r="T18">
        <v>1.1243549035521201E-2</v>
      </c>
      <c r="U18">
        <v>3.1671690761064298E-3</v>
      </c>
      <c r="V18">
        <f t="shared" si="2"/>
        <v>0.2273656032527262</v>
      </c>
      <c r="W18">
        <f t="shared" si="3"/>
        <v>13.033697001748635</v>
      </c>
    </row>
    <row r="19" spans="2:23" x14ac:dyDescent="0.45">
      <c r="B19">
        <v>0</v>
      </c>
      <c r="C19">
        <v>1.7779048735907299</v>
      </c>
      <c r="D19">
        <v>-3.5419319594199399</v>
      </c>
      <c r="E19">
        <v>5.30610101765987</v>
      </c>
      <c r="F19">
        <v>8.1375317215011904</v>
      </c>
      <c r="G19">
        <v>3.58502343947062</v>
      </c>
      <c r="H19">
        <v>-6.8600426697856802</v>
      </c>
      <c r="I19">
        <v>-7.8640927305722297</v>
      </c>
      <c r="J19">
        <f t="shared" si="0"/>
        <v>6.7561711555570225E-2</v>
      </c>
      <c r="K19">
        <f t="shared" si="1"/>
        <v>5</v>
      </c>
      <c r="L19" cm="1">
        <f t="array" ref="L19">SUMPRODUCT(N(B19:H19*C19:I19&lt;0))</f>
        <v>3</v>
      </c>
      <c r="O19">
        <v>0.11223265896194801</v>
      </c>
      <c r="P19">
        <v>0.86345898439875302</v>
      </c>
      <c r="Q19">
        <v>0.87762329281651996</v>
      </c>
      <c r="R19">
        <v>0.48769855545719998</v>
      </c>
      <c r="S19">
        <v>0.46838957977971402</v>
      </c>
      <c r="T19">
        <v>0.80750385413083903</v>
      </c>
      <c r="U19">
        <v>0.84880671119318096</v>
      </c>
      <c r="V19">
        <f t="shared" si="2"/>
        <v>0.63795909096259351</v>
      </c>
      <c r="W19">
        <f t="shared" si="3"/>
        <v>36.57090330358816</v>
      </c>
    </row>
    <row r="20" spans="2:23" x14ac:dyDescent="0.45">
      <c r="B20">
        <v>0</v>
      </c>
      <c r="C20">
        <v>1.7779048735907299</v>
      </c>
      <c r="D20">
        <v>-3.5419319594199399</v>
      </c>
      <c r="E20">
        <v>5.30610101765987</v>
      </c>
      <c r="F20">
        <v>8.1375317215011904</v>
      </c>
      <c r="G20">
        <v>3.58502343947062</v>
      </c>
      <c r="H20">
        <v>-6.8600426697856802</v>
      </c>
      <c r="I20">
        <v>-7.8640927305722297</v>
      </c>
      <c r="J20">
        <f t="shared" si="0"/>
        <v>6.7561711555570225E-2</v>
      </c>
      <c r="K20">
        <f t="shared" si="1"/>
        <v>5</v>
      </c>
      <c r="L20" cm="1">
        <f t="array" ref="L20">SUMPRODUCT(N(B20:H20*C20:I20&lt;0))</f>
        <v>3</v>
      </c>
      <c r="O20">
        <v>0.14407348342470799</v>
      </c>
      <c r="P20">
        <v>0.71104184088785904</v>
      </c>
      <c r="Q20">
        <v>0.48032554539912498</v>
      </c>
      <c r="R20">
        <v>0.47754672564760797</v>
      </c>
      <c r="S20">
        <v>0.71535603637787204</v>
      </c>
      <c r="T20">
        <v>0.155212952520938</v>
      </c>
      <c r="U20">
        <v>3.7941263872579498E-2</v>
      </c>
      <c r="V20">
        <f t="shared" si="2"/>
        <v>0.38878540687581281</v>
      </c>
      <c r="W20">
        <f t="shared" si="3"/>
        <v>22.287061540651688</v>
      </c>
    </row>
    <row r="21" spans="2:23" x14ac:dyDescent="0.45">
      <c r="B21">
        <v>0</v>
      </c>
      <c r="C21">
        <v>1.7779048735907299</v>
      </c>
      <c r="D21">
        <v>-3.5419319594199399</v>
      </c>
      <c r="E21">
        <v>-1.7952521083501103</v>
      </c>
      <c r="F21">
        <v>0</v>
      </c>
      <c r="G21">
        <v>1.27591923898725</v>
      </c>
      <c r="H21">
        <v>-3.5600139522696099</v>
      </c>
      <c r="I21">
        <v>-5.5785320906463394</v>
      </c>
      <c r="J21">
        <f t="shared" si="0"/>
        <v>-1.4277382497635025</v>
      </c>
      <c r="K21">
        <f t="shared" si="1"/>
        <v>4</v>
      </c>
      <c r="L21" cm="1">
        <f t="array" ref="L21">SUMPRODUCT(N(B21:H21*C21:I21&lt;0))</f>
        <v>2</v>
      </c>
      <c r="O21">
        <v>0.128235514785039</v>
      </c>
      <c r="P21">
        <v>0.63241174540204503</v>
      </c>
      <c r="Q21">
        <v>0.63873276949435098</v>
      </c>
      <c r="R21">
        <v>0.139908224311698</v>
      </c>
      <c r="S21">
        <v>3.78602506643229E-2</v>
      </c>
      <c r="T21">
        <v>1.1243549035521201E-2</v>
      </c>
      <c r="U21">
        <v>3.1671690761064298E-3</v>
      </c>
      <c r="V21">
        <f t="shared" si="2"/>
        <v>0.2273656032527262</v>
      </c>
      <c r="W21">
        <f t="shared" si="3"/>
        <v>13.033697001748635</v>
      </c>
    </row>
    <row r="22" spans="2:23" x14ac:dyDescent="0.45">
      <c r="B22">
        <v>0</v>
      </c>
      <c r="C22">
        <v>1.7779048735907299</v>
      </c>
      <c r="D22">
        <v>-3.5419319594199399</v>
      </c>
      <c r="E22">
        <v>-1.7709659792240702</v>
      </c>
      <c r="F22">
        <v>-3.5419319594199399</v>
      </c>
      <c r="G22">
        <v>-3.5424998494789097</v>
      </c>
      <c r="H22">
        <v>-3.5419319594199399</v>
      </c>
      <c r="I22">
        <v>-1.7709659792240702</v>
      </c>
      <c r="J22">
        <f t="shared" si="0"/>
        <v>-1.9915403515745176</v>
      </c>
      <c r="K22">
        <f t="shared" si="1"/>
        <v>2</v>
      </c>
      <c r="L22" cm="1">
        <f t="array" ref="L22">SUMPRODUCT(N(B22:H22*C22:I22&lt;0))</f>
        <v>1</v>
      </c>
      <c r="O22">
        <v>9.3617140350784694E-2</v>
      </c>
      <c r="P22">
        <v>0.71757999029508901</v>
      </c>
      <c r="Q22">
        <v>1.27923282985392</v>
      </c>
      <c r="R22">
        <v>0.58257170079957898</v>
      </c>
      <c r="S22">
        <v>0.52017872261321796</v>
      </c>
      <c r="T22">
        <v>0.72075042580772697</v>
      </c>
      <c r="U22">
        <v>0.14138991012315699</v>
      </c>
      <c r="V22">
        <f t="shared" si="2"/>
        <v>0.57933153140621063</v>
      </c>
      <c r="W22">
        <f t="shared" si="3"/>
        <v>33.210087787617169</v>
      </c>
    </row>
    <row r="23" spans="2:23" x14ac:dyDescent="0.45">
      <c r="B23">
        <v>0</v>
      </c>
      <c r="C23">
        <v>1.7779048735907299</v>
      </c>
      <c r="D23">
        <v>-3.5419319594199399</v>
      </c>
      <c r="E23">
        <v>5.30610101765987</v>
      </c>
      <c r="F23">
        <v>8.1375317215011904</v>
      </c>
      <c r="G23">
        <v>3.58502343947062</v>
      </c>
      <c r="H23">
        <v>-6.8600426697856802</v>
      </c>
      <c r="I23">
        <v>-7.8640927305722297</v>
      </c>
      <c r="J23">
        <f t="shared" si="0"/>
        <v>6.7561711555570225E-2</v>
      </c>
      <c r="K23">
        <f t="shared" si="1"/>
        <v>5</v>
      </c>
      <c r="L23" cm="1">
        <f t="array" ref="L23">SUMPRODUCT(N(B23:H23*C23:I23&lt;0))</f>
        <v>3</v>
      </c>
      <c r="O23">
        <v>0.128235514785039</v>
      </c>
      <c r="P23">
        <v>0.63241174540204503</v>
      </c>
      <c r="Q23">
        <v>0.63873276949435098</v>
      </c>
      <c r="R23">
        <v>0.139908224311698</v>
      </c>
      <c r="S23">
        <v>3.78602506643229E-2</v>
      </c>
      <c r="T23">
        <v>1.1243549035521201E-2</v>
      </c>
      <c r="U23">
        <v>3.1671690761064298E-3</v>
      </c>
      <c r="V23">
        <f t="shared" si="2"/>
        <v>0.2273656032527262</v>
      </c>
      <c r="W23">
        <f t="shared" si="3"/>
        <v>13.033697001748635</v>
      </c>
    </row>
    <row r="24" spans="2:23" x14ac:dyDescent="0.45">
      <c r="B24">
        <v>0</v>
      </c>
      <c r="C24">
        <v>1.7779048735907299</v>
      </c>
      <c r="D24">
        <v>-3.5419319594199399</v>
      </c>
      <c r="E24">
        <v>-3.5424998494789097</v>
      </c>
      <c r="F24">
        <v>-3.5419319594199399</v>
      </c>
      <c r="G24">
        <v>-1.7709659792240702</v>
      </c>
      <c r="H24">
        <v>-3.5424998494789097</v>
      </c>
      <c r="I24">
        <v>-1.7709659792240702</v>
      </c>
      <c r="J24">
        <f t="shared" si="0"/>
        <v>-1.9916113378318889</v>
      </c>
      <c r="K24">
        <f t="shared" si="1"/>
        <v>2</v>
      </c>
      <c r="L24" cm="1">
        <f t="array" ref="L24">SUMPRODUCT(N(B24:H24*C24:I24&lt;0))</f>
        <v>1</v>
      </c>
      <c r="O24">
        <v>0.128235514785039</v>
      </c>
      <c r="P24">
        <v>0.63241174540204503</v>
      </c>
      <c r="Q24">
        <v>0.63873276949435098</v>
      </c>
      <c r="R24">
        <v>0.139908224311698</v>
      </c>
      <c r="S24">
        <v>3.78602506643229E-2</v>
      </c>
      <c r="T24">
        <v>1.1243549035521201E-2</v>
      </c>
      <c r="U24">
        <v>3.1671690761064298E-3</v>
      </c>
      <c r="V24">
        <f t="shared" si="2"/>
        <v>0.2273656032527262</v>
      </c>
      <c r="W24">
        <f t="shared" si="3"/>
        <v>13.033697001748635</v>
      </c>
    </row>
    <row r="25" spans="2:23" x14ac:dyDescent="0.45">
      <c r="B25">
        <v>0</v>
      </c>
      <c r="C25">
        <v>1.7779048735907299</v>
      </c>
      <c r="D25">
        <v>-3.5419319594199399</v>
      </c>
      <c r="E25">
        <v>-1.7709659792240702</v>
      </c>
      <c r="F25">
        <v>-3.5424998494789097</v>
      </c>
      <c r="G25">
        <v>-1.7709659792240702</v>
      </c>
      <c r="H25">
        <v>-3.5420739318768404</v>
      </c>
      <c r="I25">
        <v>-3.90383047256957E-10</v>
      </c>
      <c r="J25">
        <f t="shared" si="0"/>
        <v>-1.5488166032529354</v>
      </c>
      <c r="K25">
        <f t="shared" si="1"/>
        <v>2</v>
      </c>
      <c r="L25" cm="1">
        <f t="array" ref="L25">SUMPRODUCT(N(B25:H25*C25:I25&lt;0))</f>
        <v>1</v>
      </c>
      <c r="O25">
        <v>0.128235514785039</v>
      </c>
      <c r="P25">
        <v>0.63241174540204503</v>
      </c>
      <c r="Q25">
        <v>0.63873276949435098</v>
      </c>
      <c r="R25">
        <v>0.139908224311698</v>
      </c>
      <c r="S25">
        <v>3.78602506643229E-2</v>
      </c>
      <c r="T25">
        <v>1.1243549035521201E-2</v>
      </c>
      <c r="U25">
        <v>3.1671690761064298E-3</v>
      </c>
      <c r="V25">
        <f t="shared" si="2"/>
        <v>0.2273656032527262</v>
      </c>
      <c r="W25">
        <f t="shared" si="3"/>
        <v>13.033697001748635</v>
      </c>
    </row>
    <row r="26" spans="2:23" x14ac:dyDescent="0.45">
      <c r="B26">
        <v>0</v>
      </c>
      <c r="C26">
        <v>1.7779048735907299</v>
      </c>
      <c r="D26">
        <v>-3.5419319594199399</v>
      </c>
      <c r="E26">
        <v>5.30610101765987</v>
      </c>
      <c r="F26">
        <v>8.1375317215011904</v>
      </c>
      <c r="G26">
        <v>3.58502343947062</v>
      </c>
      <c r="H26">
        <v>-6.8600426697856802</v>
      </c>
      <c r="I26">
        <v>-7.8640927305722297</v>
      </c>
      <c r="J26">
        <f t="shared" si="0"/>
        <v>6.7561711555570225E-2</v>
      </c>
      <c r="K26">
        <f t="shared" si="1"/>
        <v>5</v>
      </c>
      <c r="L26" cm="1">
        <f t="array" ref="L26">SUMPRODUCT(N(B26:H26*C26:I26&lt;0))</f>
        <v>3</v>
      </c>
      <c r="O26">
        <v>0.113858267087087</v>
      </c>
      <c r="P26">
        <v>0.83409983905834995</v>
      </c>
      <c r="Q26">
        <v>1.2198255935042801</v>
      </c>
      <c r="R26">
        <v>1.2241124944190001</v>
      </c>
      <c r="S26">
        <v>0.83571430302685001</v>
      </c>
      <c r="T26">
        <v>0.121557089758523</v>
      </c>
      <c r="U26">
        <v>2.7803878566330199E-2</v>
      </c>
      <c r="V26">
        <f t="shared" si="2"/>
        <v>0.62528163791720293</v>
      </c>
      <c r="W26">
        <f t="shared" si="3"/>
        <v>35.84417032646386</v>
      </c>
    </row>
    <row r="27" spans="2:23" x14ac:dyDescent="0.45">
      <c r="B27">
        <v>0</v>
      </c>
      <c r="C27">
        <v>1.7779048735907299</v>
      </c>
      <c r="D27">
        <v>-3.5419319594199399</v>
      </c>
      <c r="E27">
        <v>-3.5424998494789097</v>
      </c>
      <c r="F27">
        <v>-3.5419319594199399</v>
      </c>
      <c r="G27">
        <v>5.30610101765987</v>
      </c>
      <c r="H27">
        <v>8.1375317215011904</v>
      </c>
      <c r="I27">
        <v>3.58502343947062</v>
      </c>
      <c r="J27">
        <f t="shared" si="0"/>
        <v>1.0225246604879525</v>
      </c>
      <c r="K27">
        <f t="shared" si="1"/>
        <v>5</v>
      </c>
      <c r="L27" cm="1">
        <f t="array" ref="L27">SUMPRODUCT(N(B27:H27*C27:I27&lt;0))</f>
        <v>2</v>
      </c>
      <c r="O27">
        <v>0.128235514785039</v>
      </c>
      <c r="P27">
        <v>0.63241174540204503</v>
      </c>
      <c r="Q27">
        <v>0.63873276949435098</v>
      </c>
      <c r="R27">
        <v>0.139908224311698</v>
      </c>
      <c r="S27">
        <v>3.78602506643229E-2</v>
      </c>
      <c r="T27">
        <v>1.1243549035521201E-2</v>
      </c>
      <c r="U27">
        <v>3.1671690761064298E-3</v>
      </c>
      <c r="V27">
        <f t="shared" si="2"/>
        <v>0.2273656032527262</v>
      </c>
      <c r="W27">
        <f t="shared" si="3"/>
        <v>13.033697001748635</v>
      </c>
    </row>
    <row r="28" spans="2:23" x14ac:dyDescent="0.45">
      <c r="B28">
        <v>0</v>
      </c>
      <c r="C28">
        <v>1.7779048735907299</v>
      </c>
      <c r="D28">
        <v>-3.5419319594199399</v>
      </c>
      <c r="E28">
        <v>-1.7952521083501103</v>
      </c>
      <c r="F28">
        <v>0</v>
      </c>
      <c r="G28">
        <v>1.27591923898725</v>
      </c>
      <c r="H28">
        <v>-3.5600139522696099</v>
      </c>
      <c r="I28">
        <v>-5.5785320906463394</v>
      </c>
      <c r="J28">
        <f t="shared" si="0"/>
        <v>-1.4277382497635025</v>
      </c>
      <c r="K28">
        <f t="shared" si="1"/>
        <v>4</v>
      </c>
      <c r="L28" cm="1">
        <f t="array" ref="L28">SUMPRODUCT(N(B28:H28*C28:I28&lt;0))</f>
        <v>2</v>
      </c>
      <c r="O28">
        <v>0.14407348342470799</v>
      </c>
      <c r="P28">
        <v>0.71104184088785904</v>
      </c>
      <c r="Q28">
        <v>0.48032554539912498</v>
      </c>
      <c r="R28">
        <v>0.47754672564760797</v>
      </c>
      <c r="S28">
        <v>0.71535603637787204</v>
      </c>
      <c r="T28">
        <v>0.155212952520938</v>
      </c>
      <c r="U28">
        <v>3.7941263872579498E-2</v>
      </c>
      <c r="V28">
        <f t="shared" si="2"/>
        <v>0.38878540687581281</v>
      </c>
      <c r="W28">
        <f t="shared" si="3"/>
        <v>22.287061540651688</v>
      </c>
    </row>
    <row r="29" spans="2:23" x14ac:dyDescent="0.45">
      <c r="B29">
        <v>0</v>
      </c>
      <c r="C29">
        <v>1.7779048735907299</v>
      </c>
      <c r="D29">
        <v>-3.5419319594199399</v>
      </c>
      <c r="E29">
        <v>5.30610101765987</v>
      </c>
      <c r="F29">
        <v>8.1375317215011904</v>
      </c>
      <c r="G29">
        <v>3.58502343947062</v>
      </c>
      <c r="H29">
        <v>-6.8600426697856802</v>
      </c>
      <c r="I29">
        <v>-7.8640927305722297</v>
      </c>
      <c r="J29">
        <f t="shared" si="0"/>
        <v>6.7561711555570225E-2</v>
      </c>
      <c r="K29">
        <f t="shared" si="1"/>
        <v>5</v>
      </c>
      <c r="L29" cm="1">
        <f t="array" ref="L29">SUMPRODUCT(N(B29:H29*C29:I29&lt;0))</f>
        <v>3</v>
      </c>
      <c r="O29">
        <v>0.128235514785039</v>
      </c>
      <c r="P29">
        <v>0.63241174540204503</v>
      </c>
      <c r="Q29">
        <v>0.63873276949435098</v>
      </c>
      <c r="R29">
        <v>0.139908224311698</v>
      </c>
      <c r="S29">
        <v>3.78602506643229E-2</v>
      </c>
      <c r="T29">
        <v>1.1243549035521201E-2</v>
      </c>
      <c r="U29">
        <v>3.1671690761064298E-3</v>
      </c>
      <c r="V29">
        <f t="shared" si="2"/>
        <v>0.2273656032527262</v>
      </c>
      <c r="W29">
        <f t="shared" si="3"/>
        <v>13.033697001748635</v>
      </c>
    </row>
    <row r="30" spans="2:23" x14ac:dyDescent="0.45">
      <c r="B30">
        <v>0</v>
      </c>
      <c r="C30">
        <v>1.7779048735907299</v>
      </c>
      <c r="D30">
        <v>-3.5419319594199399</v>
      </c>
      <c r="E30">
        <v>-1.7952521083501103</v>
      </c>
      <c r="F30">
        <v>0</v>
      </c>
      <c r="G30">
        <v>1.27591923898725</v>
      </c>
      <c r="H30">
        <v>-3.5600139522696099</v>
      </c>
      <c r="I30">
        <v>-5.5785320906463394</v>
      </c>
      <c r="J30">
        <f t="shared" si="0"/>
        <v>-1.4277382497635025</v>
      </c>
      <c r="K30">
        <f t="shared" si="1"/>
        <v>4</v>
      </c>
      <c r="L30" cm="1">
        <f t="array" ref="L30">SUMPRODUCT(N(B30:H30*C30:I30&lt;0))</f>
        <v>2</v>
      </c>
      <c r="O30">
        <v>0.14407348342470799</v>
      </c>
      <c r="P30">
        <v>0.71104184088785904</v>
      </c>
      <c r="Q30">
        <v>0.48032554539912498</v>
      </c>
      <c r="R30">
        <v>0.47754672564760797</v>
      </c>
      <c r="S30">
        <v>0.71535603637787204</v>
      </c>
      <c r="T30">
        <v>0.155212952520938</v>
      </c>
      <c r="U30">
        <v>3.7941263872579498E-2</v>
      </c>
      <c r="V30">
        <f t="shared" si="2"/>
        <v>0.38878540687581281</v>
      </c>
      <c r="W30">
        <f t="shared" si="3"/>
        <v>22.287061540651688</v>
      </c>
    </row>
    <row r="31" spans="2:23" x14ac:dyDescent="0.45">
      <c r="B31">
        <v>0</v>
      </c>
      <c r="C31">
        <v>1.7779048735907299</v>
      </c>
      <c r="D31">
        <v>-3.5419319594199399</v>
      </c>
      <c r="E31">
        <v>-1.7952521083501103</v>
      </c>
      <c r="F31">
        <v>0</v>
      </c>
      <c r="G31">
        <v>1.27591923898725</v>
      </c>
      <c r="H31">
        <v>-3.5600139522696099</v>
      </c>
      <c r="I31">
        <v>-5.5785320906463394</v>
      </c>
      <c r="J31">
        <f t="shared" si="0"/>
        <v>-1.4277382497635025</v>
      </c>
      <c r="K31">
        <f t="shared" si="1"/>
        <v>4</v>
      </c>
      <c r="L31" cm="1">
        <f t="array" ref="L31">SUMPRODUCT(N(B31:H31*C31:I31&lt;0))</f>
        <v>2</v>
      </c>
      <c r="O31">
        <v>0.128235514785039</v>
      </c>
      <c r="P31">
        <v>0.63241174540204503</v>
      </c>
      <c r="Q31">
        <v>0.63873276949435098</v>
      </c>
      <c r="R31">
        <v>0.139908224311698</v>
      </c>
      <c r="S31">
        <v>3.78602506643229E-2</v>
      </c>
      <c r="T31">
        <v>1.1243549035521201E-2</v>
      </c>
      <c r="U31">
        <v>3.1671690761064298E-3</v>
      </c>
      <c r="V31">
        <f t="shared" si="2"/>
        <v>0.2273656032527262</v>
      </c>
      <c r="W31">
        <f t="shared" si="3"/>
        <v>13.033697001748635</v>
      </c>
    </row>
    <row r="32" spans="2:23" x14ac:dyDescent="0.45">
      <c r="B32">
        <v>0</v>
      </c>
      <c r="C32">
        <v>1.7779048735907299</v>
      </c>
      <c r="D32">
        <v>-3.5419319594199399</v>
      </c>
      <c r="E32">
        <v>5.30610101765987</v>
      </c>
      <c r="F32">
        <v>8.1375317215011904</v>
      </c>
      <c r="G32">
        <v>3.58502343947062</v>
      </c>
      <c r="H32">
        <v>-6.8600426697856802</v>
      </c>
      <c r="I32">
        <v>-7.8640927305722297</v>
      </c>
      <c r="J32">
        <f t="shared" si="0"/>
        <v>6.7561711555570225E-2</v>
      </c>
      <c r="K32">
        <f t="shared" si="1"/>
        <v>5</v>
      </c>
      <c r="L32" cm="1">
        <f t="array" ref="L32">SUMPRODUCT(N(B32:H32*C32:I32&lt;0))</f>
        <v>3</v>
      </c>
      <c r="O32">
        <v>0.17857397463335201</v>
      </c>
      <c r="P32">
        <v>0.94161191039233505</v>
      </c>
      <c r="Q32">
        <v>0.18929621538432101</v>
      </c>
      <c r="R32">
        <v>0.76899990574864996</v>
      </c>
      <c r="S32">
        <v>1.11946296773704</v>
      </c>
      <c r="T32">
        <v>0.87178623855368798</v>
      </c>
      <c r="U32">
        <v>0.119295175775689</v>
      </c>
      <c r="V32">
        <f t="shared" si="2"/>
        <v>0.59843234117501076</v>
      </c>
      <c r="W32">
        <f t="shared" si="3"/>
        <v>34.305038666083419</v>
      </c>
    </row>
    <row r="33" spans="2:23" x14ac:dyDescent="0.45">
      <c r="B33">
        <v>0</v>
      </c>
      <c r="C33">
        <v>1.7779048735907299</v>
      </c>
      <c r="D33">
        <v>-3.5419319594199399</v>
      </c>
      <c r="E33">
        <v>5.30610101765987</v>
      </c>
      <c r="F33">
        <v>8.1375317215011904</v>
      </c>
      <c r="G33">
        <v>3.58502343947062</v>
      </c>
      <c r="H33">
        <v>-6.8600426697856802</v>
      </c>
      <c r="I33">
        <v>-7.8640927305722297</v>
      </c>
      <c r="J33">
        <f t="shared" si="0"/>
        <v>6.7561711555570225E-2</v>
      </c>
      <c r="K33">
        <f t="shared" si="1"/>
        <v>5</v>
      </c>
      <c r="L33" cm="1">
        <f t="array" ref="L33">SUMPRODUCT(N(B33:H33*C33:I33&lt;0))</f>
        <v>3</v>
      </c>
      <c r="O33">
        <v>0.14407348342470799</v>
      </c>
      <c r="P33">
        <v>0.71104184088785904</v>
      </c>
      <c r="Q33">
        <v>0.48032554539912498</v>
      </c>
      <c r="R33">
        <v>0.47754672564760797</v>
      </c>
      <c r="S33">
        <v>0.71535603637787204</v>
      </c>
      <c r="T33">
        <v>0.155212952520938</v>
      </c>
      <c r="U33">
        <v>3.7941263872579498E-2</v>
      </c>
      <c r="V33">
        <f t="shared" si="2"/>
        <v>0.38878540687581281</v>
      </c>
      <c r="W33">
        <f t="shared" si="3"/>
        <v>22.287061540651688</v>
      </c>
    </row>
    <row r="34" spans="2:23" x14ac:dyDescent="0.45">
      <c r="B34">
        <v>0</v>
      </c>
      <c r="C34">
        <v>1.7779048735907299</v>
      </c>
      <c r="D34">
        <v>-3.5419319594199399</v>
      </c>
      <c r="E34">
        <v>-1.7952521083501103</v>
      </c>
      <c r="F34">
        <v>0</v>
      </c>
      <c r="G34">
        <v>1.27591923898725</v>
      </c>
      <c r="H34">
        <v>-3.5600139522696099</v>
      </c>
      <c r="I34">
        <v>-5.5785320906463394</v>
      </c>
      <c r="J34">
        <f t="shared" si="0"/>
        <v>-1.4277382497635025</v>
      </c>
      <c r="K34">
        <f t="shared" si="1"/>
        <v>4</v>
      </c>
      <c r="L34" cm="1">
        <f t="array" ref="L34">SUMPRODUCT(N(B34:H34*C34:I34&lt;0))</f>
        <v>2</v>
      </c>
      <c r="O34">
        <v>0.113858267087087</v>
      </c>
      <c r="P34">
        <v>0.83409983905834995</v>
      </c>
      <c r="Q34">
        <v>1.2198255935042801</v>
      </c>
      <c r="R34">
        <v>1.2241124944190001</v>
      </c>
      <c r="S34">
        <v>0.83571430302685001</v>
      </c>
      <c r="T34">
        <v>0.121557089758523</v>
      </c>
      <c r="U34">
        <v>2.7803878566330199E-2</v>
      </c>
      <c r="V34">
        <f t="shared" si="2"/>
        <v>0.62528163791720293</v>
      </c>
      <c r="W34">
        <f t="shared" si="3"/>
        <v>35.84417032646386</v>
      </c>
    </row>
    <row r="35" spans="2:23" x14ac:dyDescent="0.45">
      <c r="B35">
        <v>0</v>
      </c>
      <c r="C35">
        <v>1.7779048735907299</v>
      </c>
      <c r="D35">
        <v>-3.5419319594199399</v>
      </c>
      <c r="E35">
        <v>-1.7952521083501103</v>
      </c>
      <c r="F35">
        <v>0</v>
      </c>
      <c r="G35">
        <v>1.27591923898725</v>
      </c>
      <c r="H35">
        <v>-3.5600139522696099</v>
      </c>
      <c r="I35">
        <v>-5.5785320906463394</v>
      </c>
      <c r="J35">
        <f t="shared" si="0"/>
        <v>-1.4277382497635025</v>
      </c>
      <c r="K35">
        <f t="shared" si="1"/>
        <v>4</v>
      </c>
      <c r="L35" cm="1">
        <f t="array" ref="L35">SUMPRODUCT(N(B35:H35*C35:I35&lt;0))</f>
        <v>2</v>
      </c>
      <c r="O35">
        <v>0.14407348342470799</v>
      </c>
      <c r="P35">
        <v>0.71104184088785904</v>
      </c>
      <c r="Q35">
        <v>0.48032554539912498</v>
      </c>
      <c r="R35">
        <v>0.47754672564760797</v>
      </c>
      <c r="S35">
        <v>0.71535603637787204</v>
      </c>
      <c r="T35">
        <v>0.155212952520938</v>
      </c>
      <c r="U35">
        <v>3.7941263872579498E-2</v>
      </c>
      <c r="V35">
        <f t="shared" si="2"/>
        <v>0.38878540687581281</v>
      </c>
      <c r="W35">
        <f t="shared" si="3"/>
        <v>22.287061540651688</v>
      </c>
    </row>
    <row r="36" spans="2:23" x14ac:dyDescent="0.45">
      <c r="B36">
        <v>0</v>
      </c>
      <c r="C36">
        <v>1.7779048735907299</v>
      </c>
      <c r="D36">
        <v>-3.5419319594199399</v>
      </c>
      <c r="E36">
        <v>5.30610101765987</v>
      </c>
      <c r="F36">
        <v>8.1375317215011904</v>
      </c>
      <c r="G36">
        <v>3.58502343947062</v>
      </c>
      <c r="H36">
        <v>-6.8600426697856802</v>
      </c>
      <c r="I36">
        <v>-7.8640927305722297</v>
      </c>
      <c r="J36">
        <f t="shared" si="0"/>
        <v>6.7561711555570225E-2</v>
      </c>
      <c r="K36">
        <f t="shared" si="1"/>
        <v>5</v>
      </c>
      <c r="L36" cm="1">
        <f t="array" ref="L36">SUMPRODUCT(N(B36:H36*C36:I36&lt;0))</f>
        <v>3</v>
      </c>
      <c r="O36">
        <v>9.3617140350784694E-2</v>
      </c>
      <c r="P36">
        <v>0.71757999029508901</v>
      </c>
      <c r="Q36">
        <v>1.27923282985392</v>
      </c>
      <c r="R36">
        <v>0.58257170079957898</v>
      </c>
      <c r="S36">
        <v>0.52017872261321796</v>
      </c>
      <c r="T36">
        <v>0.72075042580772697</v>
      </c>
      <c r="U36">
        <v>0.14138991012315699</v>
      </c>
      <c r="V36">
        <f t="shared" si="2"/>
        <v>0.57933153140621063</v>
      </c>
      <c r="W36">
        <f t="shared" si="3"/>
        <v>33.210087787617169</v>
      </c>
    </row>
    <row r="37" spans="2:23" x14ac:dyDescent="0.45">
      <c r="B37">
        <v>0</v>
      </c>
      <c r="C37">
        <v>1.7779048735907299</v>
      </c>
      <c r="D37">
        <v>-3.5419319594199399</v>
      </c>
      <c r="E37">
        <v>5.30610101765987</v>
      </c>
      <c r="F37">
        <v>8.1375317215011904</v>
      </c>
      <c r="G37">
        <v>3.58502343947062</v>
      </c>
      <c r="H37">
        <v>-6.8600426697856802</v>
      </c>
      <c r="I37">
        <v>-7.8640927305722297</v>
      </c>
      <c r="J37">
        <f t="shared" si="0"/>
        <v>6.7561711555570225E-2</v>
      </c>
      <c r="K37">
        <f t="shared" si="1"/>
        <v>5</v>
      </c>
      <c r="L37" cm="1">
        <f t="array" ref="L37">SUMPRODUCT(N(B37:H37*C37:I37&lt;0))</f>
        <v>3</v>
      </c>
      <c r="O37">
        <v>0.11223265896194801</v>
      </c>
      <c r="P37">
        <v>0.86345898439875302</v>
      </c>
      <c r="Q37">
        <v>0.87762329281651996</v>
      </c>
      <c r="R37">
        <v>0.48769855545719998</v>
      </c>
      <c r="S37">
        <v>0.46838957977971402</v>
      </c>
      <c r="T37">
        <v>0.80750385413083903</v>
      </c>
      <c r="U37">
        <v>0.84880671119318096</v>
      </c>
      <c r="V37">
        <f t="shared" si="2"/>
        <v>0.63795909096259351</v>
      </c>
      <c r="W37">
        <f t="shared" si="3"/>
        <v>36.57090330358816</v>
      </c>
    </row>
    <row r="38" spans="2:23" x14ac:dyDescent="0.45">
      <c r="B38">
        <v>0</v>
      </c>
      <c r="C38">
        <v>1.7779048735907299</v>
      </c>
      <c r="D38">
        <v>-3.5419319594199399</v>
      </c>
      <c r="E38">
        <v>-3.5424998494789097</v>
      </c>
      <c r="F38">
        <v>-3.5419319594199399</v>
      </c>
      <c r="G38">
        <v>5.30610101765987</v>
      </c>
      <c r="H38">
        <v>8.1375317215011904</v>
      </c>
      <c r="I38">
        <v>3.58502343947062</v>
      </c>
      <c r="J38">
        <f t="shared" si="0"/>
        <v>1.0225246604879525</v>
      </c>
      <c r="K38">
        <f t="shared" si="1"/>
        <v>5</v>
      </c>
      <c r="L38" cm="1">
        <f t="array" ref="L38">SUMPRODUCT(N(B38:H38*C38:I38&lt;0))</f>
        <v>2</v>
      </c>
      <c r="O38">
        <v>8.4612976001457299E-2</v>
      </c>
      <c r="P38">
        <v>0.74288762009577203</v>
      </c>
      <c r="Q38">
        <v>0.94137241062791399</v>
      </c>
      <c r="R38">
        <v>5.3661229936710901E-2</v>
      </c>
      <c r="S38">
        <v>0.72387776348571498</v>
      </c>
      <c r="T38">
        <v>0.44842693293570601</v>
      </c>
      <c r="U38">
        <v>0.69117868856005105</v>
      </c>
      <c r="V38">
        <f t="shared" si="2"/>
        <v>0.52657394594904661</v>
      </c>
      <c r="W38">
        <f t="shared" si="3"/>
        <v>30.185767602174646</v>
      </c>
    </row>
    <row r="39" spans="2:23" x14ac:dyDescent="0.45">
      <c r="B39">
        <v>0</v>
      </c>
      <c r="C39">
        <v>1.7779048735907299</v>
      </c>
      <c r="D39">
        <v>-3.5419319594199399</v>
      </c>
      <c r="E39">
        <v>-1.7952521083501103</v>
      </c>
      <c r="F39">
        <v>0</v>
      </c>
      <c r="G39">
        <v>1.27591923898725</v>
      </c>
      <c r="H39">
        <v>-3.5600139522696099</v>
      </c>
      <c r="I39">
        <v>-5.5785320906463394</v>
      </c>
      <c r="J39">
        <f t="shared" si="0"/>
        <v>-1.4277382497635025</v>
      </c>
      <c r="K39">
        <f t="shared" si="1"/>
        <v>4</v>
      </c>
      <c r="L39" cm="1">
        <f t="array" ref="L39">SUMPRODUCT(N(B39:H39*C39:I39&lt;0))</f>
        <v>2</v>
      </c>
      <c r="O39">
        <v>0.113858267087087</v>
      </c>
      <c r="P39">
        <v>0.83409983905834995</v>
      </c>
      <c r="Q39">
        <v>1.2198255935042801</v>
      </c>
      <c r="R39">
        <v>1.2241124944190001</v>
      </c>
      <c r="S39">
        <v>0.83571430302685001</v>
      </c>
      <c r="T39">
        <v>0.121557089758523</v>
      </c>
      <c r="U39">
        <v>2.7803878566330199E-2</v>
      </c>
      <c r="V39">
        <f t="shared" si="2"/>
        <v>0.62528163791720293</v>
      </c>
      <c r="W39">
        <f t="shared" si="3"/>
        <v>35.84417032646386</v>
      </c>
    </row>
    <row r="40" spans="2:23" x14ac:dyDescent="0.45">
      <c r="B40">
        <v>0</v>
      </c>
      <c r="C40">
        <v>1.7779048735907299</v>
      </c>
      <c r="D40">
        <v>-3.5419319594199399</v>
      </c>
      <c r="E40">
        <v>-3.5424998494789097</v>
      </c>
      <c r="F40">
        <v>-3.5419319594199399</v>
      </c>
      <c r="G40">
        <v>-1.7709659792240702</v>
      </c>
      <c r="H40">
        <v>1.7952521083501201</v>
      </c>
      <c r="I40">
        <v>0</v>
      </c>
      <c r="J40">
        <f t="shared" si="0"/>
        <v>-1.1030215957002514</v>
      </c>
      <c r="K40">
        <f t="shared" si="1"/>
        <v>4</v>
      </c>
      <c r="L40" cm="1">
        <f t="array" ref="L40">SUMPRODUCT(N(B40:H40*C40:I40&lt;0))</f>
        <v>2</v>
      </c>
      <c r="O40">
        <v>0.128235514785039</v>
      </c>
      <c r="P40">
        <v>0.63241174540204503</v>
      </c>
      <c r="Q40">
        <v>0.63873276949435098</v>
      </c>
      <c r="R40">
        <v>0.139908224311698</v>
      </c>
      <c r="S40">
        <v>3.78602506643229E-2</v>
      </c>
      <c r="T40">
        <v>1.1243549035521201E-2</v>
      </c>
      <c r="U40">
        <v>3.1671690761064298E-3</v>
      </c>
      <c r="V40">
        <f t="shared" si="2"/>
        <v>0.2273656032527262</v>
      </c>
      <c r="W40">
        <f t="shared" si="3"/>
        <v>13.033697001748635</v>
      </c>
    </row>
    <row r="41" spans="2:23" x14ac:dyDescent="0.45">
      <c r="B41">
        <v>0</v>
      </c>
      <c r="C41">
        <v>1.7779048735907299</v>
      </c>
      <c r="D41">
        <v>-3.5419319594199399</v>
      </c>
      <c r="E41">
        <v>-3.5424998494789097</v>
      </c>
      <c r="F41">
        <v>-3.5419319594199399</v>
      </c>
      <c r="G41">
        <v>-1.7709659792240702</v>
      </c>
      <c r="H41">
        <v>-3.5419319594199399</v>
      </c>
      <c r="I41">
        <v>-3.5424998494789097</v>
      </c>
      <c r="J41">
        <f t="shared" si="0"/>
        <v>-2.2129820853563729</v>
      </c>
      <c r="K41">
        <f t="shared" si="1"/>
        <v>2</v>
      </c>
      <c r="L41" cm="1">
        <f t="array" ref="L41">SUMPRODUCT(N(B41:H41*C41:I41&lt;0))</f>
        <v>1</v>
      </c>
      <c r="O41">
        <v>0.128235514785039</v>
      </c>
      <c r="P41">
        <v>0.63241174540204503</v>
      </c>
      <c r="Q41">
        <v>0.63873276949435098</v>
      </c>
      <c r="R41">
        <v>0.139908224311698</v>
      </c>
      <c r="S41">
        <v>3.78602506643229E-2</v>
      </c>
      <c r="T41">
        <v>1.1243549035521201E-2</v>
      </c>
      <c r="U41">
        <v>3.1671690761064298E-3</v>
      </c>
      <c r="V41">
        <f t="shared" si="2"/>
        <v>0.2273656032527262</v>
      </c>
      <c r="W41">
        <f t="shared" si="3"/>
        <v>13.033697001748635</v>
      </c>
    </row>
    <row r="42" spans="2:23" x14ac:dyDescent="0.45">
      <c r="B42">
        <v>0</v>
      </c>
      <c r="C42">
        <v>1.7779048735907299</v>
      </c>
      <c r="D42">
        <v>-3.5419319594199399</v>
      </c>
      <c r="E42">
        <v>-1.7709659792240702</v>
      </c>
      <c r="F42">
        <v>-3.5424998494789097</v>
      </c>
      <c r="G42">
        <v>-1.7709659792240702</v>
      </c>
      <c r="H42">
        <v>-3.5423578768831798</v>
      </c>
      <c r="I42">
        <v>-3.90383047256957E-10</v>
      </c>
      <c r="J42">
        <f t="shared" si="0"/>
        <v>-1.5488520963787278</v>
      </c>
      <c r="K42">
        <f t="shared" si="1"/>
        <v>2</v>
      </c>
      <c r="L42" cm="1">
        <f t="array" ref="L42">SUMPRODUCT(N(B42:H42*C42:I42&lt;0))</f>
        <v>1</v>
      </c>
      <c r="O42">
        <v>0.128235514785039</v>
      </c>
      <c r="P42">
        <v>0.63241174540204503</v>
      </c>
      <c r="Q42">
        <v>0.63873276949435098</v>
      </c>
      <c r="R42">
        <v>0.139908224311698</v>
      </c>
      <c r="S42">
        <v>3.78602506643229E-2</v>
      </c>
      <c r="T42">
        <v>1.1243549035521201E-2</v>
      </c>
      <c r="U42">
        <v>3.1671690761064298E-3</v>
      </c>
      <c r="V42">
        <f t="shared" si="2"/>
        <v>0.2273656032527262</v>
      </c>
      <c r="W42">
        <f t="shared" si="3"/>
        <v>13.033697001748635</v>
      </c>
    </row>
    <row r="43" spans="2:23" x14ac:dyDescent="0.45">
      <c r="B43">
        <v>0</v>
      </c>
      <c r="C43">
        <v>1.7779048735907299</v>
      </c>
      <c r="D43">
        <v>-3.5419319594199399</v>
      </c>
      <c r="E43">
        <v>-1.7952521083501103</v>
      </c>
      <c r="F43">
        <v>0</v>
      </c>
      <c r="G43">
        <v>1.27591923898725</v>
      </c>
      <c r="H43">
        <v>-3.5600139522696099</v>
      </c>
      <c r="I43">
        <v>-5.5785320906463394</v>
      </c>
      <c r="J43">
        <f t="shared" si="0"/>
        <v>-1.4277382497635025</v>
      </c>
      <c r="K43">
        <f t="shared" si="1"/>
        <v>4</v>
      </c>
      <c r="L43" cm="1">
        <f t="array" ref="L43">SUMPRODUCT(N(B43:H43*C43:I43&lt;0))</f>
        <v>2</v>
      </c>
      <c r="O43">
        <v>0.14407348342470799</v>
      </c>
      <c r="P43">
        <v>0.71104184088785904</v>
      </c>
      <c r="Q43">
        <v>0.48032554539912498</v>
      </c>
      <c r="R43">
        <v>0.47754672564760797</v>
      </c>
      <c r="S43">
        <v>0.71535603637787204</v>
      </c>
      <c r="T43">
        <v>0.155212952520938</v>
      </c>
      <c r="U43">
        <v>3.7941263872579498E-2</v>
      </c>
      <c r="V43">
        <f t="shared" si="2"/>
        <v>0.38878540687581281</v>
      </c>
      <c r="W43">
        <f t="shared" si="3"/>
        <v>22.287061540651688</v>
      </c>
    </row>
    <row r="44" spans="2:23" x14ac:dyDescent="0.45">
      <c r="B44">
        <v>0</v>
      </c>
      <c r="C44">
        <v>1.7779048735907299</v>
      </c>
      <c r="D44">
        <v>-3.5419319594199399</v>
      </c>
      <c r="E44">
        <v>-1.7709659792240702</v>
      </c>
      <c r="F44">
        <v>-3.5424998494789097</v>
      </c>
      <c r="G44">
        <v>-1.7709659792240702</v>
      </c>
      <c r="H44">
        <v>1.7952521083501201</v>
      </c>
      <c r="I44">
        <v>0</v>
      </c>
      <c r="J44">
        <f t="shared" si="0"/>
        <v>-0.88165084817576744</v>
      </c>
      <c r="K44">
        <f t="shared" si="1"/>
        <v>4</v>
      </c>
      <c r="L44" cm="1">
        <f t="array" ref="L44">SUMPRODUCT(N(B44:H44*C44:I44&lt;0))</f>
        <v>2</v>
      </c>
      <c r="O44">
        <v>9.3617140350784694E-2</v>
      </c>
      <c r="P44">
        <v>0.71757999029508901</v>
      </c>
      <c r="Q44">
        <v>1.27923282985392</v>
      </c>
      <c r="R44">
        <v>0.58257170079957898</v>
      </c>
      <c r="S44">
        <v>0.52017872261321796</v>
      </c>
      <c r="T44">
        <v>0.72075042580772697</v>
      </c>
      <c r="U44">
        <v>0.14138991012315699</v>
      </c>
      <c r="V44">
        <f t="shared" si="2"/>
        <v>0.57933153140621063</v>
      </c>
      <c r="W44">
        <f t="shared" si="3"/>
        <v>33.210087787617169</v>
      </c>
    </row>
    <row r="45" spans="2:23" x14ac:dyDescent="0.45">
      <c r="B45">
        <v>0</v>
      </c>
      <c r="C45">
        <v>1.7779048735907299</v>
      </c>
      <c r="D45">
        <v>-3.5419319594199399</v>
      </c>
      <c r="E45">
        <v>-1.7952521083501103</v>
      </c>
      <c r="F45">
        <v>0</v>
      </c>
      <c r="G45">
        <v>1.27591923898725</v>
      </c>
      <c r="H45">
        <v>-3.5600139522696099</v>
      </c>
      <c r="I45">
        <v>-5.5785320906463394</v>
      </c>
      <c r="J45">
        <f t="shared" si="0"/>
        <v>-1.4277382497635025</v>
      </c>
      <c r="K45">
        <f t="shared" si="1"/>
        <v>4</v>
      </c>
      <c r="L45" cm="1">
        <f t="array" ref="L45">SUMPRODUCT(N(B45:H45*C45:I45&lt;0))</f>
        <v>2</v>
      </c>
      <c r="O45">
        <v>0.14407348342470799</v>
      </c>
      <c r="P45">
        <v>0.71104184088785904</v>
      </c>
      <c r="Q45">
        <v>0.48032554539912498</v>
      </c>
      <c r="R45">
        <v>0.47754672564760797</v>
      </c>
      <c r="S45">
        <v>0.71535603637787204</v>
      </c>
      <c r="T45">
        <v>0.155212952520938</v>
      </c>
      <c r="U45">
        <v>3.7941263872579498E-2</v>
      </c>
      <c r="V45">
        <f t="shared" si="2"/>
        <v>0.38878540687581281</v>
      </c>
      <c r="W45">
        <f t="shared" si="3"/>
        <v>22.287061540651688</v>
      </c>
    </row>
    <row r="46" spans="2:23" x14ac:dyDescent="0.45">
      <c r="B46">
        <v>0</v>
      </c>
      <c r="C46">
        <v>1.7779048735907299</v>
      </c>
      <c r="D46">
        <v>-3.5419319594199399</v>
      </c>
      <c r="E46">
        <v>-1.7709659792240702</v>
      </c>
      <c r="F46">
        <v>-3.5423578768831798</v>
      </c>
      <c r="G46">
        <v>-3.90383047256957E-10</v>
      </c>
      <c r="H46">
        <v>3.58502343947062</v>
      </c>
      <c r="I46">
        <v>-6.8600426697856802</v>
      </c>
      <c r="J46">
        <f t="shared" si="0"/>
        <v>-1.2940462715802379</v>
      </c>
      <c r="K46">
        <f t="shared" si="1"/>
        <v>3</v>
      </c>
      <c r="L46" cm="1">
        <f t="array" ref="L46">SUMPRODUCT(N(B46:H46*C46:I46&lt;0))</f>
        <v>3</v>
      </c>
      <c r="O46">
        <v>0.14407348342470799</v>
      </c>
      <c r="P46">
        <v>0.71104184088785904</v>
      </c>
      <c r="Q46">
        <v>0.48032554539912498</v>
      </c>
      <c r="R46">
        <v>0.47754672564760797</v>
      </c>
      <c r="S46">
        <v>0.71535603637787204</v>
      </c>
      <c r="T46">
        <v>0.155212952520938</v>
      </c>
      <c r="U46">
        <v>3.7941263872579498E-2</v>
      </c>
      <c r="V46">
        <f t="shared" si="2"/>
        <v>0.38878540687581281</v>
      </c>
      <c r="W46">
        <f t="shared" si="3"/>
        <v>22.287061540651688</v>
      </c>
    </row>
    <row r="47" spans="2:23" x14ac:dyDescent="0.45">
      <c r="B47">
        <v>0</v>
      </c>
      <c r="C47">
        <v>1.7779048735907299</v>
      </c>
      <c r="D47">
        <v>-3.5419319594199399</v>
      </c>
      <c r="E47">
        <v>-3.5424998494789097</v>
      </c>
      <c r="F47">
        <v>-3.5419319594199399</v>
      </c>
      <c r="G47">
        <v>-1.7709659792240702</v>
      </c>
      <c r="H47">
        <v>-3.5424998494789097</v>
      </c>
      <c r="I47">
        <v>-1.7709659792240702</v>
      </c>
      <c r="J47">
        <f t="shared" si="0"/>
        <v>-1.9916113378318889</v>
      </c>
      <c r="K47">
        <f t="shared" si="1"/>
        <v>2</v>
      </c>
      <c r="L47" cm="1">
        <f t="array" ref="L47">SUMPRODUCT(N(B47:H47*C47:I47&lt;0))</f>
        <v>1</v>
      </c>
      <c r="O47">
        <v>9.3617140350784694E-2</v>
      </c>
      <c r="P47">
        <v>0.71757999029508901</v>
      </c>
      <c r="Q47">
        <v>1.27923282985392</v>
      </c>
      <c r="R47">
        <v>0.58257170079957898</v>
      </c>
      <c r="S47">
        <v>0.52017872261321796</v>
      </c>
      <c r="T47">
        <v>0.72075042580772697</v>
      </c>
      <c r="U47">
        <v>0.14138991012315699</v>
      </c>
      <c r="V47">
        <f t="shared" si="2"/>
        <v>0.57933153140621063</v>
      </c>
      <c r="W47">
        <f t="shared" si="3"/>
        <v>33.210087787617169</v>
      </c>
    </row>
    <row r="48" spans="2:23" x14ac:dyDescent="0.45">
      <c r="B48">
        <v>0</v>
      </c>
      <c r="C48">
        <v>1.7779048735907299</v>
      </c>
      <c r="D48">
        <v>-3.5419319594199399</v>
      </c>
      <c r="E48">
        <v>-1.7952521083501103</v>
      </c>
      <c r="F48">
        <v>0</v>
      </c>
      <c r="G48">
        <v>1.27591923898725</v>
      </c>
      <c r="H48">
        <v>-3.5600139522696099</v>
      </c>
      <c r="I48">
        <v>-5.5785320906463394</v>
      </c>
      <c r="J48">
        <f t="shared" si="0"/>
        <v>-1.4277382497635025</v>
      </c>
      <c r="K48">
        <f t="shared" si="1"/>
        <v>4</v>
      </c>
      <c r="L48" cm="1">
        <f t="array" ref="L48">SUMPRODUCT(N(B48:H48*C48:I48&lt;0))</f>
        <v>2</v>
      </c>
      <c r="O48">
        <v>0.128235514785039</v>
      </c>
      <c r="P48">
        <v>0.63241174540204503</v>
      </c>
      <c r="Q48">
        <v>0.63873276949435098</v>
      </c>
      <c r="R48">
        <v>0.139908224311698</v>
      </c>
      <c r="S48">
        <v>3.78602506643229E-2</v>
      </c>
      <c r="T48">
        <v>1.1243549035521201E-2</v>
      </c>
      <c r="U48">
        <v>3.1671690761064298E-3</v>
      </c>
      <c r="V48">
        <f t="shared" si="2"/>
        <v>0.2273656032527262</v>
      </c>
      <c r="W48">
        <f t="shared" si="3"/>
        <v>13.033697001748635</v>
      </c>
    </row>
    <row r="49" spans="2:23" x14ac:dyDescent="0.45">
      <c r="B49">
        <v>0</v>
      </c>
      <c r="C49">
        <v>1.7779048735907299</v>
      </c>
      <c r="D49">
        <v>-3.5419319594199399</v>
      </c>
      <c r="E49">
        <v>-1.7952521083501103</v>
      </c>
      <c r="F49">
        <v>0</v>
      </c>
      <c r="G49">
        <v>1.27591923898725</v>
      </c>
      <c r="H49">
        <v>-3.5600139522696099</v>
      </c>
      <c r="I49">
        <v>-5.5785320906463394</v>
      </c>
      <c r="J49">
        <f t="shared" si="0"/>
        <v>-1.4277382497635025</v>
      </c>
      <c r="K49">
        <f t="shared" si="1"/>
        <v>4</v>
      </c>
      <c r="L49" cm="1">
        <f t="array" ref="L49">SUMPRODUCT(N(B49:H49*C49:I49&lt;0))</f>
        <v>2</v>
      </c>
      <c r="O49">
        <v>0.14407348342470799</v>
      </c>
      <c r="P49">
        <v>0.71104184088785904</v>
      </c>
      <c r="Q49">
        <v>0.48032554539912498</v>
      </c>
      <c r="R49">
        <v>0.47754672564760797</v>
      </c>
      <c r="S49">
        <v>0.71535603637787204</v>
      </c>
      <c r="T49">
        <v>0.155212952520938</v>
      </c>
      <c r="U49">
        <v>3.7941263872579498E-2</v>
      </c>
      <c r="V49">
        <f t="shared" si="2"/>
        <v>0.38878540687581281</v>
      </c>
      <c r="W49">
        <f t="shared" si="3"/>
        <v>22.287061540651688</v>
      </c>
    </row>
    <row r="50" spans="2:23" x14ac:dyDescent="0.45">
      <c r="B50">
        <v>0</v>
      </c>
      <c r="C50">
        <v>1.7779048735907299</v>
      </c>
      <c r="D50">
        <v>-3.5419319594199399</v>
      </c>
      <c r="E50">
        <v>5.30610101765987</v>
      </c>
      <c r="F50">
        <v>8.1375317215011904</v>
      </c>
      <c r="G50">
        <v>3.58502343947062</v>
      </c>
      <c r="H50">
        <v>-6.8600426697856802</v>
      </c>
      <c r="I50">
        <v>-7.8640927305722297</v>
      </c>
      <c r="J50">
        <f t="shared" si="0"/>
        <v>6.7561711555570225E-2</v>
      </c>
      <c r="K50">
        <f t="shared" si="1"/>
        <v>5</v>
      </c>
      <c r="L50" cm="1">
        <f t="array" ref="L50">SUMPRODUCT(N(B50:H50*C50:I50&lt;0))</f>
        <v>3</v>
      </c>
      <c r="O50">
        <v>0.14407348342470799</v>
      </c>
      <c r="P50">
        <v>0.71104184088785904</v>
      </c>
      <c r="Q50">
        <v>0.48032554539912498</v>
      </c>
      <c r="R50">
        <v>0.47754672564760797</v>
      </c>
      <c r="S50">
        <v>0.71535603637787204</v>
      </c>
      <c r="T50">
        <v>0.155212952520938</v>
      </c>
      <c r="U50">
        <v>3.7941263872579498E-2</v>
      </c>
      <c r="V50">
        <f t="shared" si="2"/>
        <v>0.38878540687581281</v>
      </c>
      <c r="W50">
        <f t="shared" si="3"/>
        <v>22.287061540651688</v>
      </c>
    </row>
    <row r="51" spans="2:23" x14ac:dyDescent="0.45">
      <c r="B51">
        <v>0</v>
      </c>
      <c r="C51">
        <v>1.7779048735907299</v>
      </c>
      <c r="D51">
        <v>-3.5419319594199399</v>
      </c>
      <c r="E51">
        <v>-1.7952521083501103</v>
      </c>
      <c r="F51">
        <v>0</v>
      </c>
      <c r="G51">
        <v>1.27591923898725</v>
      </c>
      <c r="H51">
        <v>-3.5600139522696099</v>
      </c>
      <c r="I51">
        <v>-5.5785320906463394</v>
      </c>
      <c r="J51">
        <f t="shared" si="0"/>
        <v>-1.4277382497635025</v>
      </c>
      <c r="K51">
        <f t="shared" si="1"/>
        <v>4</v>
      </c>
      <c r="L51" cm="1">
        <f t="array" ref="L51">SUMPRODUCT(N(B51:H51*C51:I51&lt;0))</f>
        <v>2</v>
      </c>
      <c r="O51">
        <v>0.128235514785039</v>
      </c>
      <c r="P51">
        <v>0.63241174540204503</v>
      </c>
      <c r="Q51">
        <v>0.63873276949435098</v>
      </c>
      <c r="R51">
        <v>0.139908224311698</v>
      </c>
      <c r="S51">
        <v>3.78602506643229E-2</v>
      </c>
      <c r="T51">
        <v>1.1243549035521201E-2</v>
      </c>
      <c r="U51">
        <v>3.1671690761064298E-3</v>
      </c>
      <c r="V51">
        <f t="shared" si="2"/>
        <v>0.2273656032527262</v>
      </c>
      <c r="W51">
        <f t="shared" si="3"/>
        <v>13.033697001748635</v>
      </c>
    </row>
    <row r="52" spans="2:23" x14ac:dyDescent="0.45">
      <c r="B52">
        <v>0</v>
      </c>
      <c r="C52">
        <v>1.7779048735907299</v>
      </c>
      <c r="D52">
        <v>-3.5419319594199399</v>
      </c>
      <c r="E52">
        <v>-3.5424998494789097</v>
      </c>
      <c r="F52">
        <v>-3.5419319594199399</v>
      </c>
      <c r="G52">
        <v>5.30610101765987</v>
      </c>
      <c r="H52">
        <v>8.1375317215011904</v>
      </c>
      <c r="I52">
        <v>3.58502343947062</v>
      </c>
      <c r="J52">
        <f t="shared" si="0"/>
        <v>1.0225246604879525</v>
      </c>
      <c r="K52">
        <f t="shared" si="1"/>
        <v>5</v>
      </c>
      <c r="L52" cm="1">
        <f t="array" ref="L52">SUMPRODUCT(N(B52:H52*C52:I52&lt;0))</f>
        <v>2</v>
      </c>
      <c r="O52">
        <v>0.113858267087087</v>
      </c>
      <c r="P52">
        <v>0.83409983905834995</v>
      </c>
      <c r="Q52">
        <v>1.2198255935042801</v>
      </c>
      <c r="R52">
        <v>1.2241124944190001</v>
      </c>
      <c r="S52">
        <v>0.83571430302685001</v>
      </c>
      <c r="T52">
        <v>0.121557089758523</v>
      </c>
      <c r="U52">
        <v>2.7803878566330199E-2</v>
      </c>
      <c r="V52">
        <f t="shared" si="2"/>
        <v>0.62528163791720293</v>
      </c>
      <c r="W52">
        <f t="shared" si="3"/>
        <v>35.84417032646386</v>
      </c>
    </row>
    <row r="53" spans="2:23" x14ac:dyDescent="0.45">
      <c r="B53">
        <v>0</v>
      </c>
      <c r="C53">
        <v>1.7779048735907299</v>
      </c>
      <c r="D53">
        <v>-3.5419319594199399</v>
      </c>
      <c r="E53">
        <v>-1.7952521083501103</v>
      </c>
      <c r="F53">
        <v>0</v>
      </c>
      <c r="G53">
        <v>1.27591923898725</v>
      </c>
      <c r="H53">
        <v>-3.5600139522696099</v>
      </c>
      <c r="I53">
        <v>-5.5785320906463394</v>
      </c>
      <c r="J53">
        <f t="shared" si="0"/>
        <v>-1.4277382497635025</v>
      </c>
      <c r="K53">
        <f t="shared" si="1"/>
        <v>4</v>
      </c>
      <c r="L53" cm="1">
        <f t="array" ref="L53">SUMPRODUCT(N(B53:H53*C53:I53&lt;0))</f>
        <v>2</v>
      </c>
      <c r="O53">
        <v>0.14407348342470799</v>
      </c>
      <c r="P53">
        <v>0.71104184088785904</v>
      </c>
      <c r="Q53">
        <v>0.48032554539912498</v>
      </c>
      <c r="R53">
        <v>0.47754672564760797</v>
      </c>
      <c r="S53">
        <v>0.71535603637787204</v>
      </c>
      <c r="T53">
        <v>0.155212952520938</v>
      </c>
      <c r="U53">
        <v>3.7941263872579498E-2</v>
      </c>
      <c r="V53">
        <f t="shared" si="2"/>
        <v>0.38878540687581281</v>
      </c>
      <c r="W53">
        <f t="shared" si="3"/>
        <v>22.287061540651688</v>
      </c>
    </row>
    <row r="54" spans="2:23" x14ac:dyDescent="0.45">
      <c r="B54">
        <v>0</v>
      </c>
      <c r="C54">
        <v>1.7779048735907299</v>
      </c>
      <c r="D54">
        <v>-3.5419319594199399</v>
      </c>
      <c r="E54">
        <v>-1.7952521083501103</v>
      </c>
      <c r="F54">
        <v>0</v>
      </c>
      <c r="G54">
        <v>1.27591923898725</v>
      </c>
      <c r="H54">
        <v>-3.5600139522696099</v>
      </c>
      <c r="I54">
        <v>-5.5785320906463394</v>
      </c>
      <c r="J54">
        <f t="shared" si="0"/>
        <v>-1.4277382497635025</v>
      </c>
      <c r="K54">
        <f t="shared" si="1"/>
        <v>4</v>
      </c>
      <c r="L54" cm="1">
        <f t="array" ref="L54">SUMPRODUCT(N(B54:H54*C54:I54&lt;0))</f>
        <v>2</v>
      </c>
      <c r="O54">
        <v>0.14407348342470799</v>
      </c>
      <c r="P54">
        <v>0.71104184088785904</v>
      </c>
      <c r="Q54">
        <v>0.48032554539912498</v>
      </c>
      <c r="R54">
        <v>0.47754672564760797</v>
      </c>
      <c r="S54">
        <v>0.71535603637787204</v>
      </c>
      <c r="T54">
        <v>0.155212952520938</v>
      </c>
      <c r="U54">
        <v>3.7941263872579498E-2</v>
      </c>
      <c r="V54">
        <f t="shared" si="2"/>
        <v>0.38878540687581281</v>
      </c>
      <c r="W54">
        <f t="shared" si="3"/>
        <v>22.287061540651688</v>
      </c>
    </row>
    <row r="55" spans="2:23" x14ac:dyDescent="0.45">
      <c r="B55">
        <v>0</v>
      </c>
      <c r="C55">
        <v>1.7779048735907299</v>
      </c>
      <c r="D55">
        <v>-3.5419319594199399</v>
      </c>
      <c r="E55">
        <v>-1.7709659792240702</v>
      </c>
      <c r="F55">
        <v>-3.5423578768831798</v>
      </c>
      <c r="G55">
        <v>-3.90383047256957E-10</v>
      </c>
      <c r="H55">
        <v>3.58502343947062</v>
      </c>
      <c r="I55">
        <v>-6.8600426697856802</v>
      </c>
      <c r="J55">
        <f t="shared" si="0"/>
        <v>-1.2940462715802379</v>
      </c>
      <c r="K55">
        <f t="shared" si="1"/>
        <v>3</v>
      </c>
      <c r="L55" cm="1">
        <f t="array" ref="L55">SUMPRODUCT(N(B55:H55*C55:I55&lt;0))</f>
        <v>3</v>
      </c>
      <c r="O55">
        <v>0.180824974347676</v>
      </c>
      <c r="P55">
        <v>0.86748132821930302</v>
      </c>
      <c r="Q55">
        <v>2.4900412368091701E-3</v>
      </c>
      <c r="R55">
        <v>0.87470119581085204</v>
      </c>
      <c r="S55">
        <v>0.19559633122085501</v>
      </c>
      <c r="T55">
        <v>5.0296076868244E-2</v>
      </c>
      <c r="U55">
        <v>1.35433278970914E-2</v>
      </c>
      <c r="V55">
        <f t="shared" si="2"/>
        <v>0.31213332508583297</v>
      </c>
      <c r="W55">
        <f t="shared" si="3"/>
        <v>17.892993157786602</v>
      </c>
    </row>
    <row r="56" spans="2:23" x14ac:dyDescent="0.45">
      <c r="B56">
        <v>0</v>
      </c>
      <c r="C56">
        <v>1.7779048735907299</v>
      </c>
      <c r="D56">
        <v>-3.5419319594199399</v>
      </c>
      <c r="E56">
        <v>-1.7709659792240702</v>
      </c>
      <c r="F56">
        <v>-3.5419319594199399</v>
      </c>
      <c r="G56">
        <v>5.30610101765987</v>
      </c>
      <c r="H56">
        <v>8.1375317215011904</v>
      </c>
      <c r="I56">
        <v>3.58502343947062</v>
      </c>
      <c r="J56">
        <f t="shared" si="0"/>
        <v>1.2439663942698076</v>
      </c>
      <c r="K56">
        <f t="shared" si="1"/>
        <v>5</v>
      </c>
      <c r="L56" cm="1">
        <f t="array" ref="L56">SUMPRODUCT(N(B56:H56*C56:I56&lt;0))</f>
        <v>2</v>
      </c>
      <c r="O56">
        <v>8.5803293755179602E-2</v>
      </c>
      <c r="P56">
        <v>0.73941899112135501</v>
      </c>
      <c r="Q56">
        <v>0.98005620865793097</v>
      </c>
      <c r="R56">
        <v>0.113036551261101</v>
      </c>
      <c r="S56">
        <v>0.92481862109227797</v>
      </c>
      <c r="T56">
        <v>0.185026561164092</v>
      </c>
      <c r="U56">
        <v>4.29848715280216E-2</v>
      </c>
      <c r="V56">
        <f t="shared" si="2"/>
        <v>0.43873501408285109</v>
      </c>
      <c r="W56">
        <f t="shared" si="3"/>
        <v>25.150414820036048</v>
      </c>
    </row>
    <row r="57" spans="2:23" x14ac:dyDescent="0.45">
      <c r="B57">
        <v>0</v>
      </c>
      <c r="C57">
        <v>1.7779048735907299</v>
      </c>
      <c r="D57">
        <v>-3.5419319594199399</v>
      </c>
      <c r="E57">
        <v>-1.7709659792240702</v>
      </c>
      <c r="F57">
        <v>1.7952521083501201</v>
      </c>
      <c r="G57">
        <v>0</v>
      </c>
      <c r="H57">
        <v>1.27591923898725</v>
      </c>
      <c r="I57">
        <v>-3.5600139522696099</v>
      </c>
      <c r="J57">
        <f t="shared" si="0"/>
        <v>-0.50297945874818994</v>
      </c>
      <c r="K57">
        <f t="shared" si="1"/>
        <v>5</v>
      </c>
      <c r="L57" cm="1">
        <f t="array" ref="L57">SUMPRODUCT(N(B57:H57*C57:I57&lt;0))</f>
        <v>3</v>
      </c>
      <c r="O57">
        <v>9.3617140350784694E-2</v>
      </c>
      <c r="P57">
        <v>0.71757999029508901</v>
      </c>
      <c r="Q57">
        <v>1.27923282985392</v>
      </c>
      <c r="R57">
        <v>0.58257170079957898</v>
      </c>
      <c r="S57">
        <v>0.52017872261321796</v>
      </c>
      <c r="T57">
        <v>0.72075042580772697</v>
      </c>
      <c r="U57">
        <v>0.14138991012315699</v>
      </c>
      <c r="V57">
        <f t="shared" si="2"/>
        <v>0.57933153140621063</v>
      </c>
      <c r="W57">
        <f t="shared" si="3"/>
        <v>33.210087787617169</v>
      </c>
    </row>
    <row r="58" spans="2:23" x14ac:dyDescent="0.45">
      <c r="B58">
        <v>0</v>
      </c>
      <c r="C58">
        <v>1.7779048735907299</v>
      </c>
      <c r="D58">
        <v>-3.5419319594199399</v>
      </c>
      <c r="E58">
        <v>5.30610101765987</v>
      </c>
      <c r="F58">
        <v>8.1375317215011904</v>
      </c>
      <c r="G58">
        <v>3.58502343947062</v>
      </c>
      <c r="H58">
        <v>-6.8600426697856802</v>
      </c>
      <c r="I58">
        <v>-7.8640927305722297</v>
      </c>
      <c r="J58">
        <f t="shared" si="0"/>
        <v>6.7561711555570225E-2</v>
      </c>
      <c r="K58">
        <f t="shared" si="1"/>
        <v>5</v>
      </c>
      <c r="L58" cm="1">
        <f t="array" ref="L58">SUMPRODUCT(N(B58:H58*C58:I58&lt;0))</f>
        <v>3</v>
      </c>
      <c r="O58">
        <v>0.128235514785039</v>
      </c>
      <c r="P58">
        <v>0.63241174540204503</v>
      </c>
      <c r="Q58">
        <v>0.63873276949435098</v>
      </c>
      <c r="R58">
        <v>0.139908224311698</v>
      </c>
      <c r="S58">
        <v>3.78602506643229E-2</v>
      </c>
      <c r="T58">
        <v>1.1243549035521201E-2</v>
      </c>
      <c r="U58">
        <v>3.1671690761064298E-3</v>
      </c>
      <c r="V58">
        <f t="shared" si="2"/>
        <v>0.2273656032527262</v>
      </c>
      <c r="W58">
        <f t="shared" si="3"/>
        <v>13.033697001748635</v>
      </c>
    </row>
    <row r="59" spans="2:23" x14ac:dyDescent="0.45">
      <c r="B59">
        <v>0</v>
      </c>
      <c r="C59">
        <v>1.7779048735907299</v>
      </c>
      <c r="D59">
        <v>-3.5419319594199399</v>
      </c>
      <c r="E59">
        <v>-3.5424998494789097</v>
      </c>
      <c r="F59">
        <v>-3.5419319594199399</v>
      </c>
      <c r="G59">
        <v>-3.5424998494789097</v>
      </c>
      <c r="H59">
        <v>-3.5419319594199399</v>
      </c>
      <c r="I59">
        <v>5.30610101765987</v>
      </c>
      <c r="J59">
        <f t="shared" si="0"/>
        <v>-1.32834871074588</v>
      </c>
      <c r="K59">
        <f t="shared" si="1"/>
        <v>3</v>
      </c>
      <c r="L59" cm="1">
        <f t="array" ref="L59">SUMPRODUCT(N(B59:H59*C59:I59&lt;0))</f>
        <v>2</v>
      </c>
      <c r="O59">
        <v>0.11223265896194801</v>
      </c>
      <c r="P59">
        <v>0.86345898439875302</v>
      </c>
      <c r="Q59">
        <v>0.87762329281651996</v>
      </c>
      <c r="R59">
        <v>0.48769855545719998</v>
      </c>
      <c r="S59">
        <v>0.46838957977971402</v>
      </c>
      <c r="T59">
        <v>0.80750385413083903</v>
      </c>
      <c r="U59">
        <v>0.84880671119318096</v>
      </c>
      <c r="V59">
        <f t="shared" si="2"/>
        <v>0.63795909096259351</v>
      </c>
      <c r="W59">
        <f t="shared" si="3"/>
        <v>36.57090330358816</v>
      </c>
    </row>
    <row r="60" spans="2:23" x14ac:dyDescent="0.45">
      <c r="B60">
        <v>0</v>
      </c>
      <c r="C60">
        <v>1.7779048735907299</v>
      </c>
      <c r="D60">
        <v>-3.5419319594199399</v>
      </c>
      <c r="E60">
        <v>-1.7709659792240702</v>
      </c>
      <c r="F60">
        <v>-3.5424998494789097</v>
      </c>
      <c r="G60">
        <v>-1.7709659792240702</v>
      </c>
      <c r="H60">
        <v>1.7952521083501201</v>
      </c>
      <c r="I60">
        <v>0</v>
      </c>
      <c r="J60">
        <f t="shared" si="0"/>
        <v>-0.88165084817576744</v>
      </c>
      <c r="K60">
        <f t="shared" si="1"/>
        <v>4</v>
      </c>
      <c r="L60" cm="1">
        <f t="array" ref="L60">SUMPRODUCT(N(B60:H60*C60:I60&lt;0))</f>
        <v>2</v>
      </c>
      <c r="O60">
        <v>0.169927424490593</v>
      </c>
      <c r="P60">
        <v>0.93986071556557205</v>
      </c>
      <c r="Q60">
        <v>0.17956650900820301</v>
      </c>
      <c r="R60">
        <v>0.34706175666977102</v>
      </c>
      <c r="S60">
        <v>9.7058420692662697E-2</v>
      </c>
      <c r="T60">
        <v>0.66478382987267204</v>
      </c>
      <c r="U60">
        <v>0.64052031768167905</v>
      </c>
      <c r="V60">
        <f t="shared" si="2"/>
        <v>0.43411128199730759</v>
      </c>
      <c r="W60">
        <f t="shared" si="3"/>
        <v>24.885360114495338</v>
      </c>
    </row>
    <row r="61" spans="2:23" x14ac:dyDescent="0.45">
      <c r="B61">
        <v>0</v>
      </c>
      <c r="C61">
        <v>1.7779048735907299</v>
      </c>
      <c r="D61">
        <v>-3.5419319594199399</v>
      </c>
      <c r="E61">
        <v>-3.5424998494789097</v>
      </c>
      <c r="F61">
        <v>-3.5419319594199399</v>
      </c>
      <c r="G61">
        <v>-3.5424998494789097</v>
      </c>
      <c r="H61">
        <v>-3.5419319594199399</v>
      </c>
      <c r="I61">
        <v>5.30610101765987</v>
      </c>
      <c r="J61">
        <f t="shared" si="0"/>
        <v>-1.32834871074588</v>
      </c>
      <c r="K61">
        <f t="shared" si="1"/>
        <v>3</v>
      </c>
      <c r="L61" cm="1">
        <f t="array" ref="L61">SUMPRODUCT(N(B61:H61*C61:I61&lt;0))</f>
        <v>2</v>
      </c>
      <c r="O61">
        <v>0.11223265896194801</v>
      </c>
      <c r="P61">
        <v>0.86345898439875302</v>
      </c>
      <c r="Q61">
        <v>0.87762329281651996</v>
      </c>
      <c r="R61">
        <v>0.48769855545719998</v>
      </c>
      <c r="S61">
        <v>0.46838957977971402</v>
      </c>
      <c r="T61">
        <v>0.80750385413083903</v>
      </c>
      <c r="U61">
        <v>0.84880671119318096</v>
      </c>
      <c r="V61">
        <f t="shared" si="2"/>
        <v>0.63795909096259351</v>
      </c>
      <c r="W61">
        <f t="shared" si="3"/>
        <v>36.57090330358816</v>
      </c>
    </row>
    <row r="62" spans="2:23" x14ac:dyDescent="0.45">
      <c r="B62">
        <v>0</v>
      </c>
      <c r="C62">
        <v>1.7779048735907299</v>
      </c>
      <c r="D62">
        <v>-3.5419319594199399</v>
      </c>
      <c r="E62">
        <v>5.30610101765987</v>
      </c>
      <c r="F62">
        <v>8.1375317215011904</v>
      </c>
      <c r="G62">
        <v>3.58502343947062</v>
      </c>
      <c r="H62">
        <v>-6.8600426697856802</v>
      </c>
      <c r="I62">
        <v>-7.8640927305722297</v>
      </c>
      <c r="J62">
        <f t="shared" si="0"/>
        <v>6.7561711555570225E-2</v>
      </c>
      <c r="K62">
        <f t="shared" si="1"/>
        <v>5</v>
      </c>
      <c r="L62" cm="1">
        <f t="array" ref="L62">SUMPRODUCT(N(B62:H62*C62:I62&lt;0))</f>
        <v>3</v>
      </c>
      <c r="O62">
        <v>0.128235514785039</v>
      </c>
      <c r="P62">
        <v>0.63241174540204503</v>
      </c>
      <c r="Q62">
        <v>0.63873276949435098</v>
      </c>
      <c r="R62">
        <v>0.139908224311698</v>
      </c>
      <c r="S62">
        <v>3.78602506643229E-2</v>
      </c>
      <c r="T62">
        <v>1.1243549035521201E-2</v>
      </c>
      <c r="U62">
        <v>3.1671690761064298E-3</v>
      </c>
      <c r="V62">
        <f t="shared" si="2"/>
        <v>0.2273656032527262</v>
      </c>
      <c r="W62">
        <f t="shared" si="3"/>
        <v>13.033697001748635</v>
      </c>
    </row>
    <row r="63" spans="2:23" x14ac:dyDescent="0.45">
      <c r="B63">
        <v>0</v>
      </c>
      <c r="C63">
        <v>1.7779048735907299</v>
      </c>
      <c r="D63">
        <v>-3.5419319594199399</v>
      </c>
      <c r="E63">
        <v>-1.7952521083501103</v>
      </c>
      <c r="F63">
        <v>0</v>
      </c>
      <c r="G63">
        <v>1.27591923898725</v>
      </c>
      <c r="H63">
        <v>-3.5600139522696099</v>
      </c>
      <c r="I63">
        <v>-5.5785320906463394</v>
      </c>
      <c r="J63">
        <f t="shared" si="0"/>
        <v>-1.4277382497635025</v>
      </c>
      <c r="K63">
        <f t="shared" si="1"/>
        <v>4</v>
      </c>
      <c r="L63" cm="1">
        <f t="array" ref="L63">SUMPRODUCT(N(B63:H63*C63:I63&lt;0))</f>
        <v>2</v>
      </c>
      <c r="O63">
        <v>0.14407348342470799</v>
      </c>
      <c r="P63">
        <v>0.71104184088785904</v>
      </c>
      <c r="Q63">
        <v>0.48032554539912498</v>
      </c>
      <c r="R63">
        <v>0.47754672564760797</v>
      </c>
      <c r="S63">
        <v>0.71535603637787204</v>
      </c>
      <c r="T63">
        <v>0.155212952520938</v>
      </c>
      <c r="U63">
        <v>3.7941263872579498E-2</v>
      </c>
      <c r="V63">
        <f t="shared" si="2"/>
        <v>0.38878540687581281</v>
      </c>
      <c r="W63">
        <f t="shared" si="3"/>
        <v>22.287061540651688</v>
      </c>
    </row>
    <row r="64" spans="2:23" x14ac:dyDescent="0.45">
      <c r="B64">
        <v>0</v>
      </c>
      <c r="C64">
        <v>1.7779048735907299</v>
      </c>
      <c r="D64">
        <v>-3.5419319594199399</v>
      </c>
      <c r="E64">
        <v>-3.5424998494789097</v>
      </c>
      <c r="F64">
        <v>-3.5419319594199399</v>
      </c>
      <c r="G64">
        <v>-3.5424998494789097</v>
      </c>
      <c r="H64">
        <v>-3.5419319594199399</v>
      </c>
      <c r="I64">
        <v>-1.7709659792240702</v>
      </c>
      <c r="J64">
        <f t="shared" si="0"/>
        <v>-2.2129820853563724</v>
      </c>
      <c r="K64">
        <f t="shared" si="1"/>
        <v>2</v>
      </c>
      <c r="L64" cm="1">
        <f t="array" ref="L64">SUMPRODUCT(N(B64:H64*C64:I64&lt;0))</f>
        <v>1</v>
      </c>
      <c r="O64">
        <v>0.11007221605129</v>
      </c>
      <c r="P64">
        <v>0.861342672560925</v>
      </c>
      <c r="Q64">
        <v>0.82610332945772103</v>
      </c>
      <c r="R64">
        <v>0.39132692832034699</v>
      </c>
      <c r="S64">
        <v>0.123391783435569</v>
      </c>
      <c r="T64">
        <v>9.5301394241572909E-3</v>
      </c>
      <c r="U64">
        <v>7.5080637677359301E-3</v>
      </c>
      <c r="V64">
        <f t="shared" si="2"/>
        <v>0.33275359043110653</v>
      </c>
      <c r="W64">
        <f t="shared" si="3"/>
        <v>19.075046585222665</v>
      </c>
    </row>
    <row r="65" spans="2:23" x14ac:dyDescent="0.45">
      <c r="B65">
        <v>0</v>
      </c>
      <c r="C65">
        <v>1.7779048735907299</v>
      </c>
      <c r="D65">
        <v>-3.5419319594199399</v>
      </c>
      <c r="E65">
        <v>-3.5424998494789097</v>
      </c>
      <c r="F65">
        <v>-3.5419319594199399</v>
      </c>
      <c r="G65">
        <v>-1.7952521083501103</v>
      </c>
      <c r="H65">
        <v>0</v>
      </c>
      <c r="I65">
        <v>1.27591923898725</v>
      </c>
      <c r="J65">
        <f t="shared" si="0"/>
        <v>-1.1709739705113651</v>
      </c>
      <c r="K65">
        <f t="shared" si="1"/>
        <v>4</v>
      </c>
      <c r="L65" cm="1">
        <f t="array" ref="L65">SUMPRODUCT(N(B65:H65*C65:I65&lt;0))</f>
        <v>1</v>
      </c>
      <c r="O65">
        <v>8.4612976001457299E-2</v>
      </c>
      <c r="P65">
        <v>0.74288762009577203</v>
      </c>
      <c r="Q65">
        <v>0.94137241062791399</v>
      </c>
      <c r="R65">
        <v>5.3661229936710901E-2</v>
      </c>
      <c r="S65">
        <v>0.72387776348571498</v>
      </c>
      <c r="T65">
        <v>0.44842693293570601</v>
      </c>
      <c r="U65">
        <v>0.69117868856005105</v>
      </c>
      <c r="V65">
        <f t="shared" si="2"/>
        <v>0.52657394594904661</v>
      </c>
      <c r="W65">
        <f t="shared" si="3"/>
        <v>30.185767602174646</v>
      </c>
    </row>
    <row r="66" spans="2:23" x14ac:dyDescent="0.45">
      <c r="B66">
        <v>0</v>
      </c>
      <c r="C66">
        <v>1.7779048735907299</v>
      </c>
      <c r="D66">
        <v>-3.5419319594199399</v>
      </c>
      <c r="E66">
        <v>-1.7952521083501103</v>
      </c>
      <c r="F66">
        <v>0</v>
      </c>
      <c r="G66">
        <v>1.27591923898725</v>
      </c>
      <c r="H66">
        <v>-3.5600139522696099</v>
      </c>
      <c r="I66">
        <v>-5.5785320906463394</v>
      </c>
      <c r="J66">
        <f t="shared" si="0"/>
        <v>-1.4277382497635025</v>
      </c>
      <c r="K66">
        <f t="shared" si="1"/>
        <v>4</v>
      </c>
      <c r="L66" cm="1">
        <f t="array" ref="L66">SUMPRODUCT(N(B66:H66*C66:I66&lt;0))</f>
        <v>2</v>
      </c>
      <c r="O66">
        <v>0.14407348342470799</v>
      </c>
      <c r="P66">
        <v>0.71104184088785904</v>
      </c>
      <c r="Q66">
        <v>0.48032554539912498</v>
      </c>
      <c r="R66">
        <v>0.47754672564760797</v>
      </c>
      <c r="S66">
        <v>0.71535603637787204</v>
      </c>
      <c r="T66">
        <v>0.155212952520938</v>
      </c>
      <c r="U66">
        <v>3.7941263872579498E-2</v>
      </c>
      <c r="V66">
        <f t="shared" si="2"/>
        <v>0.38878540687581281</v>
      </c>
      <c r="W66">
        <f t="shared" si="3"/>
        <v>22.287061540651688</v>
      </c>
    </row>
    <row r="67" spans="2:23" x14ac:dyDescent="0.45">
      <c r="B67">
        <v>0</v>
      </c>
      <c r="C67">
        <v>1.7779048735907299</v>
      </c>
      <c r="D67">
        <v>-3.5419319594199399</v>
      </c>
      <c r="E67">
        <v>-1.7952521083501103</v>
      </c>
      <c r="F67">
        <v>0</v>
      </c>
      <c r="G67">
        <v>1.27591923898725</v>
      </c>
      <c r="H67">
        <v>-3.5600139522696099</v>
      </c>
      <c r="I67">
        <v>-5.5785320906463394</v>
      </c>
      <c r="J67">
        <f t="shared" ref="J67:J101" si="4">AVERAGE(B67:I67)</f>
        <v>-1.4277382497635025</v>
      </c>
      <c r="K67">
        <f t="shared" ref="K67:K101" si="5">COUNTIF(B67:I67,"&gt;=0")</f>
        <v>4</v>
      </c>
      <c r="L67" cm="1">
        <f t="array" ref="L67">SUMPRODUCT(N(B67:H67*C67:I67&lt;0))</f>
        <v>2</v>
      </c>
      <c r="O67">
        <v>0.14407348342470799</v>
      </c>
      <c r="P67">
        <v>0.71104184088785904</v>
      </c>
      <c r="Q67">
        <v>0.48032554539912498</v>
      </c>
      <c r="R67">
        <v>0.47754672564760797</v>
      </c>
      <c r="S67">
        <v>0.71535603637787204</v>
      </c>
      <c r="T67">
        <v>0.155212952520938</v>
      </c>
      <c r="U67">
        <v>3.7941263872579498E-2</v>
      </c>
      <c r="V67">
        <f t="shared" ref="V67:V101" si="6">AVERAGE(O67:U67)</f>
        <v>0.38878540687581281</v>
      </c>
      <c r="W67">
        <f t="shared" ref="W67:W101" si="7">V67*360/(3.14*2)</f>
        <v>22.287061540651688</v>
      </c>
    </row>
    <row r="68" spans="2:23" x14ac:dyDescent="0.45">
      <c r="B68">
        <v>0</v>
      </c>
      <c r="C68">
        <v>1.7779048735907299</v>
      </c>
      <c r="D68">
        <v>-3.5419319594199399</v>
      </c>
      <c r="E68">
        <v>-1.7709659792240702</v>
      </c>
      <c r="F68">
        <v>1.7952521083501201</v>
      </c>
      <c r="G68">
        <v>0</v>
      </c>
      <c r="H68">
        <v>1.27591923898725</v>
      </c>
      <c r="I68">
        <v>-3.5600139522696099</v>
      </c>
      <c r="J68">
        <f t="shared" si="4"/>
        <v>-0.50297945874818994</v>
      </c>
      <c r="K68">
        <f t="shared" si="5"/>
        <v>5</v>
      </c>
      <c r="L68" cm="1">
        <f t="array" ref="L68">SUMPRODUCT(N(B68:H68*C68:I68&lt;0))</f>
        <v>3</v>
      </c>
      <c r="O68">
        <v>9.3617140350784694E-2</v>
      </c>
      <c r="P68">
        <v>0.71757999029508901</v>
      </c>
      <c r="Q68">
        <v>1.27923282985392</v>
      </c>
      <c r="R68">
        <v>0.58257170079957898</v>
      </c>
      <c r="S68">
        <v>0.52017872261321796</v>
      </c>
      <c r="T68">
        <v>0.72075042580772697</v>
      </c>
      <c r="U68">
        <v>0.14138991012315699</v>
      </c>
      <c r="V68">
        <f t="shared" si="6"/>
        <v>0.57933153140621063</v>
      </c>
      <c r="W68">
        <f t="shared" si="7"/>
        <v>33.210087787617169</v>
      </c>
    </row>
    <row r="69" spans="2:23" x14ac:dyDescent="0.45">
      <c r="B69">
        <v>0</v>
      </c>
      <c r="C69">
        <v>1.7779048735907299</v>
      </c>
      <c r="D69">
        <v>-3.5419319594199399</v>
      </c>
      <c r="E69">
        <v>-1.7952521083501103</v>
      </c>
      <c r="F69">
        <v>0</v>
      </c>
      <c r="G69">
        <v>1.27591923898725</v>
      </c>
      <c r="H69">
        <v>-3.5600139522696099</v>
      </c>
      <c r="I69">
        <v>-5.5785320906463394</v>
      </c>
      <c r="J69">
        <f t="shared" si="4"/>
        <v>-1.4277382497635025</v>
      </c>
      <c r="K69">
        <f t="shared" si="5"/>
        <v>4</v>
      </c>
      <c r="L69" cm="1">
        <f t="array" ref="L69">SUMPRODUCT(N(B69:H69*C69:I69&lt;0))</f>
        <v>2</v>
      </c>
      <c r="O69">
        <v>0.14407348342470799</v>
      </c>
      <c r="P69">
        <v>0.71104184088785904</v>
      </c>
      <c r="Q69">
        <v>0.48032554539912498</v>
      </c>
      <c r="R69">
        <v>0.47754672564760797</v>
      </c>
      <c r="S69">
        <v>0.71535603637787204</v>
      </c>
      <c r="T69">
        <v>0.155212952520938</v>
      </c>
      <c r="U69">
        <v>3.7941263872579498E-2</v>
      </c>
      <c r="V69">
        <f t="shared" si="6"/>
        <v>0.38878540687581281</v>
      </c>
      <c r="W69">
        <f t="shared" si="7"/>
        <v>22.287061540651688</v>
      </c>
    </row>
    <row r="70" spans="2:23" x14ac:dyDescent="0.45">
      <c r="B70">
        <v>0</v>
      </c>
      <c r="C70">
        <v>1.7779048735907299</v>
      </c>
      <c r="D70">
        <v>-3.5419319594199399</v>
      </c>
      <c r="E70">
        <v>5.30610101765987</v>
      </c>
      <c r="F70">
        <v>8.1375317215011904</v>
      </c>
      <c r="G70">
        <v>3.58502343947062</v>
      </c>
      <c r="H70">
        <v>-6.8600426697856802</v>
      </c>
      <c r="I70">
        <v>-7.8640927305722297</v>
      </c>
      <c r="J70">
        <f t="shared" si="4"/>
        <v>6.7561711555570225E-2</v>
      </c>
      <c r="K70">
        <f t="shared" si="5"/>
        <v>5</v>
      </c>
      <c r="L70" cm="1">
        <f t="array" ref="L70">SUMPRODUCT(N(B70:H70*C70:I70&lt;0))</f>
        <v>3</v>
      </c>
      <c r="O70">
        <v>0.128235514785039</v>
      </c>
      <c r="P70">
        <v>0.63241174540204503</v>
      </c>
      <c r="Q70">
        <v>0.63873276949435098</v>
      </c>
      <c r="R70">
        <v>0.139908224311698</v>
      </c>
      <c r="S70">
        <v>3.78602506643229E-2</v>
      </c>
      <c r="T70">
        <v>1.1243549035521201E-2</v>
      </c>
      <c r="U70">
        <v>3.1671690761064298E-3</v>
      </c>
      <c r="V70">
        <f t="shared" si="6"/>
        <v>0.2273656032527262</v>
      </c>
      <c r="W70">
        <f t="shared" si="7"/>
        <v>13.033697001748635</v>
      </c>
    </row>
    <row r="71" spans="2:23" x14ac:dyDescent="0.45">
      <c r="B71">
        <v>0</v>
      </c>
      <c r="C71">
        <v>1.7779048735907299</v>
      </c>
      <c r="D71">
        <v>-3.5419319594199399</v>
      </c>
      <c r="E71">
        <v>5.30610101765987</v>
      </c>
      <c r="F71">
        <v>8.1375317215011904</v>
      </c>
      <c r="G71">
        <v>3.58502343947062</v>
      </c>
      <c r="H71">
        <v>-6.8600426697856802</v>
      </c>
      <c r="I71">
        <v>-7.8640927305722297</v>
      </c>
      <c r="J71">
        <f t="shared" si="4"/>
        <v>6.7561711555570225E-2</v>
      </c>
      <c r="K71">
        <f t="shared" si="5"/>
        <v>5</v>
      </c>
      <c r="L71" cm="1">
        <f t="array" ref="L71">SUMPRODUCT(N(B71:H71*C71:I71&lt;0))</f>
        <v>3</v>
      </c>
      <c r="O71">
        <v>0.128235514785039</v>
      </c>
      <c r="P71">
        <v>0.63241174540204503</v>
      </c>
      <c r="Q71">
        <v>0.63873276949435098</v>
      </c>
      <c r="R71">
        <v>0.139908224311698</v>
      </c>
      <c r="S71">
        <v>3.78602506643229E-2</v>
      </c>
      <c r="T71">
        <v>1.1243549035521201E-2</v>
      </c>
      <c r="U71">
        <v>3.1671690761064298E-3</v>
      </c>
      <c r="V71">
        <f t="shared" si="6"/>
        <v>0.2273656032527262</v>
      </c>
      <c r="W71">
        <f t="shared" si="7"/>
        <v>13.033697001748635</v>
      </c>
    </row>
    <row r="72" spans="2:23" x14ac:dyDescent="0.45">
      <c r="B72">
        <v>0</v>
      </c>
      <c r="C72">
        <v>1.7779048735907299</v>
      </c>
      <c r="D72">
        <v>-3.5419319594199399</v>
      </c>
      <c r="E72">
        <v>5.30610101765987</v>
      </c>
      <c r="F72">
        <v>8.1375317215011904</v>
      </c>
      <c r="G72">
        <v>3.58502343947062</v>
      </c>
      <c r="H72">
        <v>-6.8600426697856802</v>
      </c>
      <c r="I72">
        <v>-7.8640927305722297</v>
      </c>
      <c r="J72">
        <f t="shared" si="4"/>
        <v>6.7561711555570225E-2</v>
      </c>
      <c r="K72">
        <f t="shared" si="5"/>
        <v>5</v>
      </c>
      <c r="L72" cm="1">
        <f t="array" ref="L72">SUMPRODUCT(N(B72:H72*C72:I72&lt;0))</f>
        <v>3</v>
      </c>
      <c r="O72">
        <v>0.128235514785039</v>
      </c>
      <c r="P72">
        <v>0.63241174540204503</v>
      </c>
      <c r="Q72">
        <v>0.63873276949435098</v>
      </c>
      <c r="R72">
        <v>0.139908224311698</v>
      </c>
      <c r="S72">
        <v>3.78602506643229E-2</v>
      </c>
      <c r="T72">
        <v>1.1243549035521201E-2</v>
      </c>
      <c r="U72">
        <v>3.1671690761064298E-3</v>
      </c>
      <c r="V72">
        <f t="shared" si="6"/>
        <v>0.2273656032527262</v>
      </c>
      <c r="W72">
        <f t="shared" si="7"/>
        <v>13.033697001748635</v>
      </c>
    </row>
    <row r="73" spans="2:23" x14ac:dyDescent="0.45">
      <c r="B73">
        <v>0</v>
      </c>
      <c r="C73">
        <v>1.7779048735907299</v>
      </c>
      <c r="D73">
        <v>-3.5419319594199399</v>
      </c>
      <c r="E73">
        <v>-1.7952521083501103</v>
      </c>
      <c r="F73">
        <v>0</v>
      </c>
      <c r="G73">
        <v>1.27591923898725</v>
      </c>
      <c r="H73">
        <v>-3.5600139522696099</v>
      </c>
      <c r="I73">
        <v>-5.5785320906463394</v>
      </c>
      <c r="J73">
        <f t="shared" si="4"/>
        <v>-1.4277382497635025</v>
      </c>
      <c r="K73">
        <f t="shared" si="5"/>
        <v>4</v>
      </c>
      <c r="L73" cm="1">
        <f t="array" ref="L73">SUMPRODUCT(N(B73:H73*C73:I73&lt;0))</f>
        <v>2</v>
      </c>
      <c r="O73">
        <v>0.14407348342470799</v>
      </c>
      <c r="P73">
        <v>0.71104184088785904</v>
      </c>
      <c r="Q73">
        <v>0.48032554539912498</v>
      </c>
      <c r="R73">
        <v>0.47754672564760797</v>
      </c>
      <c r="S73">
        <v>0.71535603637787204</v>
      </c>
      <c r="T73">
        <v>0.155212952520938</v>
      </c>
      <c r="U73">
        <v>3.7941263872579498E-2</v>
      </c>
      <c r="V73">
        <f t="shared" si="6"/>
        <v>0.38878540687581281</v>
      </c>
      <c r="W73">
        <f t="shared" si="7"/>
        <v>22.287061540651688</v>
      </c>
    </row>
    <row r="74" spans="2:23" x14ac:dyDescent="0.45">
      <c r="B74">
        <v>0</v>
      </c>
      <c r="C74">
        <v>1.7779048735907299</v>
      </c>
      <c r="D74">
        <v>-3.5419319594199399</v>
      </c>
      <c r="E74">
        <v>-1.7952521083501103</v>
      </c>
      <c r="F74">
        <v>0</v>
      </c>
      <c r="G74">
        <v>1.27591923898725</v>
      </c>
      <c r="H74">
        <v>-3.5600139522696099</v>
      </c>
      <c r="I74">
        <v>-5.5785320906463394</v>
      </c>
      <c r="J74">
        <f t="shared" si="4"/>
        <v>-1.4277382497635025</v>
      </c>
      <c r="K74">
        <f t="shared" si="5"/>
        <v>4</v>
      </c>
      <c r="L74" cm="1">
        <f t="array" ref="L74">SUMPRODUCT(N(B74:H74*C74:I74&lt;0))</f>
        <v>2</v>
      </c>
      <c r="O74">
        <v>0.14407348342470799</v>
      </c>
      <c r="P74">
        <v>0.71104184088785904</v>
      </c>
      <c r="Q74">
        <v>0.48032554539912498</v>
      </c>
      <c r="R74">
        <v>0.47754672564760797</v>
      </c>
      <c r="S74">
        <v>0.71535603637787204</v>
      </c>
      <c r="T74">
        <v>0.155212952520938</v>
      </c>
      <c r="U74">
        <v>3.7941263872579498E-2</v>
      </c>
      <c r="V74">
        <f t="shared" si="6"/>
        <v>0.38878540687581281</v>
      </c>
      <c r="W74">
        <f t="shared" si="7"/>
        <v>22.287061540651688</v>
      </c>
    </row>
    <row r="75" spans="2:23" x14ac:dyDescent="0.45">
      <c r="B75">
        <v>0</v>
      </c>
      <c r="C75">
        <v>1.7779048735907299</v>
      </c>
      <c r="D75">
        <v>-3.5419319594199399</v>
      </c>
      <c r="E75">
        <v>5.30610101765987</v>
      </c>
      <c r="F75">
        <v>8.1375317215011904</v>
      </c>
      <c r="G75">
        <v>3.58502343947062</v>
      </c>
      <c r="H75">
        <v>-6.8600426697856802</v>
      </c>
      <c r="I75">
        <v>-7.8640927305722297</v>
      </c>
      <c r="J75">
        <f t="shared" si="4"/>
        <v>6.7561711555570225E-2</v>
      </c>
      <c r="K75">
        <f t="shared" si="5"/>
        <v>5</v>
      </c>
      <c r="L75" cm="1">
        <f t="array" ref="L75">SUMPRODUCT(N(B75:H75*C75:I75&lt;0))</f>
        <v>3</v>
      </c>
      <c r="O75">
        <v>0.128235514785039</v>
      </c>
      <c r="P75">
        <v>0.63241174540204503</v>
      </c>
      <c r="Q75">
        <v>0.63873276949435098</v>
      </c>
      <c r="R75">
        <v>0.139908224311698</v>
      </c>
      <c r="S75">
        <v>3.78602506643229E-2</v>
      </c>
      <c r="T75">
        <v>1.1243549035521201E-2</v>
      </c>
      <c r="U75">
        <v>3.1671690761064298E-3</v>
      </c>
      <c r="V75">
        <f t="shared" si="6"/>
        <v>0.2273656032527262</v>
      </c>
      <c r="W75">
        <f t="shared" si="7"/>
        <v>13.033697001748635</v>
      </c>
    </row>
    <row r="76" spans="2:23" x14ac:dyDescent="0.45">
      <c r="B76">
        <v>0</v>
      </c>
      <c r="C76">
        <v>1.7779048735907299</v>
      </c>
      <c r="D76">
        <v>-3.5419319594199399</v>
      </c>
      <c r="E76">
        <v>-1.7952521083501103</v>
      </c>
      <c r="F76">
        <v>0</v>
      </c>
      <c r="G76">
        <v>1.27591923898725</v>
      </c>
      <c r="H76">
        <v>-3.5600139522696099</v>
      </c>
      <c r="I76">
        <v>-5.5785320906463394</v>
      </c>
      <c r="J76">
        <f t="shared" si="4"/>
        <v>-1.4277382497635025</v>
      </c>
      <c r="K76">
        <f t="shared" si="5"/>
        <v>4</v>
      </c>
      <c r="L76" cm="1">
        <f t="array" ref="L76">SUMPRODUCT(N(B76:H76*C76:I76&lt;0))</f>
        <v>2</v>
      </c>
      <c r="O76">
        <v>0.14407348342470799</v>
      </c>
      <c r="P76">
        <v>0.71104184088785904</v>
      </c>
      <c r="Q76">
        <v>0.48032554539912498</v>
      </c>
      <c r="R76">
        <v>0.47754672564760797</v>
      </c>
      <c r="S76">
        <v>0.71535603637787204</v>
      </c>
      <c r="T76">
        <v>0.155212952520938</v>
      </c>
      <c r="U76">
        <v>3.7941263872579498E-2</v>
      </c>
      <c r="V76">
        <f t="shared" si="6"/>
        <v>0.38878540687581281</v>
      </c>
      <c r="W76">
        <f t="shared" si="7"/>
        <v>22.287061540651688</v>
      </c>
    </row>
    <row r="77" spans="2:23" x14ac:dyDescent="0.45">
      <c r="B77">
        <v>0</v>
      </c>
      <c r="C77">
        <v>1.7779048735907299</v>
      </c>
      <c r="D77">
        <v>-3.5419319594199399</v>
      </c>
      <c r="E77">
        <v>-1.7952521083501103</v>
      </c>
      <c r="F77">
        <v>0</v>
      </c>
      <c r="G77">
        <v>1.27591923898725</v>
      </c>
      <c r="H77">
        <v>-3.5600139522696099</v>
      </c>
      <c r="I77">
        <v>-5.5785320906463394</v>
      </c>
      <c r="J77">
        <f t="shared" si="4"/>
        <v>-1.4277382497635025</v>
      </c>
      <c r="K77">
        <f t="shared" si="5"/>
        <v>4</v>
      </c>
      <c r="L77" cm="1">
        <f t="array" ref="L77">SUMPRODUCT(N(B77:H77*C77:I77&lt;0))</f>
        <v>2</v>
      </c>
      <c r="O77">
        <v>0.14407348342470799</v>
      </c>
      <c r="P77">
        <v>0.71104184088785904</v>
      </c>
      <c r="Q77">
        <v>0.48032554539912498</v>
      </c>
      <c r="R77">
        <v>0.47754672564760797</v>
      </c>
      <c r="S77">
        <v>0.71535603637787204</v>
      </c>
      <c r="T77">
        <v>0.155212952520938</v>
      </c>
      <c r="U77">
        <v>3.7941263872579498E-2</v>
      </c>
      <c r="V77">
        <f t="shared" si="6"/>
        <v>0.38878540687581281</v>
      </c>
      <c r="W77">
        <f t="shared" si="7"/>
        <v>22.287061540651688</v>
      </c>
    </row>
    <row r="78" spans="2:23" x14ac:dyDescent="0.45">
      <c r="B78">
        <v>0</v>
      </c>
      <c r="C78">
        <v>1.7779048735907299</v>
      </c>
      <c r="D78">
        <v>-3.5419319594199399</v>
      </c>
      <c r="E78">
        <v>-3.5424998494789097</v>
      </c>
      <c r="F78">
        <v>-3.5419319594199399</v>
      </c>
      <c r="G78">
        <v>-1.7952521083501103</v>
      </c>
      <c r="H78">
        <v>0</v>
      </c>
      <c r="I78">
        <v>1.27591923898725</v>
      </c>
      <c r="J78">
        <f t="shared" si="4"/>
        <v>-1.1709739705113651</v>
      </c>
      <c r="K78">
        <f t="shared" si="5"/>
        <v>4</v>
      </c>
      <c r="L78" cm="1">
        <f t="array" ref="L78">SUMPRODUCT(N(B78:H78*C78:I78&lt;0))</f>
        <v>1</v>
      </c>
      <c r="O78">
        <v>8.4612976001457299E-2</v>
      </c>
      <c r="P78">
        <v>0.74288762009577203</v>
      </c>
      <c r="Q78">
        <v>0.94137241062791399</v>
      </c>
      <c r="R78">
        <v>5.3661229936710901E-2</v>
      </c>
      <c r="S78">
        <v>0.72387776348571498</v>
      </c>
      <c r="T78">
        <v>0.44842693293570601</v>
      </c>
      <c r="U78">
        <v>0.69117868856005105</v>
      </c>
      <c r="V78">
        <f t="shared" si="6"/>
        <v>0.52657394594904661</v>
      </c>
      <c r="W78">
        <f t="shared" si="7"/>
        <v>30.185767602174646</v>
      </c>
    </row>
    <row r="79" spans="2:23" x14ac:dyDescent="0.45">
      <c r="B79">
        <v>0</v>
      </c>
      <c r="C79">
        <v>1.7779048735907299</v>
      </c>
      <c r="D79">
        <v>-3.5419319594199399</v>
      </c>
      <c r="E79">
        <v>-1.7709659792240702</v>
      </c>
      <c r="F79">
        <v>1.7952521083501201</v>
      </c>
      <c r="G79">
        <v>0</v>
      </c>
      <c r="H79">
        <v>1.27591923898725</v>
      </c>
      <c r="I79">
        <v>-3.5600139522696099</v>
      </c>
      <c r="J79">
        <f t="shared" si="4"/>
        <v>-0.50297945874818994</v>
      </c>
      <c r="K79">
        <f t="shared" si="5"/>
        <v>5</v>
      </c>
      <c r="L79" cm="1">
        <f t="array" ref="L79">SUMPRODUCT(N(B79:H79*C79:I79&lt;0))</f>
        <v>3</v>
      </c>
      <c r="O79">
        <v>9.3617140350784694E-2</v>
      </c>
      <c r="P79">
        <v>0.71757999029508901</v>
      </c>
      <c r="Q79">
        <v>1.27923282985392</v>
      </c>
      <c r="R79">
        <v>0.58257170079957898</v>
      </c>
      <c r="S79">
        <v>0.52017872261321796</v>
      </c>
      <c r="T79">
        <v>0.72075042580772697</v>
      </c>
      <c r="U79">
        <v>0.14138991012315699</v>
      </c>
      <c r="V79">
        <f t="shared" si="6"/>
        <v>0.57933153140621063</v>
      </c>
      <c r="W79">
        <f t="shared" si="7"/>
        <v>33.210087787617169</v>
      </c>
    </row>
    <row r="80" spans="2:23" x14ac:dyDescent="0.45">
      <c r="B80">
        <v>0</v>
      </c>
      <c r="C80">
        <v>1.7779048735907299</v>
      </c>
      <c r="D80">
        <v>-3.5419319594199399</v>
      </c>
      <c r="E80">
        <v>5.30610101765987</v>
      </c>
      <c r="F80">
        <v>8.1375317215011904</v>
      </c>
      <c r="G80">
        <v>3.58502343947062</v>
      </c>
      <c r="H80">
        <v>-6.8600426697856802</v>
      </c>
      <c r="I80">
        <v>-7.8640927305722297</v>
      </c>
      <c r="J80">
        <f t="shared" si="4"/>
        <v>6.7561711555570225E-2</v>
      </c>
      <c r="K80">
        <f t="shared" si="5"/>
        <v>5</v>
      </c>
      <c r="L80" cm="1">
        <f t="array" ref="L80">SUMPRODUCT(N(B80:H80*C80:I80&lt;0))</f>
        <v>3</v>
      </c>
      <c r="O80">
        <v>0.128235514785039</v>
      </c>
      <c r="P80">
        <v>0.63241174540204503</v>
      </c>
      <c r="Q80">
        <v>0.63873276949435098</v>
      </c>
      <c r="R80">
        <v>0.139908224311698</v>
      </c>
      <c r="S80">
        <v>3.78602506643229E-2</v>
      </c>
      <c r="T80">
        <v>1.1243549035521201E-2</v>
      </c>
      <c r="U80">
        <v>3.1671690761064298E-3</v>
      </c>
      <c r="V80">
        <f t="shared" si="6"/>
        <v>0.2273656032527262</v>
      </c>
      <c r="W80">
        <f t="shared" si="7"/>
        <v>13.033697001748635</v>
      </c>
    </row>
    <row r="81" spans="2:23" x14ac:dyDescent="0.45">
      <c r="B81">
        <v>0</v>
      </c>
      <c r="C81">
        <v>1.7779048735907299</v>
      </c>
      <c r="D81">
        <v>-3.5419319594199399</v>
      </c>
      <c r="E81">
        <v>-1.7952521083501103</v>
      </c>
      <c r="F81">
        <v>0</v>
      </c>
      <c r="G81">
        <v>1.27591923898725</v>
      </c>
      <c r="H81">
        <v>-3.5600139522696099</v>
      </c>
      <c r="I81">
        <v>-5.5785320906463394</v>
      </c>
      <c r="J81">
        <f t="shared" si="4"/>
        <v>-1.4277382497635025</v>
      </c>
      <c r="K81">
        <f t="shared" si="5"/>
        <v>4</v>
      </c>
      <c r="L81" cm="1">
        <f t="array" ref="L81">SUMPRODUCT(N(B81:H81*C81:I81&lt;0))</f>
        <v>2</v>
      </c>
      <c r="O81">
        <v>0.14407348342470799</v>
      </c>
      <c r="P81">
        <v>0.71104184088785904</v>
      </c>
      <c r="Q81">
        <v>0.48032554539912498</v>
      </c>
      <c r="R81">
        <v>0.47754672564760797</v>
      </c>
      <c r="S81">
        <v>0.71535603637787204</v>
      </c>
      <c r="T81">
        <v>0.155212952520938</v>
      </c>
      <c r="U81">
        <v>3.7941263872579498E-2</v>
      </c>
      <c r="V81">
        <f t="shared" si="6"/>
        <v>0.38878540687581281</v>
      </c>
      <c r="W81">
        <f t="shared" si="7"/>
        <v>22.287061540651688</v>
      </c>
    </row>
    <row r="82" spans="2:23" x14ac:dyDescent="0.45">
      <c r="B82">
        <v>0</v>
      </c>
      <c r="C82">
        <v>1.7779048735907299</v>
      </c>
      <c r="D82">
        <v>-3.5419319594199399</v>
      </c>
      <c r="E82">
        <v>5.30610101765987</v>
      </c>
      <c r="F82">
        <v>8.1375317215011904</v>
      </c>
      <c r="G82">
        <v>3.58502343947062</v>
      </c>
      <c r="H82">
        <v>-6.8600426697856802</v>
      </c>
      <c r="I82">
        <v>-7.8640927305722297</v>
      </c>
      <c r="J82">
        <f t="shared" si="4"/>
        <v>6.7561711555570225E-2</v>
      </c>
      <c r="K82">
        <f t="shared" si="5"/>
        <v>5</v>
      </c>
      <c r="L82" cm="1">
        <f t="array" ref="L82">SUMPRODUCT(N(B82:H82*C82:I82&lt;0))</f>
        <v>3</v>
      </c>
      <c r="O82">
        <v>0.128235514785039</v>
      </c>
      <c r="P82">
        <v>0.63241174540204503</v>
      </c>
      <c r="Q82">
        <v>0.63873276949435098</v>
      </c>
      <c r="R82">
        <v>0.139908224311698</v>
      </c>
      <c r="S82">
        <v>3.78602506643229E-2</v>
      </c>
      <c r="T82">
        <v>1.1243549035521201E-2</v>
      </c>
      <c r="U82">
        <v>3.1671690761064298E-3</v>
      </c>
      <c r="V82">
        <f t="shared" si="6"/>
        <v>0.2273656032527262</v>
      </c>
      <c r="W82">
        <f t="shared" si="7"/>
        <v>13.033697001748635</v>
      </c>
    </row>
    <row r="83" spans="2:23" x14ac:dyDescent="0.45">
      <c r="B83">
        <v>0</v>
      </c>
      <c r="C83">
        <v>1.7779048735907299</v>
      </c>
      <c r="D83">
        <v>-3.5419319594199399</v>
      </c>
      <c r="E83">
        <v>5.30610101765987</v>
      </c>
      <c r="F83">
        <v>8.1375317215011904</v>
      </c>
      <c r="G83">
        <v>3.58502343947062</v>
      </c>
      <c r="H83">
        <v>-6.8600426697856802</v>
      </c>
      <c r="I83">
        <v>-7.8640927305722297</v>
      </c>
      <c r="J83">
        <f t="shared" si="4"/>
        <v>6.7561711555570225E-2</v>
      </c>
      <c r="K83">
        <f t="shared" si="5"/>
        <v>5</v>
      </c>
      <c r="L83" cm="1">
        <f t="array" ref="L83">SUMPRODUCT(N(B83:H83*C83:I83&lt;0))</f>
        <v>3</v>
      </c>
      <c r="O83">
        <v>0.128235514785039</v>
      </c>
      <c r="P83">
        <v>0.63241174540204503</v>
      </c>
      <c r="Q83">
        <v>0.63873276949435098</v>
      </c>
      <c r="R83">
        <v>0.139908224311698</v>
      </c>
      <c r="S83">
        <v>3.78602506643229E-2</v>
      </c>
      <c r="T83">
        <v>1.1243549035521201E-2</v>
      </c>
      <c r="U83">
        <v>3.1671690761064298E-3</v>
      </c>
      <c r="V83">
        <f t="shared" si="6"/>
        <v>0.2273656032527262</v>
      </c>
      <c r="W83">
        <f t="shared" si="7"/>
        <v>13.033697001748635</v>
      </c>
    </row>
    <row r="84" spans="2:23" x14ac:dyDescent="0.45">
      <c r="B84">
        <v>0</v>
      </c>
      <c r="C84">
        <v>1.7779048735907299</v>
      </c>
      <c r="D84">
        <v>-3.5419319594199399</v>
      </c>
      <c r="E84">
        <v>-3.5424998494789097</v>
      </c>
      <c r="F84">
        <v>-3.5419319594199399</v>
      </c>
      <c r="G84">
        <v>-1.7709659792240702</v>
      </c>
      <c r="H84">
        <v>-3.5419319594199399</v>
      </c>
      <c r="I84">
        <v>-1.7709659792240702</v>
      </c>
      <c r="J84">
        <f t="shared" si="4"/>
        <v>-1.9915403515745176</v>
      </c>
      <c r="K84">
        <f t="shared" si="5"/>
        <v>2</v>
      </c>
      <c r="L84" cm="1">
        <f t="array" ref="L84">SUMPRODUCT(N(B84:H84*C84:I84&lt;0))</f>
        <v>1</v>
      </c>
      <c r="O84">
        <v>9.0585513720319297E-2</v>
      </c>
      <c r="P84">
        <v>0.79905427680277796</v>
      </c>
      <c r="Q84">
        <v>0.78861367180530295</v>
      </c>
      <c r="R84">
        <v>0.10697172545797901</v>
      </c>
      <c r="S84">
        <v>7.9317553201593505E-2</v>
      </c>
      <c r="T84">
        <v>4.3764526927281402E-2</v>
      </c>
      <c r="U84">
        <v>1.2675538784747401E-2</v>
      </c>
      <c r="V84">
        <f t="shared" si="6"/>
        <v>0.27442611524285737</v>
      </c>
      <c r="W84">
        <f t="shared" si="7"/>
        <v>15.731433357870804</v>
      </c>
    </row>
    <row r="85" spans="2:23" x14ac:dyDescent="0.45">
      <c r="B85">
        <v>0</v>
      </c>
      <c r="C85">
        <v>1.7779048735907299</v>
      </c>
      <c r="D85">
        <v>-3.5419319594199399</v>
      </c>
      <c r="E85">
        <v>5.30610101765987</v>
      </c>
      <c r="F85">
        <v>8.1375317215011904</v>
      </c>
      <c r="G85">
        <v>3.58502343947062</v>
      </c>
      <c r="H85">
        <v>-6.8600426697856802</v>
      </c>
      <c r="I85">
        <v>-7.8640927305722297</v>
      </c>
      <c r="J85">
        <f t="shared" si="4"/>
        <v>6.7561711555570225E-2</v>
      </c>
      <c r="K85">
        <f t="shared" si="5"/>
        <v>5</v>
      </c>
      <c r="L85" cm="1">
        <f t="array" ref="L85">SUMPRODUCT(N(B85:H85*C85:I85&lt;0))</f>
        <v>3</v>
      </c>
      <c r="O85">
        <v>0.128235514785039</v>
      </c>
      <c r="P85">
        <v>0.63241174540204503</v>
      </c>
      <c r="Q85">
        <v>0.63873276949435098</v>
      </c>
      <c r="R85">
        <v>0.139908224311698</v>
      </c>
      <c r="S85">
        <v>3.78602506643229E-2</v>
      </c>
      <c r="T85">
        <v>1.1243549035521201E-2</v>
      </c>
      <c r="U85">
        <v>3.1671690761064298E-3</v>
      </c>
      <c r="V85">
        <f t="shared" si="6"/>
        <v>0.2273656032527262</v>
      </c>
      <c r="W85">
        <f t="shared" si="7"/>
        <v>13.033697001748635</v>
      </c>
    </row>
    <row r="86" spans="2:23" x14ac:dyDescent="0.45">
      <c r="B86">
        <v>0</v>
      </c>
      <c r="C86">
        <v>1.7779048735907299</v>
      </c>
      <c r="D86">
        <v>-3.5419319594199399</v>
      </c>
      <c r="E86">
        <v>-1.7952521083501103</v>
      </c>
      <c r="F86">
        <v>0</v>
      </c>
      <c r="G86">
        <v>1.27591923898725</v>
      </c>
      <c r="H86">
        <v>-3.5600139522696099</v>
      </c>
      <c r="I86">
        <v>-5.5785320906463394</v>
      </c>
      <c r="J86">
        <f t="shared" si="4"/>
        <v>-1.4277382497635025</v>
      </c>
      <c r="K86">
        <f t="shared" si="5"/>
        <v>4</v>
      </c>
      <c r="L86" cm="1">
        <f t="array" ref="L86">SUMPRODUCT(N(B86:H86*C86:I86&lt;0))</f>
        <v>2</v>
      </c>
      <c r="O86">
        <v>0.14407348342470799</v>
      </c>
      <c r="P86">
        <v>0.71104184088785904</v>
      </c>
      <c r="Q86">
        <v>0.48032554539912498</v>
      </c>
      <c r="R86">
        <v>0.47754672564760797</v>
      </c>
      <c r="S86">
        <v>0.71535603637787204</v>
      </c>
      <c r="T86">
        <v>0.155212952520938</v>
      </c>
      <c r="U86">
        <v>3.7941263872579498E-2</v>
      </c>
      <c r="V86">
        <f t="shared" si="6"/>
        <v>0.38878540687581281</v>
      </c>
      <c r="W86">
        <f t="shared" si="7"/>
        <v>22.287061540651688</v>
      </c>
    </row>
    <row r="87" spans="2:23" x14ac:dyDescent="0.45">
      <c r="B87">
        <v>0</v>
      </c>
      <c r="C87">
        <v>1.7779048735907299</v>
      </c>
      <c r="D87">
        <v>-3.5419319594199399</v>
      </c>
      <c r="E87">
        <v>-1.7952521083501103</v>
      </c>
      <c r="F87">
        <v>0</v>
      </c>
      <c r="G87">
        <v>1.27591923898725</v>
      </c>
      <c r="H87">
        <v>-3.5600139522696099</v>
      </c>
      <c r="I87">
        <v>-5.5785320906463394</v>
      </c>
      <c r="J87">
        <f t="shared" si="4"/>
        <v>-1.4277382497635025</v>
      </c>
      <c r="K87">
        <f t="shared" si="5"/>
        <v>4</v>
      </c>
      <c r="L87" cm="1">
        <f t="array" ref="L87">SUMPRODUCT(N(B87:H87*C87:I87&lt;0))</f>
        <v>2</v>
      </c>
      <c r="O87">
        <v>0.14407348342470799</v>
      </c>
      <c r="P87">
        <v>0.71104184088785904</v>
      </c>
      <c r="Q87">
        <v>0.48032554539912498</v>
      </c>
      <c r="R87">
        <v>0.47754672564760797</v>
      </c>
      <c r="S87">
        <v>0.71535603637787204</v>
      </c>
      <c r="T87">
        <v>0.155212952520938</v>
      </c>
      <c r="U87">
        <v>3.7941263872579498E-2</v>
      </c>
      <c r="V87">
        <f t="shared" si="6"/>
        <v>0.38878540687581281</v>
      </c>
      <c r="W87">
        <f t="shared" si="7"/>
        <v>22.287061540651688</v>
      </c>
    </row>
    <row r="88" spans="2:23" x14ac:dyDescent="0.45">
      <c r="B88">
        <v>0</v>
      </c>
      <c r="C88">
        <v>1.7779048735907299</v>
      </c>
      <c r="D88">
        <v>-3.5419319594199399</v>
      </c>
      <c r="E88">
        <v>5.30610101765987</v>
      </c>
      <c r="F88">
        <v>8.1375317215011904</v>
      </c>
      <c r="G88">
        <v>3.58502343947062</v>
      </c>
      <c r="H88">
        <v>-6.8600426697856802</v>
      </c>
      <c r="I88">
        <v>-7.8640927305722297</v>
      </c>
      <c r="J88">
        <f t="shared" si="4"/>
        <v>6.7561711555570225E-2</v>
      </c>
      <c r="K88">
        <f t="shared" si="5"/>
        <v>5</v>
      </c>
      <c r="L88" cm="1">
        <f t="array" ref="L88">SUMPRODUCT(N(B88:H88*C88:I88&lt;0))</f>
        <v>3</v>
      </c>
      <c r="O88">
        <v>0.128235514785039</v>
      </c>
      <c r="P88">
        <v>0.63241174540204503</v>
      </c>
      <c r="Q88">
        <v>0.63873276949435098</v>
      </c>
      <c r="R88">
        <v>0.139908224311698</v>
      </c>
      <c r="S88">
        <v>3.78602506643229E-2</v>
      </c>
      <c r="T88">
        <v>1.1243549035521201E-2</v>
      </c>
      <c r="U88">
        <v>3.1671690761064298E-3</v>
      </c>
      <c r="V88">
        <f t="shared" si="6"/>
        <v>0.2273656032527262</v>
      </c>
      <c r="W88">
        <f t="shared" si="7"/>
        <v>13.033697001748635</v>
      </c>
    </row>
    <row r="89" spans="2:23" x14ac:dyDescent="0.45">
      <c r="B89">
        <v>0</v>
      </c>
      <c r="C89">
        <v>1.7779048735907299</v>
      </c>
      <c r="D89">
        <v>-3.5419319594199399</v>
      </c>
      <c r="E89">
        <v>5.30610101765987</v>
      </c>
      <c r="F89">
        <v>8.1375317215011904</v>
      </c>
      <c r="G89">
        <v>3.58502343947062</v>
      </c>
      <c r="H89">
        <v>-6.8600426697856802</v>
      </c>
      <c r="I89">
        <v>-7.8640927305722297</v>
      </c>
      <c r="J89">
        <f t="shared" si="4"/>
        <v>6.7561711555570225E-2</v>
      </c>
      <c r="K89">
        <f t="shared" si="5"/>
        <v>5</v>
      </c>
      <c r="L89" cm="1">
        <f t="array" ref="L89">SUMPRODUCT(N(B89:H89*C89:I89&lt;0))</f>
        <v>3</v>
      </c>
      <c r="O89">
        <v>0.128235514785039</v>
      </c>
      <c r="P89">
        <v>0.63241174540204503</v>
      </c>
      <c r="Q89">
        <v>0.63873276949435098</v>
      </c>
      <c r="R89">
        <v>0.139908224311698</v>
      </c>
      <c r="S89">
        <v>3.78602506643229E-2</v>
      </c>
      <c r="T89">
        <v>1.1243549035521201E-2</v>
      </c>
      <c r="U89">
        <v>3.1671690761064298E-3</v>
      </c>
      <c r="V89">
        <f t="shared" si="6"/>
        <v>0.2273656032527262</v>
      </c>
      <c r="W89">
        <f t="shared" si="7"/>
        <v>13.033697001748635</v>
      </c>
    </row>
    <row r="90" spans="2:23" x14ac:dyDescent="0.45">
      <c r="B90">
        <v>0</v>
      </c>
      <c r="C90">
        <v>1.7779048735907299</v>
      </c>
      <c r="D90">
        <v>-3.5419319594199399</v>
      </c>
      <c r="E90">
        <v>-3.5424998494789097</v>
      </c>
      <c r="F90">
        <v>-3.5419319594199399</v>
      </c>
      <c r="G90">
        <v>-1.7709659792240702</v>
      </c>
      <c r="H90">
        <v>-3.5423578768831798</v>
      </c>
      <c r="I90">
        <v>-3.90383047256957E-10</v>
      </c>
      <c r="J90">
        <f t="shared" si="4"/>
        <v>-1.7702228439032117</v>
      </c>
      <c r="K90">
        <f t="shared" si="5"/>
        <v>2</v>
      </c>
      <c r="L90" cm="1">
        <f t="array" ref="L90">SUMPRODUCT(N(B90:H90*C90:I90&lt;0))</f>
        <v>1</v>
      </c>
      <c r="O90">
        <v>8.2089220682593805E-2</v>
      </c>
      <c r="P90">
        <v>0.75040243195911804</v>
      </c>
      <c r="Q90">
        <v>0.86511107450773805</v>
      </c>
      <c r="R90">
        <v>4.6997020142479501E-2</v>
      </c>
      <c r="S90">
        <v>0.20363357864422599</v>
      </c>
      <c r="T90">
        <v>0.94625433963234695</v>
      </c>
      <c r="U90">
        <v>0.19634076670300801</v>
      </c>
      <c r="V90">
        <f t="shared" si="6"/>
        <v>0.44154691889593006</v>
      </c>
      <c r="W90">
        <f t="shared" si="7"/>
        <v>25.311606815690258</v>
      </c>
    </row>
    <row r="91" spans="2:23" x14ac:dyDescent="0.45">
      <c r="B91">
        <v>0</v>
      </c>
      <c r="C91">
        <v>1.7779048735907299</v>
      </c>
      <c r="D91">
        <v>-3.5419319594199399</v>
      </c>
      <c r="E91">
        <v>-1.7952521083501103</v>
      </c>
      <c r="F91">
        <v>0</v>
      </c>
      <c r="G91">
        <v>1.27591923898725</v>
      </c>
      <c r="H91">
        <v>-3.5600139522696099</v>
      </c>
      <c r="I91">
        <v>-5.5785320906463394</v>
      </c>
      <c r="J91">
        <f t="shared" si="4"/>
        <v>-1.4277382497635025</v>
      </c>
      <c r="K91">
        <f t="shared" si="5"/>
        <v>4</v>
      </c>
      <c r="L91" cm="1">
        <f t="array" ref="L91">SUMPRODUCT(N(B91:H91*C91:I91&lt;0))</f>
        <v>2</v>
      </c>
      <c r="O91">
        <v>0.14407348342470799</v>
      </c>
      <c r="P91">
        <v>0.71104184088785904</v>
      </c>
      <c r="Q91">
        <v>0.48032554539912498</v>
      </c>
      <c r="R91">
        <v>0.47754672564760797</v>
      </c>
      <c r="S91">
        <v>0.71535603637787204</v>
      </c>
      <c r="T91">
        <v>0.155212952520938</v>
      </c>
      <c r="U91">
        <v>3.7941263872579498E-2</v>
      </c>
      <c r="V91">
        <f t="shared" si="6"/>
        <v>0.38878540687581281</v>
      </c>
      <c r="W91">
        <f t="shared" si="7"/>
        <v>22.287061540651688</v>
      </c>
    </row>
    <row r="92" spans="2:23" x14ac:dyDescent="0.45">
      <c r="B92">
        <v>0</v>
      </c>
      <c r="C92">
        <v>1.7779048735907299</v>
      </c>
      <c r="D92">
        <v>-3.5419319594199399</v>
      </c>
      <c r="E92">
        <v>-3.5424998494789097</v>
      </c>
      <c r="F92">
        <v>-3.5419319594199399</v>
      </c>
      <c r="G92">
        <v>-3.5424998494789097</v>
      </c>
      <c r="H92">
        <v>-3.5419319594199399</v>
      </c>
      <c r="I92">
        <v>-1.7952521083501103</v>
      </c>
      <c r="J92">
        <f t="shared" si="4"/>
        <v>-2.2160178514971274</v>
      </c>
      <c r="K92">
        <f t="shared" si="5"/>
        <v>2</v>
      </c>
      <c r="L92" cm="1">
        <f t="array" ref="L92">SUMPRODUCT(N(B92:H92*C92:I92&lt;0))</f>
        <v>1</v>
      </c>
      <c r="O92">
        <v>0.109369142596054</v>
      </c>
      <c r="P92">
        <v>0.85606033696065598</v>
      </c>
      <c r="Q92">
        <v>0.84893785232000496</v>
      </c>
      <c r="R92">
        <v>0.52648097170413299</v>
      </c>
      <c r="S92">
        <v>0.359357581984108</v>
      </c>
      <c r="T92">
        <v>0.18394251168297299</v>
      </c>
      <c r="U92">
        <v>0.88498062639580599</v>
      </c>
      <c r="V92">
        <f t="shared" si="6"/>
        <v>0.53844700337767637</v>
      </c>
      <c r="W92">
        <f t="shared" si="7"/>
        <v>30.866388728656609</v>
      </c>
    </row>
    <row r="93" spans="2:23" x14ac:dyDescent="0.45">
      <c r="B93">
        <v>0</v>
      </c>
      <c r="C93">
        <v>1.7779048735907299</v>
      </c>
      <c r="D93">
        <v>-3.5419319594199399</v>
      </c>
      <c r="E93">
        <v>-1.7709659792240702</v>
      </c>
      <c r="F93">
        <v>-3.5424998494789097</v>
      </c>
      <c r="G93">
        <v>-1.7709659792240702</v>
      </c>
      <c r="H93">
        <v>-3.5424998494789097</v>
      </c>
      <c r="I93">
        <v>-1.7709659792240702</v>
      </c>
      <c r="J93">
        <f t="shared" si="4"/>
        <v>-1.770240590307405</v>
      </c>
      <c r="K93">
        <f t="shared" si="5"/>
        <v>2</v>
      </c>
      <c r="L93" cm="1">
        <f t="array" ref="L93">SUMPRODUCT(N(B93:H93*C93:I93&lt;0))</f>
        <v>1</v>
      </c>
      <c r="O93">
        <v>0.178485541067262</v>
      </c>
      <c r="P93">
        <v>0.95039780615288905</v>
      </c>
      <c r="Q93">
        <v>0.218388103778136</v>
      </c>
      <c r="R93">
        <v>0.26382173773226397</v>
      </c>
      <c r="S93">
        <v>0.155531702654604</v>
      </c>
      <c r="T93">
        <v>3.5281014266621898E-2</v>
      </c>
      <c r="U93">
        <v>1.4574396947437399E-2</v>
      </c>
      <c r="V93">
        <f t="shared" si="6"/>
        <v>0.25949718608560202</v>
      </c>
      <c r="W93">
        <f t="shared" si="7"/>
        <v>14.875634871149158</v>
      </c>
    </row>
    <row r="94" spans="2:23" x14ac:dyDescent="0.45">
      <c r="B94">
        <v>0</v>
      </c>
      <c r="C94">
        <v>1.7779048735907299</v>
      </c>
      <c r="D94">
        <v>-3.5419319594199399</v>
      </c>
      <c r="E94">
        <v>-3.5424998494789097</v>
      </c>
      <c r="F94">
        <v>-3.5419319594199399</v>
      </c>
      <c r="G94">
        <v>-1.7709659792240702</v>
      </c>
      <c r="H94">
        <v>1.7952521083501201</v>
      </c>
      <c r="I94">
        <v>0</v>
      </c>
      <c r="J94">
        <f t="shared" si="4"/>
        <v>-1.1030215957002514</v>
      </c>
      <c r="K94">
        <f t="shared" si="5"/>
        <v>4</v>
      </c>
      <c r="L94" cm="1">
        <f t="array" ref="L94">SUMPRODUCT(N(B94:H94*C94:I94&lt;0))</f>
        <v>2</v>
      </c>
      <c r="O94">
        <v>9.1766309131337404E-2</v>
      </c>
      <c r="P94">
        <v>0.79442985773559005</v>
      </c>
      <c r="Q94">
        <v>0.831559265478232</v>
      </c>
      <c r="R94">
        <v>2.5205554969364601E-2</v>
      </c>
      <c r="S94">
        <v>0.59138214393809996</v>
      </c>
      <c r="T94">
        <v>0.61359003886127095</v>
      </c>
      <c r="U94">
        <v>0.74778441708334298</v>
      </c>
      <c r="V94">
        <f t="shared" si="6"/>
        <v>0.52795965531389122</v>
      </c>
      <c r="W94">
        <f t="shared" si="7"/>
        <v>30.265203170860008</v>
      </c>
    </row>
    <row r="95" spans="2:23" x14ac:dyDescent="0.45">
      <c r="B95">
        <v>0</v>
      </c>
      <c r="C95">
        <v>1.7779048735907299</v>
      </c>
      <c r="D95">
        <v>-3.5419319594199399</v>
      </c>
      <c r="E95">
        <v>-3.5424998494789097</v>
      </c>
      <c r="F95">
        <v>-3.5419319594199399</v>
      </c>
      <c r="G95">
        <v>-1.7952521083501103</v>
      </c>
      <c r="H95">
        <v>0</v>
      </c>
      <c r="I95">
        <v>1.27591923898725</v>
      </c>
      <c r="J95">
        <f t="shared" si="4"/>
        <v>-1.1709739705113651</v>
      </c>
      <c r="K95">
        <f t="shared" si="5"/>
        <v>4</v>
      </c>
      <c r="L95" cm="1">
        <f t="array" ref="L95">SUMPRODUCT(N(B95:H95*C95:I95&lt;0))</f>
        <v>1</v>
      </c>
      <c r="O95">
        <v>8.4612976001457299E-2</v>
      </c>
      <c r="P95">
        <v>0.74288762009577203</v>
      </c>
      <c r="Q95">
        <v>0.94137241062791399</v>
      </c>
      <c r="R95">
        <v>5.3661229936710901E-2</v>
      </c>
      <c r="S95">
        <v>0.72387776348571498</v>
      </c>
      <c r="T95">
        <v>0.44842693293570601</v>
      </c>
      <c r="U95">
        <v>0.69117868856005105</v>
      </c>
      <c r="V95">
        <f t="shared" si="6"/>
        <v>0.52657394594904661</v>
      </c>
      <c r="W95">
        <f t="shared" si="7"/>
        <v>30.185767602174646</v>
      </c>
    </row>
    <row r="96" spans="2:23" x14ac:dyDescent="0.45">
      <c r="B96">
        <v>0</v>
      </c>
      <c r="C96">
        <v>1.7779048735907299</v>
      </c>
      <c r="D96">
        <v>-3.5419319594199399</v>
      </c>
      <c r="E96">
        <v>-1.7709659792240702</v>
      </c>
      <c r="F96">
        <v>-3.5424998494789097</v>
      </c>
      <c r="G96">
        <v>-1.7709659792240702</v>
      </c>
      <c r="H96">
        <v>-3.5423578768831798</v>
      </c>
      <c r="I96">
        <v>-3.90383047256957E-10</v>
      </c>
      <c r="J96">
        <f t="shared" si="4"/>
        <v>-1.5488520963787278</v>
      </c>
      <c r="K96">
        <f t="shared" si="5"/>
        <v>2</v>
      </c>
      <c r="L96" cm="1">
        <f t="array" ref="L96">SUMPRODUCT(N(B96:H96*C96:I96&lt;0))</f>
        <v>1</v>
      </c>
      <c r="O96">
        <v>0.17857397463335201</v>
      </c>
      <c r="P96">
        <v>0.94161191039233505</v>
      </c>
      <c r="Q96">
        <v>0.18929621538432101</v>
      </c>
      <c r="R96">
        <v>0.76899990574864996</v>
      </c>
      <c r="S96">
        <v>1.11946296773704</v>
      </c>
      <c r="T96">
        <v>0.87178623855368798</v>
      </c>
      <c r="U96">
        <v>0.119295175775689</v>
      </c>
      <c r="V96">
        <f t="shared" si="6"/>
        <v>0.59843234117501076</v>
      </c>
      <c r="W96">
        <f t="shared" si="7"/>
        <v>34.305038666083419</v>
      </c>
    </row>
    <row r="97" spans="2:23" x14ac:dyDescent="0.45">
      <c r="B97">
        <v>0</v>
      </c>
      <c r="C97">
        <v>1.7779048735907299</v>
      </c>
      <c r="D97">
        <v>-3.5419319594199399</v>
      </c>
      <c r="E97">
        <v>5.30610101765987</v>
      </c>
      <c r="F97">
        <v>8.1375317215011904</v>
      </c>
      <c r="G97">
        <v>3.58502343947062</v>
      </c>
      <c r="H97">
        <v>-6.8600426697856802</v>
      </c>
      <c r="I97">
        <v>-7.8640927305722297</v>
      </c>
      <c r="J97">
        <f t="shared" si="4"/>
        <v>6.7561711555570225E-2</v>
      </c>
      <c r="K97">
        <f t="shared" si="5"/>
        <v>5</v>
      </c>
      <c r="L97" cm="1">
        <f t="array" ref="L97">SUMPRODUCT(N(B97:H97*C97:I97&lt;0))</f>
        <v>3</v>
      </c>
      <c r="O97">
        <v>0.128235514785039</v>
      </c>
      <c r="P97">
        <v>0.63241174540204503</v>
      </c>
      <c r="Q97">
        <v>0.63873276949435098</v>
      </c>
      <c r="R97">
        <v>0.139908224311698</v>
      </c>
      <c r="S97">
        <v>3.78602506643229E-2</v>
      </c>
      <c r="T97">
        <v>1.1243549035521201E-2</v>
      </c>
      <c r="U97">
        <v>3.1671690761064298E-3</v>
      </c>
      <c r="V97">
        <f t="shared" si="6"/>
        <v>0.2273656032527262</v>
      </c>
      <c r="W97">
        <f t="shared" si="7"/>
        <v>13.033697001748635</v>
      </c>
    </row>
    <row r="98" spans="2:23" x14ac:dyDescent="0.45">
      <c r="B98">
        <v>0</v>
      </c>
      <c r="C98">
        <v>1.7779048735907299</v>
      </c>
      <c r="D98">
        <v>-3.5419319594199399</v>
      </c>
      <c r="E98">
        <v>5.30610101765987</v>
      </c>
      <c r="F98">
        <v>8.1375317215011904</v>
      </c>
      <c r="G98">
        <v>3.58502343947062</v>
      </c>
      <c r="H98">
        <v>-6.8600426697856802</v>
      </c>
      <c r="I98">
        <v>-7.8640927305722297</v>
      </c>
      <c r="J98">
        <f t="shared" si="4"/>
        <v>6.7561711555570225E-2</v>
      </c>
      <c r="K98">
        <f t="shared" si="5"/>
        <v>5</v>
      </c>
      <c r="L98" cm="1">
        <f t="array" ref="L98">SUMPRODUCT(N(B98:H98*C98:I98&lt;0))</f>
        <v>3</v>
      </c>
      <c r="O98">
        <v>0.128235514785039</v>
      </c>
      <c r="P98">
        <v>0.63241174540204503</v>
      </c>
      <c r="Q98">
        <v>0.63873276949435098</v>
      </c>
      <c r="R98">
        <v>0.139908224311698</v>
      </c>
      <c r="S98">
        <v>3.78602506643229E-2</v>
      </c>
      <c r="T98">
        <v>1.1243549035521201E-2</v>
      </c>
      <c r="U98">
        <v>3.1671690761064298E-3</v>
      </c>
      <c r="V98">
        <f t="shared" si="6"/>
        <v>0.2273656032527262</v>
      </c>
      <c r="W98">
        <f t="shared" si="7"/>
        <v>13.033697001748635</v>
      </c>
    </row>
    <row r="99" spans="2:23" x14ac:dyDescent="0.45">
      <c r="B99">
        <v>0</v>
      </c>
      <c r="C99">
        <v>1.7779048735907299</v>
      </c>
      <c r="D99">
        <v>-3.5419319594199399</v>
      </c>
      <c r="E99">
        <v>-3.5424998494789097</v>
      </c>
      <c r="F99">
        <v>-3.5419319594199399</v>
      </c>
      <c r="G99">
        <v>-1.7952521083501103</v>
      </c>
      <c r="H99">
        <v>0</v>
      </c>
      <c r="I99">
        <v>1.27591923898725</v>
      </c>
      <c r="J99">
        <f t="shared" si="4"/>
        <v>-1.1709739705113651</v>
      </c>
      <c r="K99">
        <f t="shared" si="5"/>
        <v>4</v>
      </c>
      <c r="L99" cm="1">
        <f t="array" ref="L99">SUMPRODUCT(N(B99:H99*C99:I99&lt;0))</f>
        <v>1</v>
      </c>
      <c r="O99">
        <v>8.4612976001457299E-2</v>
      </c>
      <c r="P99">
        <v>0.74288762009577203</v>
      </c>
      <c r="Q99">
        <v>0.94137241062791399</v>
      </c>
      <c r="R99">
        <v>5.3661229936710901E-2</v>
      </c>
      <c r="S99">
        <v>0.72387776348571498</v>
      </c>
      <c r="T99">
        <v>0.44842693293570601</v>
      </c>
      <c r="U99">
        <v>0.69117868856005105</v>
      </c>
      <c r="V99">
        <f t="shared" si="6"/>
        <v>0.52657394594904661</v>
      </c>
      <c r="W99">
        <f t="shared" si="7"/>
        <v>30.185767602174646</v>
      </c>
    </row>
    <row r="100" spans="2:23" x14ac:dyDescent="0.45">
      <c r="B100">
        <v>0</v>
      </c>
      <c r="C100">
        <v>1.7779048735907299</v>
      </c>
      <c r="D100">
        <v>-3.5419319594199399</v>
      </c>
      <c r="E100">
        <v>-3.5424998494789097</v>
      </c>
      <c r="F100">
        <v>-3.5419319594199399</v>
      </c>
      <c r="G100">
        <v>-1.7709659792240702</v>
      </c>
      <c r="H100">
        <v>1.7952521083501201</v>
      </c>
      <c r="I100">
        <v>0</v>
      </c>
      <c r="J100">
        <f t="shared" si="4"/>
        <v>-1.1030215957002514</v>
      </c>
      <c r="K100">
        <f t="shared" si="5"/>
        <v>4</v>
      </c>
      <c r="L100" cm="1">
        <f t="array" ref="L100">SUMPRODUCT(N(B100:H100*C100:I100&lt;0))</f>
        <v>2</v>
      </c>
      <c r="O100">
        <v>9.1766309131337404E-2</v>
      </c>
      <c r="P100">
        <v>0.79442985773559005</v>
      </c>
      <c r="Q100">
        <v>0.831559265478232</v>
      </c>
      <c r="R100">
        <v>2.5205554969364601E-2</v>
      </c>
      <c r="S100">
        <v>0.59138214393809996</v>
      </c>
      <c r="T100">
        <v>0.61359003886127095</v>
      </c>
      <c r="U100">
        <v>0.74778441708334298</v>
      </c>
      <c r="V100">
        <f t="shared" si="6"/>
        <v>0.52795965531389122</v>
      </c>
      <c r="W100">
        <f t="shared" si="7"/>
        <v>30.265203170860008</v>
      </c>
    </row>
    <row r="101" spans="2:23" x14ac:dyDescent="0.45">
      <c r="B101">
        <v>0</v>
      </c>
      <c r="C101">
        <v>1.7779048735907299</v>
      </c>
      <c r="D101">
        <v>-3.5419319594199399</v>
      </c>
      <c r="E101">
        <v>-3.5424998494789097</v>
      </c>
      <c r="F101">
        <v>-3.5419319594199399</v>
      </c>
      <c r="G101">
        <v>-1.7952521083501103</v>
      </c>
      <c r="H101">
        <v>0</v>
      </c>
      <c r="I101">
        <v>1.27591923898725</v>
      </c>
      <c r="J101">
        <f t="shared" si="4"/>
        <v>-1.1709739705113651</v>
      </c>
      <c r="K101">
        <f t="shared" si="5"/>
        <v>4</v>
      </c>
      <c r="L101" cm="1">
        <f t="array" ref="L101">SUMPRODUCT(N(B101:H101*C101:I101&lt;0))</f>
        <v>1</v>
      </c>
      <c r="O101">
        <v>8.4612976001457299E-2</v>
      </c>
      <c r="P101">
        <v>0.74288762009577203</v>
      </c>
      <c r="Q101">
        <v>0.94137241062791399</v>
      </c>
      <c r="R101">
        <v>5.3661229936710901E-2</v>
      </c>
      <c r="S101">
        <v>0.72387776348571498</v>
      </c>
      <c r="T101">
        <v>0.44842693293570601</v>
      </c>
      <c r="U101">
        <v>0.69117868856005105</v>
      </c>
      <c r="V101">
        <f t="shared" si="6"/>
        <v>0.52657394594904661</v>
      </c>
      <c r="W101">
        <f t="shared" si="7"/>
        <v>30.185767602174646</v>
      </c>
    </row>
    <row r="104" spans="2:23" x14ac:dyDescent="0.45">
      <c r="I104" t="s">
        <v>1</v>
      </c>
      <c r="J104">
        <f>AVERAGE(J2:J101)</f>
        <v>-0.85505321872909401</v>
      </c>
      <c r="K104">
        <f t="shared" ref="K104:L104" si="8">AVERAGE(K2:K101)</f>
        <v>4.04</v>
      </c>
      <c r="L104">
        <f t="shared" si="8"/>
        <v>2.16</v>
      </c>
      <c r="V104">
        <f>AVERAGE(V2:V101)</f>
        <v>0.39786532064992464</v>
      </c>
      <c r="W104">
        <f>AVERAGE(W2:W101)</f>
        <v>22.807566151906485</v>
      </c>
    </row>
    <row r="105" spans="2:23" x14ac:dyDescent="0.45">
      <c r="I105" t="s">
        <v>7</v>
      </c>
      <c r="J105">
        <f>_xlfn.VAR.S(J2:J101)</f>
        <v>0.678912911837524</v>
      </c>
      <c r="K105">
        <f t="shared" ref="K105:L105" si="9">_xlfn.VAR.S(K2:K101)</f>
        <v>0.96808080808080721</v>
      </c>
      <c r="L105">
        <f t="shared" si="9"/>
        <v>0.55999999999999994</v>
      </c>
      <c r="W105">
        <f>_xlfn.VAR.S(W2:W101)</f>
        <v>70.724823704946431</v>
      </c>
    </row>
    <row r="106" spans="2:23" x14ac:dyDescent="0.45">
      <c r="I106" t="s">
        <v>8</v>
      </c>
      <c r="J106">
        <f>J105/(50^(1/2))</f>
        <v>9.6012784759083578E-2</v>
      </c>
      <c r="K106">
        <f t="shared" ref="K106:L106" si="10">K105/(50^(1/2))</f>
        <v>0.13690730082609828</v>
      </c>
      <c r="L106">
        <f t="shared" si="10"/>
        <v>7.9195959492893306E-2</v>
      </c>
      <c r="W106">
        <f>W105/(50^(1/2))</f>
        <v>10.00200048799814</v>
      </c>
    </row>
    <row r="107" spans="2:23" x14ac:dyDescent="0.45">
      <c r="K107">
        <f>COUNTIF(K2:K101,"&lt;=3")</f>
        <v>20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61A1-7BBF-4CD4-A7FF-61EA79E77D8B}">
  <dimension ref="A1:AM105"/>
  <sheetViews>
    <sheetView topLeftCell="A59" workbookViewId="0">
      <selection activeCell="X65" sqref="X65"/>
    </sheetView>
  </sheetViews>
  <sheetFormatPr defaultRowHeight="18" x14ac:dyDescent="0.45"/>
  <sheetData>
    <row r="1" spans="1:39" x14ac:dyDescent="0.45">
      <c r="A1" t="s">
        <v>12</v>
      </c>
      <c r="B1" t="s">
        <v>44</v>
      </c>
      <c r="C1" t="s">
        <v>9</v>
      </c>
      <c r="D1" t="s">
        <v>10</v>
      </c>
      <c r="E1" t="s">
        <v>11</v>
      </c>
      <c r="G1" t="s">
        <v>45</v>
      </c>
      <c r="H1" t="s">
        <v>9</v>
      </c>
      <c r="I1" t="s">
        <v>10</v>
      </c>
      <c r="J1" t="s">
        <v>11</v>
      </c>
      <c r="L1" t="s">
        <v>4</v>
      </c>
      <c r="M1" t="s">
        <v>9</v>
      </c>
      <c r="N1" t="s">
        <v>10</v>
      </c>
      <c r="O1" t="s">
        <v>11</v>
      </c>
    </row>
    <row r="2" spans="1:39" x14ac:dyDescent="0.45">
      <c r="C2">
        <v>6.7561711555570225E-2</v>
      </c>
      <c r="D2">
        <v>-1.2940462715802379</v>
      </c>
      <c r="E2">
        <v>6.7561711555570225E-2</v>
      </c>
      <c r="H2">
        <v>5</v>
      </c>
      <c r="I2">
        <v>3</v>
      </c>
      <c r="J2">
        <v>5</v>
      </c>
      <c r="M2">
        <v>30.185767602174646</v>
      </c>
      <c r="N2">
        <v>13.033697001748635</v>
      </c>
      <c r="O2">
        <v>22.287061540651688</v>
      </c>
      <c r="Q2" t="s">
        <v>15</v>
      </c>
      <c r="Y2" t="s">
        <v>15</v>
      </c>
      <c r="AG2" t="s">
        <v>15</v>
      </c>
    </row>
    <row r="3" spans="1:39" x14ac:dyDescent="0.45">
      <c r="C3">
        <v>-0.50297945874818994</v>
      </c>
      <c r="D3">
        <v>6.7561711555570225E-2</v>
      </c>
      <c r="E3">
        <v>-0.94953223672951004</v>
      </c>
      <c r="H3">
        <v>5</v>
      </c>
      <c r="I3">
        <v>5</v>
      </c>
      <c r="J3">
        <v>4</v>
      </c>
      <c r="M3">
        <v>33.210087787617169</v>
      </c>
      <c r="N3">
        <v>13.033697001748635</v>
      </c>
      <c r="O3">
        <v>13.033697001748635</v>
      </c>
    </row>
    <row r="4" spans="1:39" ht="18.600000000000001" thickBot="1" x14ac:dyDescent="0.5">
      <c r="C4">
        <v>-1.9915403515745176</v>
      </c>
      <c r="D4">
        <v>-1.1709739705113651</v>
      </c>
      <c r="E4">
        <v>-1.2940462715802379</v>
      </c>
      <c r="H4">
        <v>2</v>
      </c>
      <c r="I4">
        <v>4</v>
      </c>
      <c r="J4">
        <v>3</v>
      </c>
      <c r="M4">
        <v>22.287061540651688</v>
      </c>
      <c r="N4">
        <v>22.287061540651688</v>
      </c>
      <c r="O4">
        <v>33.210087787617169</v>
      </c>
      <c r="Q4" t="s">
        <v>16</v>
      </c>
      <c r="Y4" t="s">
        <v>16</v>
      </c>
      <c r="AG4" t="s">
        <v>16</v>
      </c>
    </row>
    <row r="5" spans="1:39" x14ac:dyDescent="0.45">
      <c r="C5">
        <v>6.7561711555570225E-2</v>
      </c>
      <c r="D5">
        <v>-1.1709739705113651</v>
      </c>
      <c r="E5">
        <v>6.7561711555570225E-2</v>
      </c>
      <c r="H5">
        <v>5</v>
      </c>
      <c r="I5">
        <v>4</v>
      </c>
      <c r="J5">
        <v>5</v>
      </c>
      <c r="M5">
        <v>30.185767602174646</v>
      </c>
      <c r="N5">
        <v>22.287061540651688</v>
      </c>
      <c r="O5">
        <v>34.305038666083419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Y5" s="2" t="s">
        <v>17</v>
      </c>
      <c r="Z5" s="2" t="s">
        <v>18</v>
      </c>
      <c r="AA5" s="2" t="s">
        <v>19</v>
      </c>
      <c r="AB5" s="2" t="s">
        <v>20</v>
      </c>
      <c r="AC5" s="2" t="s">
        <v>21</v>
      </c>
      <c r="AG5" s="2" t="s">
        <v>17</v>
      </c>
      <c r="AH5" s="2" t="s">
        <v>18</v>
      </c>
      <c r="AI5" s="2" t="s">
        <v>19</v>
      </c>
      <c r="AJ5" s="2" t="s">
        <v>20</v>
      </c>
      <c r="AK5" s="2" t="s">
        <v>21</v>
      </c>
    </row>
    <row r="6" spans="1:39" x14ac:dyDescent="0.45">
      <c r="C6">
        <v>-1.4277382497635025</v>
      </c>
      <c r="D6">
        <v>6.7561711555570225E-2</v>
      </c>
      <c r="E6">
        <v>-1.4277382497635025</v>
      </c>
      <c r="H6">
        <v>4</v>
      </c>
      <c r="I6">
        <v>5</v>
      </c>
      <c r="J6">
        <v>4</v>
      </c>
      <c r="M6">
        <v>35.84417032646386</v>
      </c>
      <c r="N6">
        <v>13.033697001748635</v>
      </c>
      <c r="O6">
        <v>35.84417032646386</v>
      </c>
      <c r="Q6" t="s">
        <v>22</v>
      </c>
      <c r="R6">
        <v>100</v>
      </c>
      <c r="S6">
        <v>-99.309446434183258</v>
      </c>
      <c r="T6">
        <v>-0.99309446434183257</v>
      </c>
      <c r="U6">
        <v>0.7868059526261475</v>
      </c>
      <c r="Y6" t="s">
        <v>22</v>
      </c>
      <c r="Z6">
        <v>100</v>
      </c>
      <c r="AA6">
        <v>379</v>
      </c>
      <c r="AB6">
        <v>3.79</v>
      </c>
      <c r="AC6">
        <v>1.3594949494949486</v>
      </c>
      <c r="AG6" t="s">
        <v>22</v>
      </c>
      <c r="AH6">
        <v>100</v>
      </c>
      <c r="AI6">
        <v>2373.4265975923236</v>
      </c>
      <c r="AJ6">
        <v>23.734265975923236</v>
      </c>
      <c r="AK6">
        <v>68.139643781101142</v>
      </c>
    </row>
    <row r="7" spans="1:39" x14ac:dyDescent="0.45">
      <c r="C7">
        <v>-1.2940462715802379</v>
      </c>
      <c r="D7">
        <v>-1.4277382497635025</v>
      </c>
      <c r="E7">
        <v>-1.1709739705113651</v>
      </c>
      <c r="H7">
        <v>3</v>
      </c>
      <c r="I7">
        <v>4</v>
      </c>
      <c r="J7">
        <v>4</v>
      </c>
      <c r="M7">
        <v>25.150414820036048</v>
      </c>
      <c r="N7">
        <v>13.033697001748635</v>
      </c>
      <c r="O7">
        <v>30.185767602174646</v>
      </c>
      <c r="Q7" t="s">
        <v>23</v>
      </c>
      <c r="R7">
        <v>100</v>
      </c>
      <c r="S7">
        <v>-76.640110533208613</v>
      </c>
      <c r="T7">
        <v>-0.76640110533208616</v>
      </c>
      <c r="U7">
        <v>0.7145743274361287</v>
      </c>
      <c r="Y7" t="s">
        <v>23</v>
      </c>
      <c r="Z7">
        <v>100</v>
      </c>
      <c r="AA7">
        <v>415</v>
      </c>
      <c r="AB7">
        <v>4.1500000000000004</v>
      </c>
      <c r="AC7">
        <v>0.85606060606060608</v>
      </c>
      <c r="AG7" t="s">
        <v>23</v>
      </c>
      <c r="AH7">
        <v>100</v>
      </c>
      <c r="AI7">
        <v>2055.3787140366853</v>
      </c>
      <c r="AJ7">
        <v>20.553787140366854</v>
      </c>
      <c r="AK7">
        <v>53.854997539735663</v>
      </c>
    </row>
    <row r="8" spans="1:39" ht="18.600000000000001" thickBot="1" x14ac:dyDescent="0.5">
      <c r="C8">
        <v>6.7561711555570225E-2</v>
      </c>
      <c r="D8">
        <v>-1.4277382497635025</v>
      </c>
      <c r="E8">
        <v>-1.4277382497635025</v>
      </c>
      <c r="H8">
        <v>5</v>
      </c>
      <c r="I8">
        <v>4</v>
      </c>
      <c r="J8">
        <v>4</v>
      </c>
      <c r="M8">
        <v>13.033697001748635</v>
      </c>
      <c r="N8">
        <v>35.84417032646386</v>
      </c>
      <c r="O8">
        <v>22.287061540651688</v>
      </c>
      <c r="Q8" s="1" t="s">
        <v>24</v>
      </c>
      <c r="R8" s="1">
        <v>100</v>
      </c>
      <c r="S8" s="1">
        <v>-85.505321872909406</v>
      </c>
      <c r="T8" s="1">
        <v>-0.85505321872909401</v>
      </c>
      <c r="U8" s="1">
        <v>0.678912911837524</v>
      </c>
      <c r="Y8" s="1" t="s">
        <v>24</v>
      </c>
      <c r="Z8" s="1">
        <v>100</v>
      </c>
      <c r="AA8" s="1">
        <v>404</v>
      </c>
      <c r="AB8" s="1">
        <v>4.04</v>
      </c>
      <c r="AC8" s="1">
        <v>0.96808080808080721</v>
      </c>
      <c r="AG8" s="1" t="s">
        <v>24</v>
      </c>
      <c r="AH8" s="1">
        <v>100</v>
      </c>
      <c r="AI8" s="1">
        <v>2280.7566151906485</v>
      </c>
      <c r="AJ8" s="1">
        <v>22.807566151906485</v>
      </c>
      <c r="AK8" s="1">
        <v>70.724823704946431</v>
      </c>
    </row>
    <row r="9" spans="1:39" x14ac:dyDescent="0.45">
      <c r="C9">
        <v>-2.2160178514971274</v>
      </c>
      <c r="D9">
        <v>1.2439663942698076</v>
      </c>
      <c r="E9">
        <v>-1.4277382497635025</v>
      </c>
      <c r="H9">
        <v>2</v>
      </c>
      <c r="I9">
        <v>5</v>
      </c>
      <c r="J9">
        <v>4</v>
      </c>
      <c r="M9">
        <v>14.875634871149158</v>
      </c>
      <c r="N9">
        <v>22.287061540651688</v>
      </c>
      <c r="O9">
        <v>13.033697001748635</v>
      </c>
    </row>
    <row r="10" spans="1:39" x14ac:dyDescent="0.45">
      <c r="C10">
        <v>-1.4277382497635025</v>
      </c>
      <c r="D10">
        <v>-1.1709739705113651</v>
      </c>
      <c r="E10">
        <v>-1.1069069769640252</v>
      </c>
      <c r="H10">
        <v>4</v>
      </c>
      <c r="I10">
        <v>4</v>
      </c>
      <c r="J10">
        <v>3</v>
      </c>
      <c r="M10">
        <v>15.109886143567465</v>
      </c>
      <c r="N10">
        <v>30.265203170860008</v>
      </c>
      <c r="O10">
        <v>22.287061540651688</v>
      </c>
    </row>
    <row r="11" spans="1:39" ht="18.600000000000001" thickBot="1" x14ac:dyDescent="0.5">
      <c r="C11">
        <v>-1.2940462715802379</v>
      </c>
      <c r="D11">
        <v>-1.1030215957002514</v>
      </c>
      <c r="E11">
        <v>6.7561711555570225E-2</v>
      </c>
      <c r="H11">
        <v>3</v>
      </c>
      <c r="I11">
        <v>4</v>
      </c>
      <c r="J11">
        <v>5</v>
      </c>
      <c r="M11">
        <v>33.210087787617169</v>
      </c>
      <c r="N11">
        <v>15.399801562024257</v>
      </c>
      <c r="O11">
        <v>13.033697001748635</v>
      </c>
      <c r="Q11" t="s">
        <v>25</v>
      </c>
      <c r="Y11" t="s">
        <v>25</v>
      </c>
      <c r="AG11" t="s">
        <v>25</v>
      </c>
    </row>
    <row r="12" spans="1:39" x14ac:dyDescent="0.45">
      <c r="C12">
        <v>-1.2940462715802379</v>
      </c>
      <c r="D12">
        <v>-0.50297945874818994</v>
      </c>
      <c r="E12">
        <v>-1.2940462715802379</v>
      </c>
      <c r="H12">
        <v>3</v>
      </c>
      <c r="I12">
        <v>5</v>
      </c>
      <c r="J12">
        <v>3</v>
      </c>
      <c r="M12">
        <v>13.033697001748635</v>
      </c>
      <c r="N12">
        <v>34.305038666083419</v>
      </c>
      <c r="O12">
        <v>33.210087787617169</v>
      </c>
      <c r="Q12" s="2" t="s">
        <v>26</v>
      </c>
      <c r="R12" s="2" t="s">
        <v>27</v>
      </c>
      <c r="S12" s="2" t="s">
        <v>28</v>
      </c>
      <c r="T12" s="2" t="s">
        <v>21</v>
      </c>
      <c r="U12" s="2" t="s">
        <v>29</v>
      </c>
      <c r="V12" s="2" t="s">
        <v>30</v>
      </c>
      <c r="W12" s="2" t="s">
        <v>31</v>
      </c>
      <c r="Y12" s="2" t="s">
        <v>26</v>
      </c>
      <c r="Z12" s="2" t="s">
        <v>27</v>
      </c>
      <c r="AA12" s="2" t="s">
        <v>28</v>
      </c>
      <c r="AB12" s="2" t="s">
        <v>21</v>
      </c>
      <c r="AC12" s="2" t="s">
        <v>29</v>
      </c>
      <c r="AD12" s="2" t="s">
        <v>30</v>
      </c>
      <c r="AE12" s="2" t="s">
        <v>31</v>
      </c>
      <c r="AG12" s="2" t="s">
        <v>26</v>
      </c>
      <c r="AH12" s="2" t="s">
        <v>27</v>
      </c>
      <c r="AI12" s="2" t="s">
        <v>28</v>
      </c>
      <c r="AJ12" s="2" t="s">
        <v>21</v>
      </c>
      <c r="AK12" s="2" t="s">
        <v>29</v>
      </c>
      <c r="AL12" s="2" t="s">
        <v>30</v>
      </c>
      <c r="AM12" s="2" t="s">
        <v>31</v>
      </c>
    </row>
    <row r="13" spans="1:39" x14ac:dyDescent="0.45">
      <c r="C13">
        <v>6.7561711555570225E-2</v>
      </c>
      <c r="D13">
        <v>6.7561711555570225E-2</v>
      </c>
      <c r="E13">
        <v>6.7561711555570225E-2</v>
      </c>
      <c r="H13">
        <v>5</v>
      </c>
      <c r="I13">
        <v>5</v>
      </c>
      <c r="J13">
        <v>5</v>
      </c>
      <c r="M13">
        <v>13.033697001748635</v>
      </c>
      <c r="N13">
        <v>22.287061540651688</v>
      </c>
      <c r="O13">
        <v>22.287061540651688</v>
      </c>
      <c r="Q13" t="s">
        <v>32</v>
      </c>
      <c r="R13">
        <v>2.6101487239735377</v>
      </c>
      <c r="S13">
        <v>2</v>
      </c>
      <c r="T13">
        <v>1.3050743619867688</v>
      </c>
      <c r="U13">
        <v>1.7957323815467108</v>
      </c>
      <c r="V13">
        <v>0.16780348766029141</v>
      </c>
      <c r="W13">
        <v>3.0261533685653901</v>
      </c>
      <c r="Y13" t="s">
        <v>32</v>
      </c>
      <c r="Z13">
        <v>6.8066666666673541</v>
      </c>
      <c r="AA13">
        <v>2</v>
      </c>
      <c r="AB13">
        <v>3.403333333333677</v>
      </c>
      <c r="AC13">
        <v>3.2070245573960996</v>
      </c>
      <c r="AD13">
        <v>4.1882569335946473E-2</v>
      </c>
      <c r="AE13">
        <v>3.0261533685653901</v>
      </c>
      <c r="AG13" t="s">
        <v>32</v>
      </c>
      <c r="AH13">
        <v>535.12460067036227</v>
      </c>
      <c r="AI13">
        <v>2</v>
      </c>
      <c r="AJ13">
        <v>267.56230033518113</v>
      </c>
      <c r="AK13">
        <v>4.1650535969377271</v>
      </c>
      <c r="AL13">
        <v>1.644533182788277E-2</v>
      </c>
      <c r="AM13">
        <v>3.0261533685653901</v>
      </c>
    </row>
    <row r="14" spans="1:39" x14ac:dyDescent="0.45">
      <c r="C14">
        <v>6.7561711555570225E-2</v>
      </c>
      <c r="D14">
        <v>-1.4277382497635025</v>
      </c>
      <c r="E14">
        <v>6.7561711555570225E-2</v>
      </c>
      <c r="H14">
        <v>5</v>
      </c>
      <c r="I14">
        <v>4</v>
      </c>
      <c r="J14">
        <v>5</v>
      </c>
      <c r="M14">
        <v>25.150414820036048</v>
      </c>
      <c r="N14">
        <v>24.885360114495338</v>
      </c>
      <c r="O14">
        <v>30.866388728656609</v>
      </c>
      <c r="Q14" t="s">
        <v>33</v>
      </c>
      <c r="R14">
        <v>215.84902599808015</v>
      </c>
      <c r="S14">
        <v>297</v>
      </c>
      <c r="T14">
        <v>0.72676439729993314</v>
      </c>
      <c r="Y14" t="s">
        <v>33</v>
      </c>
      <c r="Z14">
        <v>315.17999999999984</v>
      </c>
      <c r="AA14">
        <v>297</v>
      </c>
      <c r="AB14">
        <v>1.0612121212121206</v>
      </c>
      <c r="AG14" t="s">
        <v>33</v>
      </c>
      <c r="AH14">
        <v>19079.227037552315</v>
      </c>
      <c r="AI14">
        <v>297</v>
      </c>
      <c r="AJ14">
        <v>64.239821675260316</v>
      </c>
    </row>
    <row r="15" spans="1:39" x14ac:dyDescent="0.45">
      <c r="C15">
        <v>-1.7702228439032117</v>
      </c>
      <c r="D15">
        <v>6.7561711555570225E-2</v>
      </c>
      <c r="E15">
        <v>-1.4277382497635025</v>
      </c>
      <c r="H15">
        <v>2</v>
      </c>
      <c r="I15">
        <v>5</v>
      </c>
      <c r="J15">
        <v>4</v>
      </c>
      <c r="M15">
        <v>25.311606815690258</v>
      </c>
      <c r="N15">
        <v>22.287061540651688</v>
      </c>
      <c r="O15">
        <v>13.033697001748635</v>
      </c>
    </row>
    <row r="16" spans="1:39" ht="18.600000000000001" thickBot="1" x14ac:dyDescent="0.5">
      <c r="C16">
        <v>-1.9915403515745176</v>
      </c>
      <c r="D16">
        <v>-1.4277382497635025</v>
      </c>
      <c r="E16">
        <v>-1.1709739705113651</v>
      </c>
      <c r="H16">
        <v>2</v>
      </c>
      <c r="I16">
        <v>4</v>
      </c>
      <c r="J16">
        <v>4</v>
      </c>
      <c r="M16">
        <v>36.57090330358816</v>
      </c>
      <c r="N16">
        <v>17.892993157786602</v>
      </c>
      <c r="O16">
        <v>35.84417032646386</v>
      </c>
      <c r="Q16" s="1" t="s">
        <v>19</v>
      </c>
      <c r="R16" s="1">
        <v>218.45917472205369</v>
      </c>
      <c r="S16" s="1">
        <v>299</v>
      </c>
      <c r="T16" s="1"/>
      <c r="U16" s="1"/>
      <c r="V16" s="1"/>
      <c r="W16" s="1"/>
      <c r="Y16" s="1" t="s">
        <v>19</v>
      </c>
      <c r="Z16" s="1">
        <v>321.98666666666719</v>
      </c>
      <c r="AA16" s="1">
        <v>299</v>
      </c>
      <c r="AB16" s="1"/>
      <c r="AC16" s="1"/>
      <c r="AD16" s="1"/>
      <c r="AE16" s="1"/>
      <c r="AG16" s="1" t="s">
        <v>19</v>
      </c>
      <c r="AH16" s="1">
        <v>19614.351638222677</v>
      </c>
      <c r="AI16" s="1">
        <v>299</v>
      </c>
      <c r="AJ16" s="1"/>
      <c r="AK16" s="1"/>
      <c r="AL16" s="1"/>
      <c r="AM16" s="1"/>
    </row>
    <row r="17" spans="3:29" x14ac:dyDescent="0.45">
      <c r="C17">
        <v>-2.2129820853563729</v>
      </c>
      <c r="D17">
        <v>-1.9915403515745174</v>
      </c>
      <c r="E17">
        <v>-1.5488520963787278</v>
      </c>
      <c r="H17">
        <v>2</v>
      </c>
      <c r="I17">
        <v>2</v>
      </c>
      <c r="J17">
        <v>2</v>
      </c>
      <c r="M17">
        <v>33.210087787617169</v>
      </c>
      <c r="N17">
        <v>15.109886143567465</v>
      </c>
      <c r="O17">
        <v>13.033697001748635</v>
      </c>
    </row>
    <row r="18" spans="3:29" x14ac:dyDescent="0.45">
      <c r="C18">
        <v>-1.5487811101213567</v>
      </c>
      <c r="D18">
        <v>-1.4277382497635025</v>
      </c>
      <c r="E18">
        <v>6.7561711555570225E-2</v>
      </c>
      <c r="H18">
        <v>2</v>
      </c>
      <c r="I18">
        <v>4</v>
      </c>
      <c r="J18">
        <v>5</v>
      </c>
      <c r="M18">
        <v>30.185767602174646</v>
      </c>
      <c r="N18">
        <v>22.287061540651688</v>
      </c>
      <c r="O18">
        <v>13.033697001748635</v>
      </c>
    </row>
    <row r="19" spans="3:29" x14ac:dyDescent="0.45">
      <c r="C19">
        <v>-1.1709739705113651</v>
      </c>
      <c r="D19">
        <v>-1.4277382497635025</v>
      </c>
      <c r="E19">
        <v>6.7561711555570225E-2</v>
      </c>
      <c r="H19">
        <v>4</v>
      </c>
      <c r="I19">
        <v>4</v>
      </c>
      <c r="J19">
        <v>5</v>
      </c>
      <c r="M19">
        <v>24.885360114495338</v>
      </c>
      <c r="N19">
        <v>22.287061540651688</v>
      </c>
      <c r="O19">
        <v>36.57090330358816</v>
      </c>
    </row>
    <row r="20" spans="3:29" x14ac:dyDescent="0.45">
      <c r="C20">
        <v>-0.50297945874818994</v>
      </c>
      <c r="D20">
        <v>-0.50297945874818994</v>
      </c>
      <c r="E20">
        <v>6.7561711555570225E-2</v>
      </c>
      <c r="H20">
        <v>5</v>
      </c>
      <c r="I20">
        <v>5</v>
      </c>
      <c r="J20">
        <v>5</v>
      </c>
      <c r="M20">
        <v>13.033697001748635</v>
      </c>
      <c r="N20">
        <v>13.033697001748635</v>
      </c>
      <c r="O20">
        <v>22.287061540651688</v>
      </c>
      <c r="Q20" t="s">
        <v>34</v>
      </c>
      <c r="V20" t="s">
        <v>34</v>
      </c>
      <c r="AA20" t="s">
        <v>34</v>
      </c>
    </row>
    <row r="21" spans="3:29" ht="18.600000000000001" thickBot="1" x14ac:dyDescent="0.5">
      <c r="C21">
        <v>-2.4344238191382273</v>
      </c>
      <c r="D21">
        <v>6.7561711555570225E-2</v>
      </c>
      <c r="E21">
        <v>-1.4277382497635025</v>
      </c>
      <c r="H21">
        <v>2</v>
      </c>
      <c r="I21">
        <v>5</v>
      </c>
      <c r="J21">
        <v>4</v>
      </c>
      <c r="M21">
        <v>35.84417032646386</v>
      </c>
      <c r="N21">
        <v>22.287061540651688</v>
      </c>
      <c r="O21">
        <v>13.033697001748635</v>
      </c>
    </row>
    <row r="22" spans="3:29" x14ac:dyDescent="0.45">
      <c r="C22">
        <v>-1.4277382497635025</v>
      </c>
      <c r="D22">
        <v>-1.1709739705113651</v>
      </c>
      <c r="E22">
        <v>-1.9915403515745176</v>
      </c>
      <c r="H22">
        <v>4</v>
      </c>
      <c r="I22">
        <v>4</v>
      </c>
      <c r="J22">
        <v>2</v>
      </c>
      <c r="M22">
        <v>36.57090330358816</v>
      </c>
      <c r="N22">
        <v>13.033697001748635</v>
      </c>
      <c r="O22">
        <v>33.210087787617169</v>
      </c>
      <c r="Q22" s="2"/>
      <c r="R22" s="2" t="s">
        <v>22</v>
      </c>
      <c r="S22" s="2" t="s">
        <v>23</v>
      </c>
      <c r="V22" s="2"/>
      <c r="W22" s="2" t="s">
        <v>22</v>
      </c>
      <c r="X22" s="2" t="s">
        <v>23</v>
      </c>
      <c r="AA22" s="2"/>
      <c r="AB22" s="2" t="s">
        <v>22</v>
      </c>
      <c r="AC22" s="2" t="s">
        <v>23</v>
      </c>
    </row>
    <row r="23" spans="3:29" x14ac:dyDescent="0.45">
      <c r="C23">
        <v>-1.7701696040500337</v>
      </c>
      <c r="D23">
        <v>-1.4277382497635025</v>
      </c>
      <c r="E23">
        <v>6.7561711555570225E-2</v>
      </c>
      <c r="H23">
        <v>2</v>
      </c>
      <c r="I23">
        <v>4</v>
      </c>
      <c r="J23">
        <v>5</v>
      </c>
      <c r="M23">
        <v>22.287061540651688</v>
      </c>
      <c r="N23">
        <v>22.287061540651688</v>
      </c>
      <c r="O23">
        <v>13.033697001748635</v>
      </c>
      <c r="Q23" t="s">
        <v>20</v>
      </c>
      <c r="R23">
        <v>-0.99309446434183257</v>
      </c>
      <c r="S23">
        <v>-0.76640110533208616</v>
      </c>
      <c r="V23" t="s">
        <v>20</v>
      </c>
      <c r="W23">
        <v>3.79</v>
      </c>
      <c r="X23">
        <v>4.1500000000000004</v>
      </c>
      <c r="AA23" t="s">
        <v>20</v>
      </c>
      <c r="AB23">
        <v>23.734265975923236</v>
      </c>
      <c r="AC23">
        <v>20.553787140366854</v>
      </c>
    </row>
    <row r="24" spans="3:29" x14ac:dyDescent="0.45">
      <c r="C24">
        <v>6.7561711555570225E-2</v>
      </c>
      <c r="D24">
        <v>-1.1709739705113651</v>
      </c>
      <c r="E24">
        <v>-1.9916113378318889</v>
      </c>
      <c r="H24">
        <v>5</v>
      </c>
      <c r="I24">
        <v>4</v>
      </c>
      <c r="J24">
        <v>2</v>
      </c>
      <c r="M24">
        <v>36.57090330358816</v>
      </c>
      <c r="N24">
        <v>22.287061540651688</v>
      </c>
      <c r="O24">
        <v>13.033697001748635</v>
      </c>
      <c r="Q24" t="s">
        <v>21</v>
      </c>
      <c r="R24">
        <v>0.7868059526261475</v>
      </c>
      <c r="S24">
        <v>0.7145743274361287</v>
      </c>
      <c r="V24" t="s">
        <v>21</v>
      </c>
      <c r="W24">
        <v>1.3594949494949486</v>
      </c>
      <c r="X24">
        <v>0.85606060606060608</v>
      </c>
      <c r="AA24" t="s">
        <v>21</v>
      </c>
      <c r="AB24">
        <v>68.139643781101142</v>
      </c>
      <c r="AC24">
        <v>53.854997539735663</v>
      </c>
    </row>
    <row r="25" spans="3:29" x14ac:dyDescent="0.45">
      <c r="C25">
        <v>-1.9915403515745176</v>
      </c>
      <c r="D25">
        <v>1.0225246604879525</v>
      </c>
      <c r="E25">
        <v>-1.5488166032529354</v>
      </c>
      <c r="H25">
        <v>2</v>
      </c>
      <c r="I25">
        <v>5</v>
      </c>
      <c r="J25">
        <v>2</v>
      </c>
      <c r="M25">
        <v>22.287061540651688</v>
      </c>
      <c r="N25">
        <v>13.033697001748635</v>
      </c>
      <c r="O25">
        <v>13.033697001748635</v>
      </c>
      <c r="Q25" t="s">
        <v>35</v>
      </c>
      <c r="R25">
        <v>100</v>
      </c>
      <c r="S25">
        <v>100</v>
      </c>
      <c r="V25" t="s">
        <v>35</v>
      </c>
      <c r="W25">
        <v>100</v>
      </c>
      <c r="X25">
        <v>100</v>
      </c>
      <c r="AA25" t="s">
        <v>35</v>
      </c>
      <c r="AB25">
        <v>100</v>
      </c>
      <c r="AC25">
        <v>100</v>
      </c>
    </row>
    <row r="26" spans="3:29" x14ac:dyDescent="0.45">
      <c r="C26">
        <v>-1.1709739705113651</v>
      </c>
      <c r="D26">
        <v>-1.4277382497635025</v>
      </c>
      <c r="E26">
        <v>6.7561711555570225E-2</v>
      </c>
      <c r="H26">
        <v>4</v>
      </c>
      <c r="I26">
        <v>4</v>
      </c>
      <c r="J26">
        <v>5</v>
      </c>
      <c r="M26">
        <v>30.265203170860008</v>
      </c>
      <c r="N26">
        <v>22.287061540651688</v>
      </c>
      <c r="O26">
        <v>35.84417032646386</v>
      </c>
      <c r="Q26" t="s">
        <v>36</v>
      </c>
      <c r="R26">
        <v>0.7506901400311381</v>
      </c>
      <c r="V26" t="s">
        <v>36</v>
      </c>
      <c r="W26">
        <v>1.1077777777777773</v>
      </c>
      <c r="AA26" t="s">
        <v>36</v>
      </c>
      <c r="AB26">
        <v>60.997320660418403</v>
      </c>
    </row>
    <row r="27" spans="3:29" x14ac:dyDescent="0.45">
      <c r="C27">
        <v>-1.4277382497635025</v>
      </c>
      <c r="D27">
        <v>1.2439663942698076</v>
      </c>
      <c r="E27">
        <v>1.0225246604879525</v>
      </c>
      <c r="H27">
        <v>4</v>
      </c>
      <c r="I27">
        <v>5</v>
      </c>
      <c r="J27">
        <v>5</v>
      </c>
      <c r="M27">
        <v>24.885360114495338</v>
      </c>
      <c r="N27">
        <v>13.033697001748635</v>
      </c>
      <c r="O27">
        <v>13.033697001748635</v>
      </c>
      <c r="Q27" t="s">
        <v>37</v>
      </c>
      <c r="R27">
        <v>0</v>
      </c>
      <c r="V27" t="s">
        <v>37</v>
      </c>
      <c r="W27">
        <v>0</v>
      </c>
      <c r="AA27" t="s">
        <v>37</v>
      </c>
      <c r="AB27">
        <v>0</v>
      </c>
    </row>
    <row r="28" spans="3:29" x14ac:dyDescent="0.45">
      <c r="C28">
        <v>6.7561711555570225E-2</v>
      </c>
      <c r="D28">
        <v>-1.4277382497635025</v>
      </c>
      <c r="E28">
        <v>-1.4277382497635025</v>
      </c>
      <c r="H28">
        <v>5</v>
      </c>
      <c r="I28">
        <v>4</v>
      </c>
      <c r="J28">
        <v>4</v>
      </c>
      <c r="M28">
        <v>22.287061540651688</v>
      </c>
      <c r="N28">
        <v>15.399801562024257</v>
      </c>
      <c r="O28">
        <v>22.287061540651688</v>
      </c>
      <c r="Q28" t="s">
        <v>28</v>
      </c>
      <c r="R28">
        <v>198</v>
      </c>
      <c r="V28" t="s">
        <v>28</v>
      </c>
      <c r="W28">
        <v>198</v>
      </c>
      <c r="AA28" t="s">
        <v>28</v>
      </c>
      <c r="AB28">
        <v>198</v>
      </c>
    </row>
    <row r="29" spans="3:29" x14ac:dyDescent="0.45">
      <c r="C29">
        <v>-1.4277382497635025</v>
      </c>
      <c r="D29">
        <v>-1.2940462715802379</v>
      </c>
      <c r="E29">
        <v>6.7561711555570225E-2</v>
      </c>
      <c r="H29">
        <v>4</v>
      </c>
      <c r="I29">
        <v>3</v>
      </c>
      <c r="J29">
        <v>5</v>
      </c>
      <c r="M29">
        <v>13.033697001748635</v>
      </c>
      <c r="N29">
        <v>22.287061540651688</v>
      </c>
      <c r="O29">
        <v>13.033697001748635</v>
      </c>
      <c r="Q29" t="s">
        <v>38</v>
      </c>
      <c r="R29">
        <v>-1.8500925059675435</v>
      </c>
      <c r="V29" t="s">
        <v>38</v>
      </c>
      <c r="W29">
        <v>-2.4185840167209047</v>
      </c>
      <c r="AA29" t="s">
        <v>38</v>
      </c>
      <c r="AB29">
        <v>2.87953348192781</v>
      </c>
    </row>
    <row r="30" spans="3:29" x14ac:dyDescent="0.45">
      <c r="C30">
        <v>-1.770240590307405</v>
      </c>
      <c r="D30">
        <v>-1.2940462715802379</v>
      </c>
      <c r="E30">
        <v>-1.4277382497635025</v>
      </c>
      <c r="H30">
        <v>2</v>
      </c>
      <c r="I30">
        <v>3</v>
      </c>
      <c r="J30">
        <v>4</v>
      </c>
      <c r="M30">
        <v>35.84417032646386</v>
      </c>
      <c r="N30">
        <v>13.033697001748635</v>
      </c>
      <c r="O30">
        <v>22.287061540651688</v>
      </c>
      <c r="Q30" t="s">
        <v>39</v>
      </c>
      <c r="R30">
        <v>3.2895155325635986E-2</v>
      </c>
      <c r="V30" t="s">
        <v>39</v>
      </c>
      <c r="W30">
        <v>8.2429080644552382E-3</v>
      </c>
      <c r="AA30" t="s">
        <v>39</v>
      </c>
      <c r="AB30">
        <v>2.2103594349319917E-3</v>
      </c>
    </row>
    <row r="31" spans="3:29" x14ac:dyDescent="0.45">
      <c r="C31">
        <v>6.7561711555570225E-2</v>
      </c>
      <c r="D31">
        <v>-2.4344238191382273</v>
      </c>
      <c r="E31">
        <v>-1.4277382497635025</v>
      </c>
      <c r="H31">
        <v>5</v>
      </c>
      <c r="I31">
        <v>2</v>
      </c>
      <c r="J31">
        <v>4</v>
      </c>
      <c r="M31">
        <v>35.84417032646386</v>
      </c>
      <c r="N31">
        <v>22.287061540651688</v>
      </c>
      <c r="O31">
        <v>13.033697001748635</v>
      </c>
      <c r="Q31" t="s">
        <v>40</v>
      </c>
      <c r="R31">
        <v>1.6525857836178461</v>
      </c>
      <c r="V31" t="s">
        <v>40</v>
      </c>
      <c r="W31">
        <v>1.6525857836178461</v>
      </c>
      <c r="AA31" t="s">
        <v>40</v>
      </c>
      <c r="AB31">
        <v>1.6525857836178461</v>
      </c>
    </row>
    <row r="32" spans="3:29" x14ac:dyDescent="0.45">
      <c r="C32">
        <v>-1.4277382497635025</v>
      </c>
      <c r="D32">
        <v>-0.50297945874818994</v>
      </c>
      <c r="E32">
        <v>6.7561711555570225E-2</v>
      </c>
      <c r="H32">
        <v>4</v>
      </c>
      <c r="I32">
        <v>5</v>
      </c>
      <c r="J32">
        <v>5</v>
      </c>
      <c r="M32">
        <v>22.287061540651688</v>
      </c>
      <c r="N32">
        <v>17.892993157786602</v>
      </c>
      <c r="O32">
        <v>34.305038666083419</v>
      </c>
      <c r="Q32" t="s">
        <v>41</v>
      </c>
      <c r="R32">
        <v>6.5790310651271972E-2</v>
      </c>
      <c r="V32" t="s">
        <v>41</v>
      </c>
      <c r="W32">
        <v>1.6485816128910476E-2</v>
      </c>
      <c r="AA32" t="s">
        <v>41</v>
      </c>
      <c r="AB32">
        <v>4.4207188698639835E-3</v>
      </c>
    </row>
    <row r="33" spans="3:29" ht="18.600000000000001" thickBot="1" x14ac:dyDescent="0.5">
      <c r="C33">
        <v>6.7561711555570225E-2</v>
      </c>
      <c r="D33">
        <v>-0.50297945874818994</v>
      </c>
      <c r="E33">
        <v>6.7561711555570225E-2</v>
      </c>
      <c r="H33">
        <v>5</v>
      </c>
      <c r="I33">
        <v>5</v>
      </c>
      <c r="J33">
        <v>5</v>
      </c>
      <c r="M33">
        <v>36.57090330358816</v>
      </c>
      <c r="N33">
        <v>30.265203170860008</v>
      </c>
      <c r="O33">
        <v>22.287061540651688</v>
      </c>
      <c r="Q33" s="1" t="s">
        <v>42</v>
      </c>
      <c r="R33" s="1">
        <v>1.9720174778363073</v>
      </c>
      <c r="S33" s="1"/>
      <c r="V33" s="1" t="s">
        <v>42</v>
      </c>
      <c r="W33" s="1">
        <v>1.9720174778363073</v>
      </c>
      <c r="X33" s="1"/>
      <c r="AA33" s="1" t="s">
        <v>42</v>
      </c>
      <c r="AB33" s="1">
        <v>1.9720174778363073</v>
      </c>
      <c r="AC33" s="1"/>
    </row>
    <row r="34" spans="3:29" x14ac:dyDescent="0.45">
      <c r="C34">
        <v>-0.50297945874818994</v>
      </c>
      <c r="D34">
        <v>-1.1069069769640252</v>
      </c>
      <c r="E34">
        <v>-1.4277382497635025</v>
      </c>
      <c r="H34">
        <v>5</v>
      </c>
      <c r="I34">
        <v>3</v>
      </c>
      <c r="J34">
        <v>4</v>
      </c>
      <c r="M34">
        <v>13.033697001748635</v>
      </c>
      <c r="N34">
        <v>13.033697001748635</v>
      </c>
      <c r="O34">
        <v>35.84417032646386</v>
      </c>
    </row>
    <row r="35" spans="3:29" x14ac:dyDescent="0.45">
      <c r="C35">
        <v>-1.5488520963787278</v>
      </c>
      <c r="D35">
        <v>-1.2940462715802379</v>
      </c>
      <c r="E35">
        <v>-1.4277382497635025</v>
      </c>
      <c r="H35">
        <v>2</v>
      </c>
      <c r="I35">
        <v>3</v>
      </c>
      <c r="J35">
        <v>4</v>
      </c>
      <c r="M35">
        <v>13.033697001748635</v>
      </c>
      <c r="N35">
        <v>35.84417032646386</v>
      </c>
      <c r="O35">
        <v>22.287061540651688</v>
      </c>
    </row>
    <row r="36" spans="3:29" x14ac:dyDescent="0.45">
      <c r="C36">
        <v>1.0225246604879525</v>
      </c>
      <c r="D36">
        <v>6.7561711555570225E-2</v>
      </c>
      <c r="E36">
        <v>6.7561711555570225E-2</v>
      </c>
      <c r="H36">
        <v>5</v>
      </c>
      <c r="I36">
        <v>5</v>
      </c>
      <c r="J36">
        <v>5</v>
      </c>
      <c r="M36">
        <v>22.287061540651688</v>
      </c>
      <c r="N36">
        <v>22.287061540651688</v>
      </c>
      <c r="O36">
        <v>33.210087787617169</v>
      </c>
      <c r="Q36" t="s">
        <v>34</v>
      </c>
      <c r="V36" t="s">
        <v>34</v>
      </c>
      <c r="AA36" t="s">
        <v>34</v>
      </c>
    </row>
    <row r="37" spans="3:29" ht="18.600000000000001" thickBot="1" x14ac:dyDescent="0.5">
      <c r="C37">
        <v>-1.1709739705113651</v>
      </c>
      <c r="D37">
        <v>-0.50297945874818994</v>
      </c>
      <c r="E37">
        <v>6.7561711555570225E-2</v>
      </c>
      <c r="H37">
        <v>4</v>
      </c>
      <c r="I37">
        <v>5</v>
      </c>
      <c r="J37">
        <v>5</v>
      </c>
      <c r="M37">
        <v>33.210087787617169</v>
      </c>
      <c r="N37">
        <v>24.885360114495338</v>
      </c>
      <c r="O37">
        <v>36.57090330358816</v>
      </c>
    </row>
    <row r="38" spans="3:29" x14ac:dyDescent="0.45">
      <c r="C38">
        <v>-1.4277382497635025</v>
      </c>
      <c r="D38">
        <v>-1.4277382497635025</v>
      </c>
      <c r="E38">
        <v>1.0225246604879525</v>
      </c>
      <c r="H38">
        <v>4</v>
      </c>
      <c r="I38">
        <v>4</v>
      </c>
      <c r="J38">
        <v>5</v>
      </c>
      <c r="M38">
        <v>35.84417032646386</v>
      </c>
      <c r="N38">
        <v>22.287061540651688</v>
      </c>
      <c r="O38">
        <v>30.185767602174646</v>
      </c>
      <c r="Q38" s="2"/>
      <c r="R38" s="2" t="s">
        <v>23</v>
      </c>
      <c r="S38" s="2" t="s">
        <v>24</v>
      </c>
      <c r="V38" s="2"/>
      <c r="W38" s="2" t="s">
        <v>23</v>
      </c>
      <c r="X38" s="2" t="s">
        <v>24</v>
      </c>
      <c r="AA38" s="2"/>
      <c r="AB38" s="2" t="s">
        <v>23</v>
      </c>
      <c r="AC38" s="2" t="s">
        <v>24</v>
      </c>
    </row>
    <row r="39" spans="3:29" x14ac:dyDescent="0.45">
      <c r="C39">
        <v>6.7561711555570225E-2</v>
      </c>
      <c r="D39">
        <v>6.7561711555570225E-2</v>
      </c>
      <c r="E39">
        <v>-1.4277382497635025</v>
      </c>
      <c r="H39">
        <v>5</v>
      </c>
      <c r="I39">
        <v>5</v>
      </c>
      <c r="J39">
        <v>4</v>
      </c>
      <c r="M39">
        <v>30.185767602174646</v>
      </c>
      <c r="N39">
        <v>22.287061540651688</v>
      </c>
      <c r="O39">
        <v>35.84417032646386</v>
      </c>
      <c r="Q39" t="s">
        <v>20</v>
      </c>
      <c r="R39">
        <v>-0.76640110533208616</v>
      </c>
      <c r="S39">
        <v>-0.85505321872909401</v>
      </c>
      <c r="V39" t="s">
        <v>20</v>
      </c>
      <c r="W39">
        <v>4.1500000000000004</v>
      </c>
      <c r="X39">
        <v>4.04</v>
      </c>
      <c r="AA39" t="s">
        <v>20</v>
      </c>
      <c r="AB39">
        <v>20.553787140366854</v>
      </c>
      <c r="AC39">
        <v>22.807566151906485</v>
      </c>
    </row>
    <row r="40" spans="3:29" x14ac:dyDescent="0.45">
      <c r="C40">
        <v>-1.4277382497635025</v>
      </c>
      <c r="D40">
        <v>1.0225246604879525</v>
      </c>
      <c r="E40">
        <v>-1.1030215957002514</v>
      </c>
      <c r="H40">
        <v>4</v>
      </c>
      <c r="I40">
        <v>5</v>
      </c>
      <c r="J40">
        <v>4</v>
      </c>
      <c r="M40">
        <v>22.287061540651688</v>
      </c>
      <c r="N40">
        <v>15.109886143567465</v>
      </c>
      <c r="O40">
        <v>13.033697001748635</v>
      </c>
      <c r="Q40" t="s">
        <v>21</v>
      </c>
      <c r="R40">
        <v>0.7145743274361287</v>
      </c>
      <c r="S40">
        <v>0.678912911837524</v>
      </c>
      <c r="V40" t="s">
        <v>21</v>
      </c>
      <c r="W40">
        <v>0.85606060606060608</v>
      </c>
      <c r="X40">
        <v>0.96808080808080721</v>
      </c>
      <c r="AA40" t="s">
        <v>21</v>
      </c>
      <c r="AB40">
        <v>53.854997539735663</v>
      </c>
      <c r="AC40">
        <v>70.724823704946431</v>
      </c>
    </row>
    <row r="41" spans="3:29" x14ac:dyDescent="0.45">
      <c r="C41">
        <v>6.7561711555570225E-2</v>
      </c>
      <c r="D41">
        <v>-0.50297945874818994</v>
      </c>
      <c r="E41">
        <v>-2.2129820853563729</v>
      </c>
      <c r="H41">
        <v>5</v>
      </c>
      <c r="I41">
        <v>5</v>
      </c>
      <c r="J41">
        <v>2</v>
      </c>
      <c r="M41">
        <v>13.033697001748635</v>
      </c>
      <c r="N41">
        <v>13.033697001748635</v>
      </c>
      <c r="O41">
        <v>13.033697001748635</v>
      </c>
      <c r="Q41" t="s">
        <v>35</v>
      </c>
      <c r="R41">
        <v>100</v>
      </c>
      <c r="S41">
        <v>100</v>
      </c>
      <c r="V41" t="s">
        <v>35</v>
      </c>
      <c r="W41">
        <v>100</v>
      </c>
      <c r="X41">
        <v>100</v>
      </c>
      <c r="AA41" t="s">
        <v>35</v>
      </c>
      <c r="AB41">
        <v>100</v>
      </c>
      <c r="AC41">
        <v>100</v>
      </c>
    </row>
    <row r="42" spans="3:29" x14ac:dyDescent="0.45">
      <c r="C42">
        <v>-1.9915403515745176</v>
      </c>
      <c r="D42">
        <v>-1.7732053701907888</v>
      </c>
      <c r="E42">
        <v>-1.5488520963787278</v>
      </c>
      <c r="H42">
        <v>2</v>
      </c>
      <c r="I42">
        <v>2</v>
      </c>
      <c r="J42">
        <v>2</v>
      </c>
      <c r="M42">
        <v>24.885360114495338</v>
      </c>
      <c r="N42">
        <v>22.287061540651688</v>
      </c>
      <c r="O42">
        <v>13.033697001748635</v>
      </c>
      <c r="Q42" t="s">
        <v>36</v>
      </c>
      <c r="R42">
        <v>0.69674361963682629</v>
      </c>
      <c r="V42" t="s">
        <v>36</v>
      </c>
      <c r="W42">
        <v>0.9120707070707067</v>
      </c>
      <c r="AA42" t="s">
        <v>36</v>
      </c>
      <c r="AB42">
        <v>62.289910622341047</v>
      </c>
    </row>
    <row r="43" spans="3:29" x14ac:dyDescent="0.45">
      <c r="C43">
        <v>6.7561711555570225E-2</v>
      </c>
      <c r="D43">
        <v>-1.4277382497635025</v>
      </c>
      <c r="E43">
        <v>-1.4277382497635025</v>
      </c>
      <c r="H43">
        <v>5</v>
      </c>
      <c r="I43">
        <v>4</v>
      </c>
      <c r="J43">
        <v>4</v>
      </c>
      <c r="M43">
        <v>22.287061540651688</v>
      </c>
      <c r="N43">
        <v>22.287061540651688</v>
      </c>
      <c r="O43">
        <v>22.287061540651688</v>
      </c>
      <c r="Q43" t="s">
        <v>37</v>
      </c>
      <c r="R43">
        <v>0</v>
      </c>
      <c r="V43" t="s">
        <v>37</v>
      </c>
      <c r="W43">
        <v>0</v>
      </c>
      <c r="AA43" t="s">
        <v>37</v>
      </c>
      <c r="AB43">
        <v>0</v>
      </c>
    </row>
    <row r="44" spans="3:29" x14ac:dyDescent="0.45">
      <c r="C44">
        <v>-1.4277382497635025</v>
      </c>
      <c r="D44">
        <v>6.7561711555570225E-2</v>
      </c>
      <c r="E44">
        <v>-0.88165084817576744</v>
      </c>
      <c r="H44">
        <v>4</v>
      </c>
      <c r="I44">
        <v>5</v>
      </c>
      <c r="J44">
        <v>4</v>
      </c>
      <c r="M44">
        <v>24.885360114495338</v>
      </c>
      <c r="N44">
        <v>17.892993157786602</v>
      </c>
      <c r="O44">
        <v>33.210087787617169</v>
      </c>
      <c r="Q44" t="s">
        <v>28</v>
      </c>
      <c r="R44">
        <v>198</v>
      </c>
      <c r="V44" t="s">
        <v>28</v>
      </c>
      <c r="W44">
        <v>198</v>
      </c>
      <c r="AA44" t="s">
        <v>28</v>
      </c>
      <c r="AB44">
        <v>198</v>
      </c>
    </row>
    <row r="45" spans="3:29" x14ac:dyDescent="0.45">
      <c r="C45">
        <v>-1.2940462715802379</v>
      </c>
      <c r="D45">
        <v>-1.4277382497635025</v>
      </c>
      <c r="E45">
        <v>-1.4277382497635025</v>
      </c>
      <c r="H45">
        <v>3</v>
      </c>
      <c r="I45">
        <v>4</v>
      </c>
      <c r="J45">
        <v>4</v>
      </c>
      <c r="M45">
        <v>15.109886143567465</v>
      </c>
      <c r="N45">
        <v>13.033697001748635</v>
      </c>
      <c r="O45">
        <v>22.287061540651688</v>
      </c>
      <c r="Q45" t="s">
        <v>38</v>
      </c>
      <c r="R45">
        <v>0.75099595059119884</v>
      </c>
      <c r="V45" t="s">
        <v>38</v>
      </c>
      <c r="W45">
        <v>0.81444813557787032</v>
      </c>
      <c r="AA45" t="s">
        <v>38</v>
      </c>
      <c r="AB45">
        <v>-2.0192378505909701</v>
      </c>
    </row>
    <row r="46" spans="3:29" x14ac:dyDescent="0.45">
      <c r="C46">
        <v>6.7561711555570225E-2</v>
      </c>
      <c r="D46">
        <v>-0.88157986191839632</v>
      </c>
      <c r="E46">
        <v>-1.2940462715802379</v>
      </c>
      <c r="H46">
        <v>5</v>
      </c>
      <c r="I46">
        <v>4</v>
      </c>
      <c r="J46">
        <v>3</v>
      </c>
      <c r="M46">
        <v>13.033697001748635</v>
      </c>
      <c r="N46">
        <v>22.287061540651688</v>
      </c>
      <c r="O46">
        <v>22.287061540651688</v>
      </c>
      <c r="Q46" t="s">
        <v>39</v>
      </c>
      <c r="R46">
        <v>0.22677335447216107</v>
      </c>
      <c r="V46" t="s">
        <v>39</v>
      </c>
      <c r="W46">
        <v>0.20818337066023873</v>
      </c>
      <c r="AA46" t="s">
        <v>39</v>
      </c>
      <c r="AB46">
        <v>2.2405393484871063E-2</v>
      </c>
    </row>
    <row r="47" spans="3:29" x14ac:dyDescent="0.45">
      <c r="C47">
        <v>-2.2160178514971274</v>
      </c>
      <c r="D47">
        <v>-1.4277382497635025</v>
      </c>
      <c r="E47">
        <v>-1.9916113378318889</v>
      </c>
      <c r="H47">
        <v>2</v>
      </c>
      <c r="I47">
        <v>4</v>
      </c>
      <c r="J47">
        <v>2</v>
      </c>
      <c r="M47">
        <v>14.875634871149158</v>
      </c>
      <c r="N47">
        <v>22.287061540651688</v>
      </c>
      <c r="O47">
        <v>33.210087787617169</v>
      </c>
      <c r="Q47" t="s">
        <v>40</v>
      </c>
      <c r="R47">
        <v>1.6525857836178461</v>
      </c>
      <c r="V47" t="s">
        <v>40</v>
      </c>
      <c r="W47">
        <v>1.6525857836178461</v>
      </c>
      <c r="AA47" t="s">
        <v>40</v>
      </c>
      <c r="AB47">
        <v>1.6525857836178461</v>
      </c>
    </row>
    <row r="48" spans="3:29" x14ac:dyDescent="0.45">
      <c r="C48">
        <v>-1.4277382497635025</v>
      </c>
      <c r="D48">
        <v>1.0225246604879525</v>
      </c>
      <c r="E48">
        <v>-1.4277382497635025</v>
      </c>
      <c r="H48">
        <v>4</v>
      </c>
      <c r="I48">
        <v>5</v>
      </c>
      <c r="J48">
        <v>4</v>
      </c>
      <c r="M48">
        <v>36.57090330358816</v>
      </c>
      <c r="N48">
        <v>15.399801562024257</v>
      </c>
      <c r="O48">
        <v>13.033697001748635</v>
      </c>
      <c r="Q48" t="s">
        <v>41</v>
      </c>
      <c r="R48">
        <v>0.45354670894432214</v>
      </c>
      <c r="V48" t="s">
        <v>41</v>
      </c>
      <c r="W48">
        <v>0.41636674132047746</v>
      </c>
      <c r="AA48" t="s">
        <v>41</v>
      </c>
      <c r="AB48">
        <v>4.4810786969742125E-2</v>
      </c>
    </row>
    <row r="49" spans="3:29" ht="18.600000000000001" thickBot="1" x14ac:dyDescent="0.5">
      <c r="C49">
        <v>-1.2940462715802379</v>
      </c>
      <c r="D49">
        <v>-1.4277382497635025</v>
      </c>
      <c r="E49">
        <v>-1.4277382497635025</v>
      </c>
      <c r="H49">
        <v>3</v>
      </c>
      <c r="I49">
        <v>4</v>
      </c>
      <c r="J49">
        <v>4</v>
      </c>
      <c r="M49">
        <v>30.185767602174646</v>
      </c>
      <c r="N49">
        <v>13.033697001748635</v>
      </c>
      <c r="O49">
        <v>22.287061540651688</v>
      </c>
      <c r="Q49" s="1" t="s">
        <v>42</v>
      </c>
      <c r="R49" s="1">
        <v>1.9720174778363073</v>
      </c>
      <c r="S49" s="1"/>
      <c r="V49" s="1" t="s">
        <v>42</v>
      </c>
      <c r="W49" s="1">
        <v>1.9720174778363073</v>
      </c>
      <c r="X49" s="1"/>
      <c r="AA49" s="1" t="s">
        <v>42</v>
      </c>
      <c r="AB49" s="1">
        <v>1.9720174778363073</v>
      </c>
      <c r="AC49" s="1"/>
    </row>
    <row r="50" spans="3:29" x14ac:dyDescent="0.45">
      <c r="C50">
        <v>-1.2940462715802379</v>
      </c>
      <c r="D50">
        <v>-1.4277382497635025</v>
      </c>
      <c r="E50">
        <v>6.7561711555570225E-2</v>
      </c>
      <c r="H50">
        <v>3</v>
      </c>
      <c r="I50">
        <v>4</v>
      </c>
      <c r="J50">
        <v>5</v>
      </c>
      <c r="M50">
        <v>30.185767602174646</v>
      </c>
      <c r="N50">
        <v>13.033697001748635</v>
      </c>
      <c r="O50">
        <v>22.287061540651688</v>
      </c>
    </row>
    <row r="51" spans="3:29" x14ac:dyDescent="0.45">
      <c r="C51">
        <v>6.7561711555570225E-2</v>
      </c>
      <c r="D51">
        <v>-1.4277382497635025</v>
      </c>
      <c r="E51">
        <v>-1.4277382497635025</v>
      </c>
      <c r="H51">
        <v>5</v>
      </c>
      <c r="I51">
        <v>4</v>
      </c>
      <c r="J51">
        <v>4</v>
      </c>
      <c r="M51">
        <v>25.150414820036048</v>
      </c>
      <c r="N51">
        <v>22.287061540651688</v>
      </c>
      <c r="O51">
        <v>13.033697001748635</v>
      </c>
    </row>
    <row r="52" spans="3:29" x14ac:dyDescent="0.45">
      <c r="C52">
        <v>-1.4277382497635025</v>
      </c>
      <c r="D52">
        <v>-0.50297945874818994</v>
      </c>
      <c r="E52">
        <v>1.0225246604879525</v>
      </c>
      <c r="H52">
        <v>4</v>
      </c>
      <c r="I52">
        <v>5</v>
      </c>
      <c r="J52">
        <v>5</v>
      </c>
      <c r="M52">
        <v>22.287061540651688</v>
      </c>
      <c r="N52">
        <v>33.210087787617169</v>
      </c>
      <c r="O52">
        <v>35.84417032646386</v>
      </c>
      <c r="Q52" t="s">
        <v>34</v>
      </c>
      <c r="V52" t="s">
        <v>34</v>
      </c>
      <c r="AA52" t="s">
        <v>34</v>
      </c>
    </row>
    <row r="53" spans="3:29" ht="18.600000000000001" thickBot="1" x14ac:dyDescent="0.5">
      <c r="C53">
        <v>-1.1709739705113651</v>
      </c>
      <c r="D53">
        <v>6.7561711555570225E-2</v>
      </c>
      <c r="E53">
        <v>-1.4277382497635025</v>
      </c>
      <c r="H53">
        <v>4</v>
      </c>
      <c r="I53">
        <v>5</v>
      </c>
      <c r="J53">
        <v>4</v>
      </c>
      <c r="M53">
        <v>30.185767602174646</v>
      </c>
      <c r="N53">
        <v>13.033697001748635</v>
      </c>
      <c r="O53">
        <v>22.287061540651688</v>
      </c>
    </row>
    <row r="54" spans="3:29" x14ac:dyDescent="0.45">
      <c r="C54">
        <v>-1.770240590307405</v>
      </c>
      <c r="D54">
        <v>-1.4277382497635025</v>
      </c>
      <c r="E54">
        <v>-1.4277382497635025</v>
      </c>
      <c r="H54">
        <v>2</v>
      </c>
      <c r="I54">
        <v>4</v>
      </c>
      <c r="J54">
        <v>4</v>
      </c>
      <c r="M54">
        <v>14.548367414925009</v>
      </c>
      <c r="N54">
        <v>22.287061540651688</v>
      </c>
      <c r="O54">
        <v>22.287061540651688</v>
      </c>
      <c r="Q54" s="2"/>
      <c r="R54" s="2" t="s">
        <v>22</v>
      </c>
      <c r="S54" s="2" t="s">
        <v>24</v>
      </c>
      <c r="V54" s="2"/>
      <c r="W54" s="2" t="s">
        <v>22</v>
      </c>
      <c r="X54" s="2" t="s">
        <v>24</v>
      </c>
      <c r="AA54" s="2"/>
      <c r="AB54" s="2" t="s">
        <v>22</v>
      </c>
      <c r="AC54" s="2" t="s">
        <v>24</v>
      </c>
    </row>
    <row r="55" spans="3:29" x14ac:dyDescent="0.45">
      <c r="C55">
        <v>6.7561711555570225E-2</v>
      </c>
      <c r="D55">
        <v>6.7561711555570225E-2</v>
      </c>
      <c r="E55">
        <v>-1.2940462715802379</v>
      </c>
      <c r="H55">
        <v>5</v>
      </c>
      <c r="I55">
        <v>5</v>
      </c>
      <c r="J55">
        <v>3</v>
      </c>
      <c r="M55">
        <v>13.033697001748635</v>
      </c>
      <c r="N55">
        <v>13.033697001748635</v>
      </c>
      <c r="O55">
        <v>17.892993157786602</v>
      </c>
      <c r="Q55" t="s">
        <v>20</v>
      </c>
      <c r="R55">
        <v>-0.99309446434183257</v>
      </c>
      <c r="S55">
        <v>-0.85505321872909401</v>
      </c>
      <c r="V55" t="s">
        <v>20</v>
      </c>
      <c r="W55">
        <v>3.79</v>
      </c>
      <c r="X55">
        <v>4.04</v>
      </c>
      <c r="AA55" t="s">
        <v>20</v>
      </c>
      <c r="AB55">
        <v>23.734265975923236</v>
      </c>
      <c r="AC55">
        <v>22.807566151906485</v>
      </c>
    </row>
    <row r="56" spans="3:29" x14ac:dyDescent="0.45">
      <c r="C56">
        <v>-1.4277382497635025</v>
      </c>
      <c r="D56">
        <v>-1.4277382497635025</v>
      </c>
      <c r="E56">
        <v>1.2439663942698076</v>
      </c>
      <c r="H56">
        <v>4</v>
      </c>
      <c r="I56">
        <v>4</v>
      </c>
      <c r="J56">
        <v>5</v>
      </c>
      <c r="M56">
        <v>22.287061540651688</v>
      </c>
      <c r="N56">
        <v>22.287061540651688</v>
      </c>
      <c r="O56">
        <v>25.150414820036048</v>
      </c>
      <c r="Q56" t="s">
        <v>21</v>
      </c>
      <c r="R56">
        <v>0.7868059526261475</v>
      </c>
      <c r="S56">
        <v>0.678912911837524</v>
      </c>
      <c r="V56" t="s">
        <v>21</v>
      </c>
      <c r="W56">
        <v>1.3594949494949486</v>
      </c>
      <c r="X56">
        <v>0.96808080808080721</v>
      </c>
      <c r="AA56" t="s">
        <v>21</v>
      </c>
      <c r="AB56">
        <v>68.139643781101142</v>
      </c>
      <c r="AC56">
        <v>70.724823704946431</v>
      </c>
    </row>
    <row r="57" spans="3:29" x14ac:dyDescent="0.45">
      <c r="C57">
        <v>-2.4344238191382273</v>
      </c>
      <c r="D57">
        <v>1.2439663942698076</v>
      </c>
      <c r="E57">
        <v>-0.50297945874818994</v>
      </c>
      <c r="H57">
        <v>2</v>
      </c>
      <c r="I57">
        <v>5</v>
      </c>
      <c r="J57">
        <v>5</v>
      </c>
      <c r="M57">
        <v>19.393111742110502</v>
      </c>
      <c r="N57">
        <v>25.150414820036048</v>
      </c>
      <c r="O57">
        <v>33.210087787617169</v>
      </c>
      <c r="Q57" t="s">
        <v>35</v>
      </c>
      <c r="R57">
        <v>100</v>
      </c>
      <c r="S57">
        <v>100</v>
      </c>
      <c r="V57" t="s">
        <v>35</v>
      </c>
      <c r="W57">
        <v>100</v>
      </c>
      <c r="X57">
        <v>100</v>
      </c>
      <c r="AA57" t="s">
        <v>35</v>
      </c>
      <c r="AB57">
        <v>100</v>
      </c>
      <c r="AC57">
        <v>100</v>
      </c>
    </row>
    <row r="58" spans="3:29" x14ac:dyDescent="0.45">
      <c r="C58">
        <v>6.7561711555570225E-2</v>
      </c>
      <c r="D58">
        <v>6.7561711555570225E-2</v>
      </c>
      <c r="E58">
        <v>6.7561711555570225E-2</v>
      </c>
      <c r="H58">
        <v>5</v>
      </c>
      <c r="I58">
        <v>5</v>
      </c>
      <c r="J58">
        <v>5</v>
      </c>
      <c r="M58">
        <v>13.033697001748635</v>
      </c>
      <c r="N58">
        <v>13.033697001748635</v>
      </c>
      <c r="O58">
        <v>13.033697001748635</v>
      </c>
      <c r="Q58" t="s">
        <v>36</v>
      </c>
      <c r="R58">
        <v>0.73285943223183581</v>
      </c>
      <c r="V58" t="s">
        <v>36</v>
      </c>
      <c r="W58">
        <v>1.1637878787878779</v>
      </c>
      <c r="AA58" t="s">
        <v>36</v>
      </c>
      <c r="AB58">
        <v>69.432233743023787</v>
      </c>
    </row>
    <row r="59" spans="3:29" x14ac:dyDescent="0.45">
      <c r="C59">
        <v>6.7561711555570225E-2</v>
      </c>
      <c r="D59">
        <v>-0.50297945874818994</v>
      </c>
      <c r="E59">
        <v>-1.32834871074588</v>
      </c>
      <c r="H59">
        <v>5</v>
      </c>
      <c r="I59">
        <v>5</v>
      </c>
      <c r="J59">
        <v>3</v>
      </c>
      <c r="M59">
        <v>13.033697001748635</v>
      </c>
      <c r="N59">
        <v>33.210087787617169</v>
      </c>
      <c r="O59">
        <v>36.57090330358816</v>
      </c>
      <c r="Q59" t="s">
        <v>37</v>
      </c>
      <c r="R59">
        <v>0</v>
      </c>
      <c r="V59" t="s">
        <v>37</v>
      </c>
      <c r="W59">
        <v>0</v>
      </c>
      <c r="AA59" t="s">
        <v>37</v>
      </c>
      <c r="AB59">
        <v>0</v>
      </c>
    </row>
    <row r="60" spans="3:29" x14ac:dyDescent="0.45">
      <c r="C60">
        <v>-1.4277382497635025</v>
      </c>
      <c r="D60">
        <v>-1.32834871074588</v>
      </c>
      <c r="E60">
        <v>-0.88165084817576744</v>
      </c>
      <c r="H60">
        <v>4</v>
      </c>
      <c r="I60">
        <v>3</v>
      </c>
      <c r="J60">
        <v>4</v>
      </c>
      <c r="M60">
        <v>22.287061540651688</v>
      </c>
      <c r="N60">
        <v>36.57090330358816</v>
      </c>
      <c r="O60">
        <v>24.885360114495338</v>
      </c>
      <c r="Q60" t="s">
        <v>28</v>
      </c>
      <c r="R60">
        <v>198</v>
      </c>
      <c r="V60" t="s">
        <v>28</v>
      </c>
      <c r="W60">
        <v>198</v>
      </c>
      <c r="AA60" t="s">
        <v>28</v>
      </c>
      <c r="AB60">
        <v>198</v>
      </c>
    </row>
    <row r="61" spans="3:29" x14ac:dyDescent="0.45">
      <c r="C61">
        <v>-1.4277382497635025</v>
      </c>
      <c r="D61">
        <v>-1.4277382497635025</v>
      </c>
      <c r="E61">
        <v>-1.32834871074588</v>
      </c>
      <c r="H61">
        <v>4</v>
      </c>
      <c r="I61">
        <v>4</v>
      </c>
      <c r="J61">
        <v>3</v>
      </c>
      <c r="M61">
        <v>22.287061540651688</v>
      </c>
      <c r="N61">
        <v>22.287061540651688</v>
      </c>
      <c r="O61">
        <v>36.57090330358816</v>
      </c>
      <c r="Q61" t="s">
        <v>38</v>
      </c>
      <c r="R61">
        <v>-1.1402065480239358</v>
      </c>
      <c r="V61" t="s">
        <v>38</v>
      </c>
      <c r="W61">
        <v>-1.6386571453305043</v>
      </c>
      <c r="AA61" t="s">
        <v>38</v>
      </c>
      <c r="AB61">
        <v>0.78640001663318249</v>
      </c>
    </row>
    <row r="62" spans="3:29" x14ac:dyDescent="0.45">
      <c r="C62">
        <v>-1.4277382497635025</v>
      </c>
      <c r="D62">
        <v>-1.770240590307405</v>
      </c>
      <c r="E62">
        <v>6.7561711555570225E-2</v>
      </c>
      <c r="H62">
        <v>4</v>
      </c>
      <c r="I62">
        <v>2</v>
      </c>
      <c r="J62">
        <v>5</v>
      </c>
      <c r="M62">
        <v>22.287061540651688</v>
      </c>
      <c r="N62">
        <v>14.548367414925009</v>
      </c>
      <c r="O62">
        <v>13.033697001748635</v>
      </c>
      <c r="Q62" t="s">
        <v>39</v>
      </c>
      <c r="R62">
        <v>0.12778880849121155</v>
      </c>
      <c r="V62" t="s">
        <v>39</v>
      </c>
      <c r="W62">
        <v>5.1436354712134869E-2</v>
      </c>
      <c r="AA62" t="s">
        <v>39</v>
      </c>
      <c r="AB62">
        <v>0.21628667080875613</v>
      </c>
    </row>
    <row r="63" spans="3:29" x14ac:dyDescent="0.45">
      <c r="C63">
        <v>-1.32834871074588</v>
      </c>
      <c r="D63">
        <v>-1.2940462715802379</v>
      </c>
      <c r="E63">
        <v>-1.4277382497635025</v>
      </c>
      <c r="H63">
        <v>3</v>
      </c>
      <c r="I63">
        <v>3</v>
      </c>
      <c r="J63">
        <v>4</v>
      </c>
      <c r="M63">
        <v>36.57090330358816</v>
      </c>
      <c r="N63">
        <v>17.892993157786602</v>
      </c>
      <c r="O63">
        <v>22.287061540651688</v>
      </c>
      <c r="Q63" t="s">
        <v>40</v>
      </c>
      <c r="R63">
        <v>1.6525857836178461</v>
      </c>
      <c r="V63" t="s">
        <v>40</v>
      </c>
      <c r="W63">
        <v>1.6525857836178461</v>
      </c>
      <c r="AA63" t="s">
        <v>40</v>
      </c>
      <c r="AB63">
        <v>1.6525857836178461</v>
      </c>
    </row>
    <row r="64" spans="3:29" x14ac:dyDescent="0.45">
      <c r="C64">
        <v>6.7561711555570225E-2</v>
      </c>
      <c r="D64">
        <v>1.0225246604879525</v>
      </c>
      <c r="E64">
        <v>-2.2129820853563724</v>
      </c>
      <c r="H64">
        <v>5</v>
      </c>
      <c r="I64">
        <v>5</v>
      </c>
      <c r="J64">
        <v>2</v>
      </c>
      <c r="M64">
        <v>13.033697001748635</v>
      </c>
      <c r="N64">
        <v>35.84417032646386</v>
      </c>
      <c r="O64">
        <v>19.075046585222665</v>
      </c>
      <c r="Q64" t="s">
        <v>41</v>
      </c>
      <c r="R64">
        <v>0.25557761698242309</v>
      </c>
      <c r="V64" t="s">
        <v>41</v>
      </c>
      <c r="W64">
        <v>0.10287270942426974</v>
      </c>
      <c r="AA64" t="s">
        <v>41</v>
      </c>
      <c r="AB64">
        <v>0.43257334161751226</v>
      </c>
    </row>
    <row r="65" spans="3:29" ht="18.600000000000001" thickBot="1" x14ac:dyDescent="0.5">
      <c r="C65">
        <v>-1.9915403515745176</v>
      </c>
      <c r="D65">
        <v>-1.7702228439032117</v>
      </c>
      <c r="E65">
        <v>-1.1709739705113651</v>
      </c>
      <c r="H65">
        <v>2</v>
      </c>
      <c r="I65">
        <v>2</v>
      </c>
      <c r="J65">
        <v>4</v>
      </c>
      <c r="M65">
        <v>15.399801562024257</v>
      </c>
      <c r="N65">
        <v>25.311606815690258</v>
      </c>
      <c r="O65">
        <v>30.185767602174646</v>
      </c>
      <c r="Q65" s="1" t="s">
        <v>42</v>
      </c>
      <c r="R65" s="1">
        <v>1.9720174778363073</v>
      </c>
      <c r="S65" s="1"/>
      <c r="V65" s="1" t="s">
        <v>42</v>
      </c>
      <c r="W65" s="1">
        <v>1.9720174778363073</v>
      </c>
      <c r="X65" s="1"/>
      <c r="AA65" s="1" t="s">
        <v>42</v>
      </c>
      <c r="AB65" s="1">
        <v>1.9720174778363073</v>
      </c>
      <c r="AC65" s="1"/>
    </row>
    <row r="66" spans="3:29" x14ac:dyDescent="0.45">
      <c r="C66">
        <v>1.0225246604879525</v>
      </c>
      <c r="D66">
        <v>-1.4277382497635025</v>
      </c>
      <c r="E66">
        <v>-1.4277382497635025</v>
      </c>
      <c r="H66">
        <v>5</v>
      </c>
      <c r="I66">
        <v>4</v>
      </c>
      <c r="J66">
        <v>4</v>
      </c>
      <c r="M66">
        <v>35.84417032646386</v>
      </c>
      <c r="N66">
        <v>22.287061540651688</v>
      </c>
      <c r="O66">
        <v>22.287061540651688</v>
      </c>
    </row>
    <row r="67" spans="3:29" x14ac:dyDescent="0.45">
      <c r="C67">
        <v>-0.50297945874818994</v>
      </c>
      <c r="D67">
        <v>6.7561711555570225E-2</v>
      </c>
      <c r="E67">
        <v>-1.4277382497635025</v>
      </c>
      <c r="H67">
        <v>5</v>
      </c>
      <c r="I67">
        <v>5</v>
      </c>
      <c r="J67">
        <v>4</v>
      </c>
      <c r="M67">
        <v>33.210087787617169</v>
      </c>
      <c r="N67">
        <v>13.033697001748635</v>
      </c>
      <c r="O67">
        <v>22.287061540651688</v>
      </c>
    </row>
    <row r="68" spans="3:29" x14ac:dyDescent="0.45">
      <c r="C68">
        <v>-1.4277382497635025</v>
      </c>
      <c r="D68">
        <v>-1.4277382497635025</v>
      </c>
      <c r="E68">
        <v>-0.50297945874818994</v>
      </c>
      <c r="H68">
        <v>4</v>
      </c>
      <c r="I68">
        <v>4</v>
      </c>
      <c r="J68">
        <v>5</v>
      </c>
      <c r="M68">
        <v>22.287061540651688</v>
      </c>
      <c r="N68">
        <v>22.287061540651688</v>
      </c>
      <c r="O68">
        <v>33.210087787617169</v>
      </c>
    </row>
    <row r="69" spans="3:29" x14ac:dyDescent="0.45">
      <c r="C69">
        <v>-1.9916113378318889</v>
      </c>
      <c r="D69">
        <v>6.7561711555570225E-2</v>
      </c>
      <c r="E69">
        <v>-1.4277382497635025</v>
      </c>
      <c r="H69">
        <v>2</v>
      </c>
      <c r="I69">
        <v>5</v>
      </c>
      <c r="J69">
        <v>4</v>
      </c>
      <c r="M69">
        <v>14.77506980866368</v>
      </c>
      <c r="N69">
        <v>13.033697001748635</v>
      </c>
      <c r="O69">
        <v>22.287061540651688</v>
      </c>
    </row>
    <row r="70" spans="3:29" x14ac:dyDescent="0.45">
      <c r="C70">
        <v>-0.50297945874818994</v>
      </c>
      <c r="D70">
        <v>6.7561711555570225E-2</v>
      </c>
      <c r="E70">
        <v>6.7561711555570225E-2</v>
      </c>
      <c r="H70">
        <v>5</v>
      </c>
      <c r="I70">
        <v>5</v>
      </c>
      <c r="J70">
        <v>5</v>
      </c>
      <c r="M70">
        <v>33.210087787617169</v>
      </c>
      <c r="N70">
        <v>13.033697001748635</v>
      </c>
      <c r="O70">
        <v>13.033697001748635</v>
      </c>
    </row>
    <row r="71" spans="3:29" x14ac:dyDescent="0.45">
      <c r="C71">
        <v>6.7561711555570225E-2</v>
      </c>
      <c r="D71">
        <v>-1.4277382497635025</v>
      </c>
      <c r="E71">
        <v>6.7561711555570225E-2</v>
      </c>
      <c r="H71">
        <v>5</v>
      </c>
      <c r="I71">
        <v>4</v>
      </c>
      <c r="J71">
        <v>5</v>
      </c>
      <c r="M71">
        <v>13.033697001748635</v>
      </c>
      <c r="N71">
        <v>22.287061540651688</v>
      </c>
      <c r="O71">
        <v>13.033697001748635</v>
      </c>
    </row>
    <row r="72" spans="3:29" x14ac:dyDescent="0.45">
      <c r="C72">
        <v>-1.4277382497635025</v>
      </c>
      <c r="D72">
        <v>6.7561711555570225E-2</v>
      </c>
      <c r="E72">
        <v>6.7561711555570225E-2</v>
      </c>
      <c r="H72">
        <v>4</v>
      </c>
      <c r="I72">
        <v>5</v>
      </c>
      <c r="J72">
        <v>5</v>
      </c>
      <c r="M72">
        <v>22.287061540651688</v>
      </c>
      <c r="N72">
        <v>13.033697001748635</v>
      </c>
      <c r="O72">
        <v>13.033697001748635</v>
      </c>
    </row>
    <row r="73" spans="3:29" x14ac:dyDescent="0.45">
      <c r="C73">
        <v>-0.50297945874818994</v>
      </c>
      <c r="D73">
        <v>-1.4277382497635025</v>
      </c>
      <c r="E73">
        <v>-1.4277382497635025</v>
      </c>
      <c r="H73">
        <v>5</v>
      </c>
      <c r="I73">
        <v>4</v>
      </c>
      <c r="J73">
        <v>4</v>
      </c>
      <c r="M73">
        <v>33.210087787617169</v>
      </c>
      <c r="N73">
        <v>22.287061540651688</v>
      </c>
      <c r="O73">
        <v>22.287061540651688</v>
      </c>
    </row>
    <row r="74" spans="3:29" x14ac:dyDescent="0.45">
      <c r="C74">
        <v>-1.1709739705113651</v>
      </c>
      <c r="D74">
        <v>-1.4277382497635025</v>
      </c>
      <c r="E74">
        <v>-1.4277382497635025</v>
      </c>
      <c r="H74">
        <v>4</v>
      </c>
      <c r="I74">
        <v>4</v>
      </c>
      <c r="J74">
        <v>4</v>
      </c>
      <c r="M74">
        <v>30.185767602174646</v>
      </c>
      <c r="N74">
        <v>22.287061540651688</v>
      </c>
      <c r="O74">
        <v>22.287061540651688</v>
      </c>
    </row>
    <row r="75" spans="3:29" x14ac:dyDescent="0.45">
      <c r="C75">
        <v>-1.4277382497635025</v>
      </c>
      <c r="D75">
        <v>6.7561711555570225E-2</v>
      </c>
      <c r="E75">
        <v>6.7561711555570225E-2</v>
      </c>
      <c r="H75">
        <v>4</v>
      </c>
      <c r="I75">
        <v>5</v>
      </c>
      <c r="J75">
        <v>5</v>
      </c>
      <c r="M75">
        <v>22.287061540651688</v>
      </c>
      <c r="N75">
        <v>13.033697001748635</v>
      </c>
      <c r="O75">
        <v>13.033697001748635</v>
      </c>
    </row>
    <row r="76" spans="3:29" x14ac:dyDescent="0.45">
      <c r="C76">
        <v>-1.4277382497635025</v>
      </c>
      <c r="D76">
        <v>6.7561711555570225E-2</v>
      </c>
      <c r="E76">
        <v>-1.4277382497635025</v>
      </c>
      <c r="H76">
        <v>4</v>
      </c>
      <c r="I76">
        <v>5</v>
      </c>
      <c r="J76">
        <v>4</v>
      </c>
      <c r="M76">
        <v>22.287061540651688</v>
      </c>
      <c r="N76">
        <v>13.033697001748635</v>
      </c>
      <c r="O76">
        <v>22.287061540651688</v>
      </c>
    </row>
    <row r="77" spans="3:29" x14ac:dyDescent="0.45">
      <c r="C77">
        <v>-1.7701696040500337</v>
      </c>
      <c r="D77">
        <v>-0.50297945874818994</v>
      </c>
      <c r="E77">
        <v>-1.4277382497635025</v>
      </c>
      <c r="H77">
        <v>2</v>
      </c>
      <c r="I77">
        <v>5</v>
      </c>
      <c r="J77">
        <v>4</v>
      </c>
      <c r="M77">
        <v>13.33222893930289</v>
      </c>
      <c r="N77">
        <v>33.210087787617169</v>
      </c>
      <c r="O77">
        <v>22.287061540651688</v>
      </c>
    </row>
    <row r="78" spans="3:29" x14ac:dyDescent="0.45">
      <c r="C78">
        <v>1.0225246604879525</v>
      </c>
      <c r="D78">
        <v>6.7561711555570225E-2</v>
      </c>
      <c r="E78">
        <v>-1.1709739705113651</v>
      </c>
      <c r="H78">
        <v>5</v>
      </c>
      <c r="I78">
        <v>5</v>
      </c>
      <c r="J78">
        <v>4</v>
      </c>
      <c r="M78">
        <v>35.84417032646386</v>
      </c>
      <c r="N78">
        <v>13.033697001748635</v>
      </c>
      <c r="O78">
        <v>30.185767602174646</v>
      </c>
    </row>
    <row r="79" spans="3:29" x14ac:dyDescent="0.45">
      <c r="C79">
        <v>-1.4277382497635025</v>
      </c>
      <c r="D79">
        <v>-1.770240590307405</v>
      </c>
      <c r="E79">
        <v>-0.50297945874818994</v>
      </c>
      <c r="H79">
        <v>4</v>
      </c>
      <c r="I79">
        <v>2</v>
      </c>
      <c r="J79">
        <v>5</v>
      </c>
      <c r="M79">
        <v>22.287061540651688</v>
      </c>
      <c r="N79">
        <v>14.548367414925009</v>
      </c>
      <c r="O79">
        <v>33.210087787617169</v>
      </c>
    </row>
    <row r="80" spans="3:29" x14ac:dyDescent="0.45">
      <c r="C80">
        <v>1.0225246604879525</v>
      </c>
      <c r="D80">
        <v>6.7561711555570225E-2</v>
      </c>
      <c r="E80">
        <v>6.7561711555570225E-2</v>
      </c>
      <c r="H80">
        <v>5</v>
      </c>
      <c r="I80">
        <v>5</v>
      </c>
      <c r="J80">
        <v>5</v>
      </c>
      <c r="M80">
        <v>35.84417032646386</v>
      </c>
      <c r="N80">
        <v>13.033697001748635</v>
      </c>
      <c r="O80">
        <v>13.033697001748635</v>
      </c>
    </row>
    <row r="81" spans="3:15" x14ac:dyDescent="0.45">
      <c r="C81">
        <v>-1.1030215957002514</v>
      </c>
      <c r="D81">
        <v>-1.2940462715802379</v>
      </c>
      <c r="E81">
        <v>-1.4277382497635025</v>
      </c>
      <c r="H81">
        <v>4</v>
      </c>
      <c r="I81">
        <v>3</v>
      </c>
      <c r="J81">
        <v>4</v>
      </c>
      <c r="M81">
        <v>30.265203170860008</v>
      </c>
      <c r="N81">
        <v>17.892993157786602</v>
      </c>
      <c r="O81">
        <v>22.287061540651688</v>
      </c>
    </row>
    <row r="82" spans="3:15" x14ac:dyDescent="0.45">
      <c r="C82">
        <v>-1.4277382497635025</v>
      </c>
      <c r="D82">
        <v>6.7561711555570225E-2</v>
      </c>
      <c r="E82">
        <v>6.7561711555570225E-2</v>
      </c>
      <c r="H82">
        <v>4</v>
      </c>
      <c r="I82">
        <v>5</v>
      </c>
      <c r="J82">
        <v>5</v>
      </c>
      <c r="M82">
        <v>22.287061540651688</v>
      </c>
      <c r="N82">
        <v>13.033697001748635</v>
      </c>
      <c r="O82">
        <v>13.033697001748635</v>
      </c>
    </row>
    <row r="83" spans="3:15" x14ac:dyDescent="0.45">
      <c r="C83">
        <v>6.7561711555570225E-2</v>
      </c>
      <c r="D83">
        <v>-1.4277382497635025</v>
      </c>
      <c r="E83">
        <v>6.7561711555570225E-2</v>
      </c>
      <c r="H83">
        <v>5</v>
      </c>
      <c r="I83">
        <v>4</v>
      </c>
      <c r="J83">
        <v>5</v>
      </c>
      <c r="M83">
        <v>13.033697001748635</v>
      </c>
      <c r="N83">
        <v>22.287061540651688</v>
      </c>
      <c r="O83">
        <v>13.033697001748635</v>
      </c>
    </row>
    <row r="84" spans="3:15" x14ac:dyDescent="0.45">
      <c r="C84">
        <v>-0.88165084817576744</v>
      </c>
      <c r="D84">
        <v>-0.50297945874818994</v>
      </c>
      <c r="E84">
        <v>-1.9915403515745176</v>
      </c>
      <c r="H84">
        <v>4</v>
      </c>
      <c r="I84">
        <v>5</v>
      </c>
      <c r="J84">
        <v>2</v>
      </c>
      <c r="M84">
        <v>24.885360114495338</v>
      </c>
      <c r="N84">
        <v>33.210087787617169</v>
      </c>
      <c r="O84">
        <v>15.731433357870804</v>
      </c>
    </row>
    <row r="85" spans="3:15" x14ac:dyDescent="0.45">
      <c r="C85">
        <v>-1.770240590307405</v>
      </c>
      <c r="D85">
        <v>6.7561711555570225E-2</v>
      </c>
      <c r="E85">
        <v>6.7561711555570225E-2</v>
      </c>
      <c r="H85">
        <v>2</v>
      </c>
      <c r="I85">
        <v>5</v>
      </c>
      <c r="J85">
        <v>5</v>
      </c>
      <c r="M85">
        <v>14.548367414925009</v>
      </c>
      <c r="N85">
        <v>13.033697001748635</v>
      </c>
      <c r="O85">
        <v>13.033697001748635</v>
      </c>
    </row>
    <row r="86" spans="3:15" x14ac:dyDescent="0.45">
      <c r="C86">
        <v>-1.4277382497635025</v>
      </c>
      <c r="D86">
        <v>6.7561711555570225E-2</v>
      </c>
      <c r="E86">
        <v>-1.4277382497635025</v>
      </c>
      <c r="H86">
        <v>4</v>
      </c>
      <c r="I86">
        <v>5</v>
      </c>
      <c r="J86">
        <v>4</v>
      </c>
      <c r="M86">
        <v>22.287061540651688</v>
      </c>
      <c r="N86">
        <v>13.033697001748635</v>
      </c>
      <c r="O86">
        <v>22.287061540651688</v>
      </c>
    </row>
    <row r="87" spans="3:15" x14ac:dyDescent="0.45">
      <c r="C87">
        <v>-1.9915403515745176</v>
      </c>
      <c r="D87">
        <v>-1.32834871074588</v>
      </c>
      <c r="E87">
        <v>-1.4277382497635025</v>
      </c>
      <c r="H87">
        <v>2</v>
      </c>
      <c r="I87">
        <v>3</v>
      </c>
      <c r="J87">
        <v>4</v>
      </c>
      <c r="M87">
        <v>15.399801562024257</v>
      </c>
      <c r="N87">
        <v>36.57090330358816</v>
      </c>
      <c r="O87">
        <v>22.287061540651688</v>
      </c>
    </row>
    <row r="88" spans="3:15" x14ac:dyDescent="0.45">
      <c r="C88">
        <v>-1.9916113378318889</v>
      </c>
      <c r="D88">
        <v>6.7561711555570225E-2</v>
      </c>
      <c r="E88">
        <v>6.7561711555570225E-2</v>
      </c>
      <c r="H88">
        <v>2</v>
      </c>
      <c r="I88">
        <v>5</v>
      </c>
      <c r="J88">
        <v>5</v>
      </c>
      <c r="M88">
        <v>15.109886143567465</v>
      </c>
      <c r="N88">
        <v>13.033697001748635</v>
      </c>
      <c r="O88">
        <v>13.033697001748635</v>
      </c>
    </row>
    <row r="89" spans="3:15" x14ac:dyDescent="0.45">
      <c r="C89">
        <v>-1.4277382497635025</v>
      </c>
      <c r="D89">
        <v>-0.94953223672951004</v>
      </c>
      <c r="E89">
        <v>6.7561711555570225E-2</v>
      </c>
      <c r="H89">
        <v>4</v>
      </c>
      <c r="I89">
        <v>4</v>
      </c>
      <c r="J89">
        <v>5</v>
      </c>
      <c r="M89">
        <v>22.287061540651688</v>
      </c>
      <c r="N89">
        <v>41.842422824968097</v>
      </c>
      <c r="O89">
        <v>13.033697001748635</v>
      </c>
    </row>
    <row r="90" spans="3:15" x14ac:dyDescent="0.45">
      <c r="C90">
        <v>-2.2160178514971274</v>
      </c>
      <c r="D90">
        <v>-1.2940462715802379</v>
      </c>
      <c r="E90">
        <v>-1.7702228439032117</v>
      </c>
      <c r="H90">
        <v>2</v>
      </c>
      <c r="I90">
        <v>3</v>
      </c>
      <c r="J90">
        <v>2</v>
      </c>
      <c r="M90">
        <v>30.866388728656609</v>
      </c>
      <c r="N90">
        <v>17.892993157786602</v>
      </c>
      <c r="O90">
        <v>25.311606815690258</v>
      </c>
    </row>
    <row r="91" spans="3:15" x14ac:dyDescent="0.45">
      <c r="C91">
        <v>-0.50297945874818994</v>
      </c>
      <c r="D91">
        <v>-1.5488520963787278</v>
      </c>
      <c r="E91">
        <v>-1.4277382497635025</v>
      </c>
      <c r="H91">
        <v>5</v>
      </c>
      <c r="I91">
        <v>2</v>
      </c>
      <c r="J91">
        <v>4</v>
      </c>
      <c r="M91">
        <v>33.210087787617169</v>
      </c>
      <c r="N91">
        <v>34.305038666083419</v>
      </c>
      <c r="O91">
        <v>22.287061540651688</v>
      </c>
    </row>
    <row r="92" spans="3:15" x14ac:dyDescent="0.45">
      <c r="C92">
        <v>1.0225246604879525</v>
      </c>
      <c r="D92">
        <v>6.7561711555570225E-2</v>
      </c>
      <c r="E92">
        <v>-2.2160178514971274</v>
      </c>
      <c r="H92">
        <v>5</v>
      </c>
      <c r="I92">
        <v>5</v>
      </c>
      <c r="J92">
        <v>2</v>
      </c>
      <c r="M92">
        <v>35.84417032646386</v>
      </c>
      <c r="N92">
        <v>13.033697001748635</v>
      </c>
      <c r="O92">
        <v>30.866388728656609</v>
      </c>
    </row>
    <row r="93" spans="3:15" x14ac:dyDescent="0.45">
      <c r="C93">
        <v>6.7561711555570225E-2</v>
      </c>
      <c r="D93">
        <v>-1.4277382497635025</v>
      </c>
      <c r="E93">
        <v>-1.770240590307405</v>
      </c>
      <c r="H93">
        <v>5</v>
      </c>
      <c r="I93">
        <v>4</v>
      </c>
      <c r="J93">
        <v>2</v>
      </c>
      <c r="M93">
        <v>13.033697001748635</v>
      </c>
      <c r="N93">
        <v>22.287061540651688</v>
      </c>
      <c r="O93">
        <v>14.875634871149158</v>
      </c>
    </row>
    <row r="94" spans="3:15" x14ac:dyDescent="0.45">
      <c r="C94">
        <v>-1.4277382497635025</v>
      </c>
      <c r="D94">
        <v>-0.50297945874818994</v>
      </c>
      <c r="E94">
        <v>-1.1030215957002514</v>
      </c>
      <c r="H94">
        <v>4</v>
      </c>
      <c r="I94">
        <v>5</v>
      </c>
      <c r="J94">
        <v>4</v>
      </c>
      <c r="M94">
        <v>22.287061540651688</v>
      </c>
      <c r="N94">
        <v>33.210087787617169</v>
      </c>
      <c r="O94">
        <v>30.265203170860008</v>
      </c>
    </row>
    <row r="95" spans="3:15" x14ac:dyDescent="0.45">
      <c r="C95">
        <v>-1.9916113378318889</v>
      </c>
      <c r="D95">
        <v>-1.2940462715802379</v>
      </c>
      <c r="E95">
        <v>-1.1709739705113651</v>
      </c>
      <c r="H95">
        <v>2</v>
      </c>
      <c r="I95">
        <v>3</v>
      </c>
      <c r="J95">
        <v>4</v>
      </c>
      <c r="M95">
        <v>15.109886143567465</v>
      </c>
      <c r="N95">
        <v>17.892993157786602</v>
      </c>
      <c r="O95">
        <v>30.185767602174646</v>
      </c>
    </row>
    <row r="96" spans="3:15" x14ac:dyDescent="0.45">
      <c r="C96">
        <v>-1.9916113378318889</v>
      </c>
      <c r="D96">
        <v>-2.2129820853563724</v>
      </c>
      <c r="E96">
        <v>-1.5488520963787278</v>
      </c>
      <c r="H96">
        <v>2</v>
      </c>
      <c r="I96">
        <v>2</v>
      </c>
      <c r="J96">
        <v>2</v>
      </c>
      <c r="M96">
        <v>14.77506980866368</v>
      </c>
      <c r="N96">
        <v>19.075046585222665</v>
      </c>
      <c r="O96">
        <v>34.305038666083419</v>
      </c>
    </row>
    <row r="97" spans="2:15" x14ac:dyDescent="0.45">
      <c r="C97">
        <v>-1.1709739705113651</v>
      </c>
      <c r="D97">
        <v>6.7561711555570225E-2</v>
      </c>
      <c r="E97">
        <v>6.7561711555570225E-2</v>
      </c>
      <c r="H97">
        <v>4</v>
      </c>
      <c r="I97">
        <v>5</v>
      </c>
      <c r="J97">
        <v>5</v>
      </c>
      <c r="M97">
        <v>30.185767602174646</v>
      </c>
      <c r="N97">
        <v>13.033697001748635</v>
      </c>
      <c r="O97">
        <v>13.033697001748635</v>
      </c>
    </row>
    <row r="98" spans="2:15" x14ac:dyDescent="0.45">
      <c r="C98">
        <v>6.7561711555570225E-2</v>
      </c>
      <c r="D98">
        <v>-1.4277382497635025</v>
      </c>
      <c r="E98">
        <v>6.7561711555570225E-2</v>
      </c>
      <c r="H98">
        <v>5</v>
      </c>
      <c r="I98">
        <v>4</v>
      </c>
      <c r="J98">
        <v>5</v>
      </c>
      <c r="M98">
        <v>13.033697001748635</v>
      </c>
      <c r="N98">
        <v>22.287061540651688</v>
      </c>
      <c r="O98">
        <v>13.033697001748635</v>
      </c>
    </row>
    <row r="99" spans="2:15" x14ac:dyDescent="0.45">
      <c r="C99">
        <v>-1.2940462715802379</v>
      </c>
      <c r="D99">
        <v>-1.1709739705113651</v>
      </c>
      <c r="E99">
        <v>-1.1709739705113651</v>
      </c>
      <c r="H99">
        <v>3</v>
      </c>
      <c r="I99">
        <v>4</v>
      </c>
      <c r="J99">
        <v>4</v>
      </c>
      <c r="M99">
        <v>17.892993157786602</v>
      </c>
      <c r="N99">
        <v>30.185767602174646</v>
      </c>
      <c r="O99">
        <v>30.185767602174646</v>
      </c>
    </row>
    <row r="100" spans="2:15" x14ac:dyDescent="0.45">
      <c r="C100">
        <v>6.7561711555570225E-2</v>
      </c>
      <c r="D100">
        <v>-1.4277382497635025</v>
      </c>
      <c r="E100">
        <v>-1.1030215957002514</v>
      </c>
      <c r="H100">
        <v>5</v>
      </c>
      <c r="I100">
        <v>4</v>
      </c>
      <c r="J100">
        <v>4</v>
      </c>
      <c r="M100">
        <v>13.033697001748635</v>
      </c>
      <c r="N100">
        <v>22.287061540651688</v>
      </c>
      <c r="O100">
        <v>30.265203170860008</v>
      </c>
    </row>
    <row r="101" spans="2:15" x14ac:dyDescent="0.45">
      <c r="C101">
        <v>-1.4277382497635025</v>
      </c>
      <c r="D101">
        <v>-1.2940462715802379</v>
      </c>
      <c r="E101">
        <v>-1.1709739705113651</v>
      </c>
      <c r="H101">
        <v>4</v>
      </c>
      <c r="I101">
        <v>3</v>
      </c>
      <c r="J101">
        <v>4</v>
      </c>
      <c r="M101">
        <v>22.287061540651688</v>
      </c>
      <c r="N101">
        <v>17.892993157786602</v>
      </c>
      <c r="O101">
        <v>30.185767602174646</v>
      </c>
    </row>
    <row r="103" spans="2:15" x14ac:dyDescent="0.45">
      <c r="B103" t="s">
        <v>1</v>
      </c>
      <c r="C103">
        <f>AVERAGE(C2:C101)</f>
        <v>-0.99309446434183257</v>
      </c>
      <c r="D103">
        <f t="shared" ref="D103:E103" si="0">AVERAGE(D2:D101)</f>
        <v>-0.76640110533208616</v>
      </c>
      <c r="E103">
        <f t="shared" si="0"/>
        <v>-0.85505321872909401</v>
      </c>
      <c r="H103">
        <f>AVERAGE(H2:H101)</f>
        <v>3.79</v>
      </c>
      <c r="I103">
        <f t="shared" ref="I103:J103" si="1">AVERAGE(I2:I101)</f>
        <v>4.1500000000000004</v>
      </c>
      <c r="J103">
        <f t="shared" si="1"/>
        <v>4.04</v>
      </c>
      <c r="M103">
        <f>AVERAGE(M2:M101)</f>
        <v>23.734265975923236</v>
      </c>
      <c r="N103">
        <f t="shared" ref="N103:O103" si="2">AVERAGE(N2:N101)</f>
        <v>20.553787140366854</v>
      </c>
      <c r="O103">
        <f t="shared" si="2"/>
        <v>22.807566151906485</v>
      </c>
    </row>
    <row r="104" spans="2:15" x14ac:dyDescent="0.45">
      <c r="B104" t="s">
        <v>7</v>
      </c>
      <c r="C104">
        <f>_xlfn.VAR.S(C2:C101)</f>
        <v>0.7868059526261475</v>
      </c>
      <c r="D104">
        <f t="shared" ref="D104:E104" si="3">_xlfn.VAR.S(D2:D101)</f>
        <v>0.7145743274361287</v>
      </c>
      <c r="E104">
        <f t="shared" si="3"/>
        <v>0.678912911837524</v>
      </c>
      <c r="H104">
        <f>_xlfn.VAR.S(H2:H101)</f>
        <v>1.3594949494949486</v>
      </c>
      <c r="I104">
        <f t="shared" ref="I104:J104" si="4">_xlfn.VAR.S(I2:I101)</f>
        <v>0.85606060606060608</v>
      </c>
      <c r="J104">
        <f t="shared" si="4"/>
        <v>0.96808080808080721</v>
      </c>
      <c r="M104">
        <f>_xlfn.VAR.S(M2:M101)</f>
        <v>68.139643781101142</v>
      </c>
      <c r="N104">
        <f t="shared" ref="N104:O104" si="5">_xlfn.VAR.S(N2:N101)</f>
        <v>53.854997539735663</v>
      </c>
      <c r="O104">
        <f t="shared" si="5"/>
        <v>70.724823704946431</v>
      </c>
    </row>
    <row r="105" spans="2:15" x14ac:dyDescent="0.45">
      <c r="B105" t="s">
        <v>8</v>
      </c>
      <c r="C105">
        <f>C104/(100^(1/2))</f>
        <v>7.8680595262614755E-2</v>
      </c>
      <c r="D105">
        <f t="shared" ref="D105:E105" si="6">D104/(100^(1/2))</f>
        <v>7.1457432743612867E-2</v>
      </c>
      <c r="E105">
        <f t="shared" si="6"/>
        <v>6.7891291183752395E-2</v>
      </c>
      <c r="H105">
        <f>H104/(100^(1/2))</f>
        <v>0.13594949494949488</v>
      </c>
      <c r="I105">
        <f t="shared" ref="I105:J105" si="7">I104/(100^(1/2))</f>
        <v>8.5606060606060602E-2</v>
      </c>
      <c r="J105">
        <f t="shared" si="7"/>
        <v>9.6808080808080718E-2</v>
      </c>
      <c r="M105">
        <f>M104/(100^(1/2))</f>
        <v>6.8139643781101142</v>
      </c>
      <c r="N105">
        <f t="shared" ref="N105:O105" si="8">N104/(100^(1/2))</f>
        <v>5.3854997539735665</v>
      </c>
      <c r="O105">
        <f t="shared" si="8"/>
        <v>7.0724823704946429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56CB-21D2-44F7-851A-A46242C12740}">
  <dimension ref="A1:D9"/>
  <sheetViews>
    <sheetView zoomScale="60" zoomScaleNormal="100" workbookViewId="0">
      <selection activeCell="Z19" sqref="Z19"/>
    </sheetView>
  </sheetViews>
  <sheetFormatPr defaultRowHeight="18" x14ac:dyDescent="0.45"/>
  <sheetData>
    <row r="1" spans="1:4" x14ac:dyDescent="0.45">
      <c r="B1" t="s">
        <v>44</v>
      </c>
      <c r="C1" t="s">
        <v>43</v>
      </c>
      <c r="D1" t="s">
        <v>4</v>
      </c>
    </row>
    <row r="2" spans="1:4" x14ac:dyDescent="0.45">
      <c r="A2" t="s">
        <v>46</v>
      </c>
      <c r="B2">
        <v>-0.99309446434183257</v>
      </c>
      <c r="C2">
        <v>3.79</v>
      </c>
      <c r="D2">
        <v>23.734265975923236</v>
      </c>
    </row>
    <row r="3" spans="1:4" x14ac:dyDescent="0.45">
      <c r="A3" t="s">
        <v>13</v>
      </c>
      <c r="B3">
        <v>-0.76640110533208616</v>
      </c>
      <c r="C3">
        <v>4.1500000000000004</v>
      </c>
      <c r="D3">
        <v>20.553787140366854</v>
      </c>
    </row>
    <row r="4" spans="1:4" x14ac:dyDescent="0.45">
      <c r="A4" t="s">
        <v>14</v>
      </c>
      <c r="B4">
        <v>-0.85505321872909401</v>
      </c>
      <c r="C4">
        <v>4.04</v>
      </c>
      <c r="D4">
        <v>22.807566151906485</v>
      </c>
    </row>
    <row r="6" spans="1:4" x14ac:dyDescent="0.45">
      <c r="B6" t="s">
        <v>44</v>
      </c>
      <c r="C6" t="s">
        <v>43</v>
      </c>
      <c r="D6" t="s">
        <v>4</v>
      </c>
    </row>
    <row r="7" spans="1:4" x14ac:dyDescent="0.45">
      <c r="A7" t="s">
        <v>46</v>
      </c>
      <c r="B7">
        <v>7.8680595262614755E-2</v>
      </c>
      <c r="C7">
        <v>0.13594949494949488</v>
      </c>
      <c r="D7">
        <v>6.8139643781101142</v>
      </c>
    </row>
    <row r="8" spans="1:4" x14ac:dyDescent="0.45">
      <c r="A8" t="s">
        <v>13</v>
      </c>
      <c r="B8">
        <v>7.1457432743612867E-2</v>
      </c>
      <c r="C8">
        <v>8.5606060606060602E-2</v>
      </c>
      <c r="D8">
        <v>5.3854997539735665</v>
      </c>
    </row>
    <row r="9" spans="1:4" x14ac:dyDescent="0.45">
      <c r="A9" t="s">
        <v>14</v>
      </c>
      <c r="B9">
        <v>6.7891291183752395E-2</v>
      </c>
      <c r="C9">
        <v>9.6808080808080718E-2</v>
      </c>
      <c r="D9">
        <v>7.0724823704946429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0A11-D0FB-477B-B445-FEB3B60DE69E}">
  <dimension ref="A1:AD107"/>
  <sheetViews>
    <sheetView topLeftCell="H1" workbookViewId="0">
      <pane ySplit="1" topLeftCell="A101" activePane="bottomLeft" state="frozen"/>
      <selection pane="bottomLeft" activeCell="U105" sqref="U105"/>
    </sheetView>
  </sheetViews>
  <sheetFormatPr defaultRowHeight="18" x14ac:dyDescent="0.45"/>
  <cols>
    <col min="2" max="2" width="9.09765625" bestFit="1" customWidth="1"/>
    <col min="3" max="3" width="10.5" bestFit="1" customWidth="1"/>
    <col min="4" max="4" width="10.3984375" bestFit="1" customWidth="1"/>
    <col min="5" max="5" width="9.5" bestFit="1" customWidth="1"/>
    <col min="6" max="6" width="10.5" bestFit="1" customWidth="1"/>
    <col min="7" max="7" width="9.5" bestFit="1" customWidth="1"/>
    <col min="8" max="8" width="10.5" bestFit="1" customWidth="1"/>
    <col min="9" max="9" width="10.3984375" bestFit="1" customWidth="1"/>
    <col min="10" max="10" width="12.59765625" bestFit="1" customWidth="1"/>
    <col min="22" max="22" width="12.69921875" bestFit="1" customWidth="1"/>
    <col min="30" max="30" width="9.5" bestFit="1" customWidth="1"/>
  </cols>
  <sheetData>
    <row r="1" spans="1:30" x14ac:dyDescent="0.4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 t="s">
        <v>1</v>
      </c>
      <c r="K1" t="s">
        <v>2</v>
      </c>
      <c r="L1" t="s">
        <v>3</v>
      </c>
      <c r="N1" t="s">
        <v>4</v>
      </c>
      <c r="O1">
        <v>1.5</v>
      </c>
      <c r="P1">
        <v>2.5</v>
      </c>
      <c r="Q1">
        <v>3.5</v>
      </c>
      <c r="R1">
        <v>4.5</v>
      </c>
      <c r="S1">
        <v>5.5</v>
      </c>
      <c r="T1">
        <v>6.5</v>
      </c>
      <c r="U1">
        <v>7.5</v>
      </c>
      <c r="V1" t="s">
        <v>1</v>
      </c>
      <c r="W1" t="s">
        <v>6</v>
      </c>
      <c r="AD1" t="s">
        <v>5</v>
      </c>
    </row>
    <row r="2" spans="1:30" x14ac:dyDescent="0.45">
      <c r="B2">
        <v>-5.3045829276604293</v>
      </c>
      <c r="C2">
        <v>0</v>
      </c>
      <c r="D2">
        <v>-5.5511150768909598E-2</v>
      </c>
      <c r="E2">
        <v>-3.5190413837266599</v>
      </c>
      <c r="F2">
        <v>-9.2133511311535593E-11</v>
      </c>
      <c r="G2">
        <v>-3.5190413837266599</v>
      </c>
      <c r="H2">
        <v>-9.2133511311535593E-11</v>
      </c>
      <c r="I2">
        <v>-3.5190413837266599</v>
      </c>
      <c r="J2">
        <f>AVERAGE(B2:I2)</f>
        <v>-1.9896522787241984</v>
      </c>
      <c r="K2">
        <f>COUNTIF(B2:I2,"&gt;=0")</f>
        <v>1</v>
      </c>
      <c r="L2" cm="1">
        <f t="array" ref="L2">SUMPRODUCT(N(B2:H2*C2:I2&lt;0))</f>
        <v>0</v>
      </c>
      <c r="O2">
        <v>0.178485541067262</v>
      </c>
      <c r="P2">
        <v>0.95039780615288905</v>
      </c>
      <c r="Q2">
        <v>0.218388103778136</v>
      </c>
      <c r="R2">
        <v>0.26382173773226397</v>
      </c>
      <c r="S2">
        <v>0.155531702654604</v>
      </c>
      <c r="T2">
        <v>3.5281014266621898E-2</v>
      </c>
      <c r="U2">
        <v>1.4574396947437399E-2</v>
      </c>
      <c r="V2">
        <f>AVERAGE(O2:U2)</f>
        <v>0.25949718608560202</v>
      </c>
      <c r="W2">
        <f>V2*360/(3.14*2)</f>
        <v>14.875634871149158</v>
      </c>
    </row>
    <row r="3" spans="1:30" x14ac:dyDescent="0.45">
      <c r="B3">
        <v>-5.3045829276604293</v>
      </c>
      <c r="C3">
        <v>0</v>
      </c>
      <c r="D3">
        <v>-5.5511150768909598E-2</v>
      </c>
      <c r="E3">
        <v>1.76299013879221</v>
      </c>
      <c r="F3">
        <v>3.0462949225501701E-12</v>
      </c>
      <c r="G3">
        <v>-6.3622189013744307E-2</v>
      </c>
      <c r="H3">
        <v>7.0848673421582502</v>
      </c>
      <c r="I3">
        <v>-0.710620581419799</v>
      </c>
      <c r="J3">
        <f t="shared" ref="J3:J66" si="0">AVERAGE(B3:I3)</f>
        <v>0.33919007901132808</v>
      </c>
      <c r="K3">
        <f t="shared" ref="K3:K66" si="1">COUNTIF(B3:I3,"&gt;=0")</f>
        <v>4</v>
      </c>
      <c r="L3" cm="1">
        <f t="array" ref="L3">SUMPRODUCT(N(B3:H3*C3:I3&lt;0))</f>
        <v>4</v>
      </c>
      <c r="O3">
        <v>0.180824974347676</v>
      </c>
      <c r="P3">
        <v>0.86748132821930302</v>
      </c>
      <c r="Q3">
        <v>2.4900412368091701E-3</v>
      </c>
      <c r="R3">
        <v>0.87470119581085204</v>
      </c>
      <c r="S3">
        <v>0.19559633122085501</v>
      </c>
      <c r="T3">
        <v>5.0296076868244E-2</v>
      </c>
      <c r="U3">
        <v>1.35433278970914E-2</v>
      </c>
      <c r="V3">
        <f t="shared" ref="V3:V66" si="2">AVERAGE(O3:U3)</f>
        <v>0.31213332508583297</v>
      </c>
      <c r="W3">
        <f t="shared" ref="W3:W66" si="3">V3*360/(3.14*2)</f>
        <v>17.892993157786602</v>
      </c>
    </row>
    <row r="4" spans="1:30" x14ac:dyDescent="0.45">
      <c r="B4">
        <v>-5.3045829276604293</v>
      </c>
      <c r="C4">
        <v>0</v>
      </c>
      <c r="D4">
        <v>-5.5511150768909598E-2</v>
      </c>
      <c r="E4">
        <v>-3.5190413837266599</v>
      </c>
      <c r="F4">
        <v>-1.75778596836428</v>
      </c>
      <c r="G4">
        <v>-3.8911795651947499E-10</v>
      </c>
      <c r="H4">
        <v>2.79653954007231E-4</v>
      </c>
      <c r="I4">
        <v>-3.5209268652589603</v>
      </c>
      <c r="J4">
        <f t="shared" si="0"/>
        <v>-1.7696960802767938</v>
      </c>
      <c r="K4">
        <f t="shared" si="1"/>
        <v>2</v>
      </c>
      <c r="L4" cm="1">
        <f t="array" ref="L4">SUMPRODUCT(N(B4:H4*C4:I4&lt;0))</f>
        <v>2</v>
      </c>
      <c r="O4">
        <v>0.14407348342470799</v>
      </c>
      <c r="P4">
        <v>0.71104184088785904</v>
      </c>
      <c r="Q4">
        <v>0.48032554539912498</v>
      </c>
      <c r="R4">
        <v>0.47754672564760797</v>
      </c>
      <c r="S4">
        <v>0.71535603637787204</v>
      </c>
      <c r="T4">
        <v>0.155212952520938</v>
      </c>
      <c r="U4">
        <v>3.7941263872579498E-2</v>
      </c>
      <c r="V4">
        <f t="shared" si="2"/>
        <v>0.38878540687581281</v>
      </c>
      <c r="W4">
        <f t="shared" si="3"/>
        <v>22.287061540651688</v>
      </c>
    </row>
    <row r="5" spans="1:30" x14ac:dyDescent="0.45">
      <c r="B5">
        <v>-5.3045829276604293</v>
      </c>
      <c r="C5">
        <v>0</v>
      </c>
      <c r="D5">
        <v>-5.5511150768909598E-2</v>
      </c>
      <c r="E5">
        <v>1.76299013879221</v>
      </c>
      <c r="F5">
        <v>3.0462949225501701E-12</v>
      </c>
      <c r="G5">
        <v>-6.3622189013744307E-2</v>
      </c>
      <c r="H5">
        <v>7.0848673421582502</v>
      </c>
      <c r="I5">
        <v>-0.710620581419799</v>
      </c>
      <c r="J5">
        <f t="shared" si="0"/>
        <v>0.33919007901132808</v>
      </c>
      <c r="K5">
        <f t="shared" si="1"/>
        <v>4</v>
      </c>
      <c r="L5" cm="1">
        <f t="array" ref="L5">SUMPRODUCT(N(B5:H5*C5:I5&lt;0))</f>
        <v>4</v>
      </c>
      <c r="O5">
        <v>0.14407348342470799</v>
      </c>
      <c r="P5">
        <v>0.71104184088785904</v>
      </c>
      <c r="Q5">
        <v>0.48032554539912498</v>
      </c>
      <c r="R5">
        <v>0.47754672564760797</v>
      </c>
      <c r="S5">
        <v>0.71535603637787204</v>
      </c>
      <c r="T5">
        <v>0.155212952520938</v>
      </c>
      <c r="U5">
        <v>3.7941263872579498E-2</v>
      </c>
      <c r="V5">
        <f t="shared" si="2"/>
        <v>0.38878540687581281</v>
      </c>
      <c r="W5">
        <f t="shared" si="3"/>
        <v>22.287061540651688</v>
      </c>
    </row>
    <row r="6" spans="1:30" x14ac:dyDescent="0.45">
      <c r="B6">
        <v>-5.3045829276604293</v>
      </c>
      <c r="C6">
        <v>0</v>
      </c>
      <c r="D6">
        <v>-5.5511150768909598E-2</v>
      </c>
      <c r="E6">
        <v>-3.5190413837266599</v>
      </c>
      <c r="F6">
        <v>-1.75778596836428</v>
      </c>
      <c r="G6">
        <v>-3.8911795651947499E-10</v>
      </c>
      <c r="H6">
        <v>2.79653954007231E-4</v>
      </c>
      <c r="I6">
        <v>-3.5209268652589603</v>
      </c>
      <c r="J6">
        <f t="shared" si="0"/>
        <v>-1.7696960802767938</v>
      </c>
      <c r="K6">
        <f t="shared" si="1"/>
        <v>2</v>
      </c>
      <c r="L6" cm="1">
        <f t="array" ref="L6">SUMPRODUCT(N(B6:H6*C6:I6&lt;0))</f>
        <v>2</v>
      </c>
      <c r="O6">
        <v>0.14407348342470799</v>
      </c>
      <c r="P6">
        <v>0.71104184088785904</v>
      </c>
      <c r="Q6">
        <v>0.48032554539912498</v>
      </c>
      <c r="R6">
        <v>0.47754672564760797</v>
      </c>
      <c r="S6">
        <v>0.71535603637787204</v>
      </c>
      <c r="T6">
        <v>0.155212952520938</v>
      </c>
      <c r="U6">
        <v>3.7941263872579498E-2</v>
      </c>
      <c r="V6">
        <f t="shared" si="2"/>
        <v>0.38878540687581281</v>
      </c>
      <c r="W6">
        <f t="shared" si="3"/>
        <v>22.287061540651688</v>
      </c>
    </row>
    <row r="7" spans="1:30" x14ac:dyDescent="0.45">
      <c r="B7">
        <v>-5.3045829276604293</v>
      </c>
      <c r="C7">
        <v>0</v>
      </c>
      <c r="D7">
        <v>-5.5511150768909598E-2</v>
      </c>
      <c r="E7">
        <v>-3.5190413837266599</v>
      </c>
      <c r="F7">
        <v>-1.75778596836428</v>
      </c>
      <c r="G7">
        <v>-3.8911795651947499E-10</v>
      </c>
      <c r="H7">
        <v>2.79653954007231E-4</v>
      </c>
      <c r="I7">
        <v>-3.5209268652589603</v>
      </c>
      <c r="J7">
        <f t="shared" si="0"/>
        <v>-1.7696960802767938</v>
      </c>
      <c r="K7">
        <f t="shared" si="1"/>
        <v>2</v>
      </c>
      <c r="L7" cm="1">
        <f t="array" ref="L7">SUMPRODUCT(N(B7:H7*C7:I7&lt;0))</f>
        <v>2</v>
      </c>
      <c r="O7">
        <v>0.180824974347676</v>
      </c>
      <c r="P7">
        <v>0.86748132821930302</v>
      </c>
      <c r="Q7">
        <v>2.4900412368091701E-3</v>
      </c>
      <c r="R7">
        <v>0.87470119581085204</v>
      </c>
      <c r="S7">
        <v>0.19559633122085501</v>
      </c>
      <c r="T7">
        <v>5.0296076868244E-2</v>
      </c>
      <c r="U7">
        <v>1.35433278970914E-2</v>
      </c>
      <c r="V7">
        <f t="shared" si="2"/>
        <v>0.31213332508583297</v>
      </c>
      <c r="W7">
        <f t="shared" si="3"/>
        <v>17.892993157786602</v>
      </c>
    </row>
    <row r="8" spans="1:30" x14ac:dyDescent="0.45">
      <c r="B8">
        <v>-5.3045829276604293</v>
      </c>
      <c r="C8">
        <v>0</v>
      </c>
      <c r="D8">
        <v>-5.5511150768909598E-2</v>
      </c>
      <c r="E8">
        <v>1.76299013879221</v>
      </c>
      <c r="F8">
        <v>3.0462949225501701E-12</v>
      </c>
      <c r="G8">
        <v>-6.3622189013744307E-2</v>
      </c>
      <c r="H8">
        <v>7.0848673421582502</v>
      </c>
      <c r="I8">
        <v>-0.710620581419799</v>
      </c>
      <c r="J8">
        <f t="shared" si="0"/>
        <v>0.33919007901132808</v>
      </c>
      <c r="K8">
        <f t="shared" si="1"/>
        <v>4</v>
      </c>
      <c r="L8" cm="1">
        <f t="array" ref="L8">SUMPRODUCT(N(B8:H8*C8:I8&lt;0))</f>
        <v>4</v>
      </c>
      <c r="O8">
        <v>0.17857397463335201</v>
      </c>
      <c r="P8">
        <v>0.94161191039233505</v>
      </c>
      <c r="Q8">
        <v>0.18929621538432101</v>
      </c>
      <c r="R8">
        <v>0.76899990574864996</v>
      </c>
      <c r="S8">
        <v>1.11946296773704</v>
      </c>
      <c r="T8">
        <v>0.87178623855368798</v>
      </c>
      <c r="U8">
        <v>0.119295175775689</v>
      </c>
      <c r="V8">
        <f t="shared" si="2"/>
        <v>0.59843234117501076</v>
      </c>
      <c r="W8">
        <f t="shared" si="3"/>
        <v>34.305038666083419</v>
      </c>
    </row>
    <row r="9" spans="1:30" x14ac:dyDescent="0.45">
      <c r="B9">
        <v>-5.3045829276604293</v>
      </c>
      <c r="C9">
        <v>0</v>
      </c>
      <c r="D9">
        <v>-5.5511150768909598E-2</v>
      </c>
      <c r="E9">
        <v>-3.5190413837266599</v>
      </c>
      <c r="F9">
        <v>-9.2133511311535593E-11</v>
      </c>
      <c r="G9">
        <v>-3.5190413837266599</v>
      </c>
      <c r="H9">
        <v>-9.2133511311535593E-11</v>
      </c>
      <c r="I9">
        <v>-3.5190413837266599</v>
      </c>
      <c r="J9">
        <f t="shared" si="0"/>
        <v>-1.9896522787241984</v>
      </c>
      <c r="K9">
        <f t="shared" si="1"/>
        <v>1</v>
      </c>
      <c r="L9" cm="1">
        <f t="array" ref="L9">SUMPRODUCT(N(B9:H9*C9:I9&lt;0))</f>
        <v>0</v>
      </c>
      <c r="O9">
        <v>0.14407348342470799</v>
      </c>
      <c r="P9">
        <v>0.71104184088785904</v>
      </c>
      <c r="Q9">
        <v>0.48032554539912498</v>
      </c>
      <c r="R9">
        <v>0.47754672564760797</v>
      </c>
      <c r="S9">
        <v>0.71535603637787204</v>
      </c>
      <c r="T9">
        <v>0.155212952520938</v>
      </c>
      <c r="U9">
        <v>3.7941263872579498E-2</v>
      </c>
      <c r="V9">
        <f t="shared" si="2"/>
        <v>0.38878540687581281</v>
      </c>
      <c r="W9">
        <f t="shared" si="3"/>
        <v>22.287061540651688</v>
      </c>
    </row>
    <row r="10" spans="1:30" x14ac:dyDescent="0.45">
      <c r="B10">
        <v>-5.3045829276604293</v>
      </c>
      <c r="C10">
        <v>0</v>
      </c>
      <c r="D10">
        <v>-5.5511150768909598E-2</v>
      </c>
      <c r="E10">
        <v>1.76299013879221</v>
      </c>
      <c r="F10">
        <v>3.0462949225501701E-12</v>
      </c>
      <c r="G10">
        <v>-6.3622189013744307E-2</v>
      </c>
      <c r="H10">
        <v>7.0848673421582502</v>
      </c>
      <c r="I10">
        <v>-0.710620581419799</v>
      </c>
      <c r="J10">
        <f t="shared" si="0"/>
        <v>0.33919007901132808</v>
      </c>
      <c r="K10">
        <f t="shared" si="1"/>
        <v>4</v>
      </c>
      <c r="L10" cm="1">
        <f t="array" ref="L10">SUMPRODUCT(N(B10:H10*C10:I10&lt;0))</f>
        <v>4</v>
      </c>
      <c r="O10">
        <v>0.178485541067262</v>
      </c>
      <c r="P10">
        <v>0.95039780615288905</v>
      </c>
      <c r="Q10">
        <v>0.218388103778136</v>
      </c>
      <c r="R10">
        <v>0.26382173773226397</v>
      </c>
      <c r="S10">
        <v>0.155531702654604</v>
      </c>
      <c r="T10">
        <v>3.5281014266621898E-2</v>
      </c>
      <c r="U10">
        <v>1.4574396947437399E-2</v>
      </c>
      <c r="V10">
        <f t="shared" si="2"/>
        <v>0.25949718608560202</v>
      </c>
      <c r="W10">
        <f t="shared" si="3"/>
        <v>14.875634871149158</v>
      </c>
    </row>
    <row r="11" spans="1:30" x14ac:dyDescent="0.45">
      <c r="B11">
        <v>-5.3045829276604293</v>
      </c>
      <c r="C11">
        <v>0</v>
      </c>
      <c r="D11">
        <v>-5.5511150768909598E-2</v>
      </c>
      <c r="E11">
        <v>1.76299013879221</v>
      </c>
      <c r="F11">
        <v>3.0462949225501701E-12</v>
      </c>
      <c r="G11">
        <v>-6.3622189013744307E-2</v>
      </c>
      <c r="H11">
        <v>7.0848673421582502</v>
      </c>
      <c r="I11">
        <v>-0.710620581419799</v>
      </c>
      <c r="J11">
        <f t="shared" si="0"/>
        <v>0.33919007901132808</v>
      </c>
      <c r="K11">
        <f t="shared" si="1"/>
        <v>4</v>
      </c>
      <c r="L11" cm="1">
        <f t="array" ref="L11">SUMPRODUCT(N(B11:H11*C11:I11&lt;0))</f>
        <v>4</v>
      </c>
      <c r="O11">
        <v>0.17857397463335201</v>
      </c>
      <c r="P11">
        <v>0.94161191039233505</v>
      </c>
      <c r="Q11">
        <v>0.18929621538432101</v>
      </c>
      <c r="R11">
        <v>0.76899990574864996</v>
      </c>
      <c r="S11">
        <v>1.11946296773704</v>
      </c>
      <c r="T11">
        <v>0.87178623855368798</v>
      </c>
      <c r="U11">
        <v>0.119295175775689</v>
      </c>
      <c r="V11">
        <f t="shared" si="2"/>
        <v>0.59843234117501076</v>
      </c>
      <c r="W11">
        <f t="shared" si="3"/>
        <v>34.305038666083419</v>
      </c>
    </row>
    <row r="12" spans="1:30" x14ac:dyDescent="0.45">
      <c r="B12">
        <v>-5.3045829276604293</v>
      </c>
      <c r="C12">
        <v>0</v>
      </c>
      <c r="D12">
        <v>-5.5511150768909598E-2</v>
      </c>
      <c r="E12">
        <v>-3.5190413837266599</v>
      </c>
      <c r="F12">
        <v>-1.75778596836428</v>
      </c>
      <c r="G12">
        <v>-3.8911795651947499E-10</v>
      </c>
      <c r="H12">
        <v>2.79653954007231E-4</v>
      </c>
      <c r="I12">
        <v>-3.5209268652589603</v>
      </c>
      <c r="J12">
        <f t="shared" si="0"/>
        <v>-1.7696960802767938</v>
      </c>
      <c r="K12">
        <f t="shared" si="1"/>
        <v>2</v>
      </c>
      <c r="L12" cm="1">
        <f t="array" ref="L12">SUMPRODUCT(N(B12:H12*C12:I12&lt;0))</f>
        <v>2</v>
      </c>
      <c r="O12">
        <v>0.14407348342470799</v>
      </c>
      <c r="P12">
        <v>0.71104184088785904</v>
      </c>
      <c r="Q12">
        <v>0.48032554539912498</v>
      </c>
      <c r="R12">
        <v>0.47754672564760797</v>
      </c>
      <c r="S12">
        <v>0.71535603637787204</v>
      </c>
      <c r="T12">
        <v>0.155212952520938</v>
      </c>
      <c r="U12">
        <v>3.7941263872579498E-2</v>
      </c>
      <c r="V12">
        <f t="shared" si="2"/>
        <v>0.38878540687581281</v>
      </c>
      <c r="W12">
        <f t="shared" si="3"/>
        <v>22.287061540651688</v>
      </c>
    </row>
    <row r="13" spans="1:30" x14ac:dyDescent="0.45">
      <c r="B13">
        <v>-5.3045829276604293</v>
      </c>
      <c r="C13">
        <v>0</v>
      </c>
      <c r="D13">
        <v>-5.5511150768909598E-2</v>
      </c>
      <c r="E13">
        <v>-3.5190413837266599</v>
      </c>
      <c r="F13">
        <v>-9.2133511311535593E-11</v>
      </c>
      <c r="G13">
        <v>-3.5190413837266599</v>
      </c>
      <c r="H13">
        <v>-9.2133511311535593E-11</v>
      </c>
      <c r="I13">
        <v>-3.5190413837266599</v>
      </c>
      <c r="J13">
        <f t="shared" si="0"/>
        <v>-1.9896522787241984</v>
      </c>
      <c r="K13">
        <f t="shared" si="1"/>
        <v>1</v>
      </c>
      <c r="L13" cm="1">
        <f t="array" ref="L13">SUMPRODUCT(N(B13:H13*C13:I13&lt;0))</f>
        <v>0</v>
      </c>
      <c r="O13">
        <v>0.14407348342470799</v>
      </c>
      <c r="P13">
        <v>0.71104184088785904</v>
      </c>
      <c r="Q13">
        <v>0.48032554539912498</v>
      </c>
      <c r="R13">
        <v>0.47754672564760797</v>
      </c>
      <c r="S13">
        <v>0.71535603637787204</v>
      </c>
      <c r="T13">
        <v>0.155212952520938</v>
      </c>
      <c r="U13">
        <v>3.7941263872579498E-2</v>
      </c>
      <c r="V13">
        <f t="shared" si="2"/>
        <v>0.38878540687581281</v>
      </c>
      <c r="W13">
        <f t="shared" si="3"/>
        <v>22.287061540651688</v>
      </c>
    </row>
    <row r="14" spans="1:30" x14ac:dyDescent="0.45">
      <c r="B14">
        <v>-5.3045829276604293</v>
      </c>
      <c r="C14">
        <v>0</v>
      </c>
      <c r="D14">
        <v>-5.5511150768909598E-2</v>
      </c>
      <c r="E14">
        <v>-3.5190413837266599</v>
      </c>
      <c r="F14">
        <v>-9.2133511311535593E-11</v>
      </c>
      <c r="G14">
        <v>-3.5190413837266599</v>
      </c>
      <c r="H14">
        <v>-1.75778596836428</v>
      </c>
      <c r="I14">
        <v>-3.8911795651947499E-10</v>
      </c>
      <c r="J14">
        <f t="shared" si="0"/>
        <v>-1.7694953518410237</v>
      </c>
      <c r="K14">
        <f t="shared" si="1"/>
        <v>1</v>
      </c>
      <c r="L14" cm="1">
        <f t="array" ref="L14">SUMPRODUCT(N(B14:H14*C14:I14&lt;0))</f>
        <v>0</v>
      </c>
      <c r="O14">
        <v>0.180824974347676</v>
      </c>
      <c r="P14">
        <v>0.86748132821930302</v>
      </c>
      <c r="Q14">
        <v>2.4900412368091701E-3</v>
      </c>
      <c r="R14">
        <v>0.87470119581085204</v>
      </c>
      <c r="S14">
        <v>0.19559633122085501</v>
      </c>
      <c r="T14">
        <v>5.0296076868244E-2</v>
      </c>
      <c r="U14">
        <v>1.35433278970914E-2</v>
      </c>
      <c r="V14">
        <f t="shared" si="2"/>
        <v>0.31213332508583297</v>
      </c>
      <c r="W14">
        <f t="shared" si="3"/>
        <v>17.892993157786602</v>
      </c>
    </row>
    <row r="15" spans="1:30" x14ac:dyDescent="0.45">
      <c r="B15">
        <v>-5.3045829276604293</v>
      </c>
      <c r="C15">
        <v>0</v>
      </c>
      <c r="D15">
        <v>-5.5511150768909598E-2</v>
      </c>
      <c r="E15">
        <v>1.76299013879221</v>
      </c>
      <c r="F15">
        <v>3.0462949225501701E-12</v>
      </c>
      <c r="G15">
        <v>-6.3622189013744307E-2</v>
      </c>
      <c r="H15">
        <v>7.0848673421582502</v>
      </c>
      <c r="I15">
        <v>-0.710620581419799</v>
      </c>
      <c r="J15">
        <f t="shared" si="0"/>
        <v>0.33919007901132808</v>
      </c>
      <c r="K15">
        <f t="shared" si="1"/>
        <v>4</v>
      </c>
      <c r="L15" cm="1">
        <f t="array" ref="L15">SUMPRODUCT(N(B15:H15*C15:I15&lt;0))</f>
        <v>4</v>
      </c>
      <c r="O15">
        <v>0.180824974347676</v>
      </c>
      <c r="P15">
        <v>0.86748132821930302</v>
      </c>
      <c r="Q15">
        <v>2.4900412368091701E-3</v>
      </c>
      <c r="R15">
        <v>0.87470119581085204</v>
      </c>
      <c r="S15">
        <v>0.19559633122085501</v>
      </c>
      <c r="T15">
        <v>5.0296076868244E-2</v>
      </c>
      <c r="U15">
        <v>1.35433278970914E-2</v>
      </c>
      <c r="V15">
        <f t="shared" si="2"/>
        <v>0.31213332508583297</v>
      </c>
      <c r="W15">
        <f t="shared" si="3"/>
        <v>17.892993157786602</v>
      </c>
    </row>
    <row r="16" spans="1:30" x14ac:dyDescent="0.45">
      <c r="B16">
        <v>-5.3045829276604293</v>
      </c>
      <c r="C16">
        <v>0</v>
      </c>
      <c r="D16">
        <v>-5.5511150768909598E-2</v>
      </c>
      <c r="E16">
        <v>1.76299013879221</v>
      </c>
      <c r="F16">
        <v>3.0462949225501701E-12</v>
      </c>
      <c r="G16">
        <v>-6.3622189013744307E-2</v>
      </c>
      <c r="H16">
        <v>7.0848673421582502</v>
      </c>
      <c r="I16">
        <v>-0.710620581419799</v>
      </c>
      <c r="J16">
        <f t="shared" si="0"/>
        <v>0.33919007901132808</v>
      </c>
      <c r="K16">
        <f t="shared" si="1"/>
        <v>4</v>
      </c>
      <c r="L16" cm="1">
        <f t="array" ref="L16">SUMPRODUCT(N(B16:H16*C16:I16&lt;0))</f>
        <v>4</v>
      </c>
      <c r="O16">
        <v>0.180824974347676</v>
      </c>
      <c r="P16">
        <v>0.86748132821930302</v>
      </c>
      <c r="Q16">
        <v>2.4900412368091701E-3</v>
      </c>
      <c r="R16">
        <v>0.87470119581085204</v>
      </c>
      <c r="S16">
        <v>0.19559633122085501</v>
      </c>
      <c r="T16">
        <v>5.0296076868244E-2</v>
      </c>
      <c r="U16">
        <v>1.35433278970914E-2</v>
      </c>
      <c r="V16">
        <f t="shared" si="2"/>
        <v>0.31213332508583297</v>
      </c>
      <c r="W16">
        <f t="shared" si="3"/>
        <v>17.892993157786602</v>
      </c>
    </row>
    <row r="17" spans="2:23" x14ac:dyDescent="0.45">
      <c r="B17">
        <v>-5.3045829276604293</v>
      </c>
      <c r="C17">
        <v>0</v>
      </c>
      <c r="D17">
        <v>-5.5511150768909598E-2</v>
      </c>
      <c r="E17">
        <v>1.76299013879221</v>
      </c>
      <c r="F17">
        <v>3.0462949225501701E-12</v>
      </c>
      <c r="G17">
        <v>-6.3622189013744307E-2</v>
      </c>
      <c r="H17">
        <v>7.0848673421582502</v>
      </c>
      <c r="I17">
        <v>-0.710620581419799</v>
      </c>
      <c r="J17">
        <f t="shared" si="0"/>
        <v>0.33919007901132808</v>
      </c>
      <c r="K17">
        <f t="shared" si="1"/>
        <v>4</v>
      </c>
      <c r="L17" cm="1">
        <f t="array" ref="L17">SUMPRODUCT(N(B17:H17*C17:I17&lt;0))</f>
        <v>4</v>
      </c>
      <c r="O17">
        <v>0.180824974347676</v>
      </c>
      <c r="P17">
        <v>0.86748132821930302</v>
      </c>
      <c r="Q17">
        <v>2.4900412368091701E-3</v>
      </c>
      <c r="R17">
        <v>0.87470119581085204</v>
      </c>
      <c r="S17">
        <v>0.19559633122085501</v>
      </c>
      <c r="T17">
        <v>5.0296076868244E-2</v>
      </c>
      <c r="U17">
        <v>1.35433278970914E-2</v>
      </c>
      <c r="V17">
        <f t="shared" si="2"/>
        <v>0.31213332508583297</v>
      </c>
      <c r="W17">
        <f t="shared" si="3"/>
        <v>17.892993157786602</v>
      </c>
    </row>
    <row r="18" spans="2:23" x14ac:dyDescent="0.45">
      <c r="B18">
        <v>-5.3045829276604293</v>
      </c>
      <c r="C18">
        <v>0</v>
      </c>
      <c r="D18">
        <v>-5.5511150768909598E-2</v>
      </c>
      <c r="E18">
        <v>1.76299013879221</v>
      </c>
      <c r="F18">
        <v>3.0462949225501701E-12</v>
      </c>
      <c r="G18">
        <v>-6.3622189013744307E-2</v>
      </c>
      <c r="H18">
        <v>7.0848673421582502</v>
      </c>
      <c r="I18">
        <v>-0.710620581419799</v>
      </c>
      <c r="J18">
        <f t="shared" si="0"/>
        <v>0.33919007901132808</v>
      </c>
      <c r="K18">
        <f t="shared" si="1"/>
        <v>4</v>
      </c>
      <c r="L18" cm="1">
        <f t="array" ref="L18">SUMPRODUCT(N(B18:H18*C18:I18&lt;0))</f>
        <v>4</v>
      </c>
      <c r="O18">
        <v>0.180824974347676</v>
      </c>
      <c r="P18">
        <v>0.86748132821930302</v>
      </c>
      <c r="Q18">
        <v>2.4900412368091701E-3</v>
      </c>
      <c r="R18">
        <v>0.87470119581085204</v>
      </c>
      <c r="S18">
        <v>0.19559633122085501</v>
      </c>
      <c r="T18">
        <v>5.0296076868244E-2</v>
      </c>
      <c r="U18">
        <v>1.35433278970914E-2</v>
      </c>
      <c r="V18">
        <f t="shared" si="2"/>
        <v>0.31213332508583297</v>
      </c>
      <c r="W18">
        <f t="shared" si="3"/>
        <v>17.892993157786602</v>
      </c>
    </row>
    <row r="19" spans="2:23" x14ac:dyDescent="0.45">
      <c r="B19">
        <v>-5.3045829276604293</v>
      </c>
      <c r="C19">
        <v>0</v>
      </c>
      <c r="D19">
        <v>-5.5511150768909598E-2</v>
      </c>
      <c r="E19">
        <v>-3.5190413837266599</v>
      </c>
      <c r="F19">
        <v>-1.75778596836428</v>
      </c>
      <c r="G19">
        <v>-3.8911795651947499E-10</v>
      </c>
      <c r="H19">
        <v>2.79653954007231E-4</v>
      </c>
      <c r="I19">
        <v>-3.5209268652589603</v>
      </c>
      <c r="J19">
        <f t="shared" si="0"/>
        <v>-1.7696960802767938</v>
      </c>
      <c r="K19">
        <f t="shared" si="1"/>
        <v>2</v>
      </c>
      <c r="L19" cm="1">
        <f t="array" ref="L19">SUMPRODUCT(N(B19:H19*C19:I19&lt;0))</f>
        <v>2</v>
      </c>
      <c r="O19">
        <v>0.178485541067262</v>
      </c>
      <c r="P19">
        <v>0.95039780615288905</v>
      </c>
      <c r="Q19">
        <v>0.218388103778136</v>
      </c>
      <c r="R19">
        <v>0.26382173773226397</v>
      </c>
      <c r="S19">
        <v>0.155531702654604</v>
      </c>
      <c r="T19">
        <v>3.5281014266621898E-2</v>
      </c>
      <c r="U19">
        <v>1.4574396947437399E-2</v>
      </c>
      <c r="V19">
        <f t="shared" si="2"/>
        <v>0.25949718608560202</v>
      </c>
      <c r="W19">
        <f t="shared" si="3"/>
        <v>14.875634871149158</v>
      </c>
    </row>
    <row r="20" spans="2:23" x14ac:dyDescent="0.45">
      <c r="B20">
        <v>-5.3045829276604293</v>
      </c>
      <c r="C20">
        <v>0</v>
      </c>
      <c r="D20">
        <v>-5.5511150768909598E-2</v>
      </c>
      <c r="E20">
        <v>-3.5190413837266599</v>
      </c>
      <c r="F20">
        <v>-1.75778596836428</v>
      </c>
      <c r="G20">
        <v>-3.8911795651947499E-10</v>
      </c>
      <c r="H20">
        <v>2.79653954007231E-4</v>
      </c>
      <c r="I20">
        <v>-3.5209268652589603</v>
      </c>
      <c r="J20">
        <f t="shared" si="0"/>
        <v>-1.7696960802767938</v>
      </c>
      <c r="K20">
        <f t="shared" si="1"/>
        <v>2</v>
      </c>
      <c r="L20" cm="1">
        <f t="array" ref="L20">SUMPRODUCT(N(B20:H20*C20:I20&lt;0))</f>
        <v>2</v>
      </c>
      <c r="O20">
        <v>0.14407348342470799</v>
      </c>
      <c r="P20">
        <v>0.71104184088785904</v>
      </c>
      <c r="Q20">
        <v>0.48032554539912498</v>
      </c>
      <c r="R20">
        <v>0.47754672564760797</v>
      </c>
      <c r="S20">
        <v>0.71535603637787204</v>
      </c>
      <c r="T20">
        <v>0.155212952520938</v>
      </c>
      <c r="U20">
        <v>3.7941263872579498E-2</v>
      </c>
      <c r="V20">
        <f t="shared" si="2"/>
        <v>0.38878540687581281</v>
      </c>
      <c r="W20">
        <f t="shared" si="3"/>
        <v>22.287061540651688</v>
      </c>
    </row>
    <row r="21" spans="2:23" x14ac:dyDescent="0.45">
      <c r="B21">
        <v>-5.3045829276604293</v>
      </c>
      <c r="C21">
        <v>0</v>
      </c>
      <c r="D21">
        <v>-5.5511150768909598E-2</v>
      </c>
      <c r="E21">
        <v>-3.5190413837266599</v>
      </c>
      <c r="F21">
        <v>-1.75778596836428</v>
      </c>
      <c r="G21">
        <v>-3.8911795651947499E-10</v>
      </c>
      <c r="H21">
        <v>2.79653954007231E-4</v>
      </c>
      <c r="I21">
        <v>-3.5209268652589603</v>
      </c>
      <c r="J21">
        <f t="shared" si="0"/>
        <v>-1.7696960802767938</v>
      </c>
      <c r="K21">
        <f t="shared" si="1"/>
        <v>2</v>
      </c>
      <c r="L21" cm="1">
        <f t="array" ref="L21">SUMPRODUCT(N(B21:H21*C21:I21&lt;0))</f>
        <v>2</v>
      </c>
      <c r="O21">
        <v>0.14407348342470799</v>
      </c>
      <c r="P21">
        <v>0.71104184088785904</v>
      </c>
      <c r="Q21">
        <v>0.48032554539912498</v>
      </c>
      <c r="R21">
        <v>0.47754672564760797</v>
      </c>
      <c r="S21">
        <v>0.71535603637787204</v>
      </c>
      <c r="T21">
        <v>0.155212952520938</v>
      </c>
      <c r="U21">
        <v>3.7941263872579498E-2</v>
      </c>
      <c r="V21">
        <f t="shared" si="2"/>
        <v>0.38878540687581281</v>
      </c>
      <c r="W21">
        <f t="shared" si="3"/>
        <v>22.287061540651688</v>
      </c>
    </row>
    <row r="22" spans="2:23" x14ac:dyDescent="0.45">
      <c r="B22">
        <v>-5.3045829276604293</v>
      </c>
      <c r="C22">
        <v>0</v>
      </c>
      <c r="D22">
        <v>-5.5511150768909598E-2</v>
      </c>
      <c r="E22">
        <v>-3.5190413837266599</v>
      </c>
      <c r="F22">
        <v>-1.75778596836428</v>
      </c>
      <c r="G22">
        <v>-3.8911795651947499E-10</v>
      </c>
      <c r="H22">
        <v>2.79653954007231E-4</v>
      </c>
      <c r="I22">
        <v>-3.5209268652589603</v>
      </c>
      <c r="J22">
        <f t="shared" si="0"/>
        <v>-1.7696960802767938</v>
      </c>
      <c r="K22">
        <f t="shared" si="1"/>
        <v>2</v>
      </c>
      <c r="L22" cm="1">
        <f t="array" ref="L22">SUMPRODUCT(N(B22:H22*C22:I22&lt;0))</f>
        <v>2</v>
      </c>
      <c r="O22">
        <v>0.14407348342470799</v>
      </c>
      <c r="P22">
        <v>0.71104184088785904</v>
      </c>
      <c r="Q22">
        <v>0.48032554539912498</v>
      </c>
      <c r="R22">
        <v>0.47754672564760797</v>
      </c>
      <c r="S22">
        <v>0.71535603637787204</v>
      </c>
      <c r="T22">
        <v>0.155212952520938</v>
      </c>
      <c r="U22">
        <v>3.7941263872579498E-2</v>
      </c>
      <c r="V22">
        <f t="shared" si="2"/>
        <v>0.38878540687581281</v>
      </c>
      <c r="W22">
        <f t="shared" si="3"/>
        <v>22.287061540651688</v>
      </c>
    </row>
    <row r="23" spans="2:23" x14ac:dyDescent="0.45">
      <c r="B23">
        <v>-5.3045829276604293</v>
      </c>
      <c r="C23">
        <v>0</v>
      </c>
      <c r="D23">
        <v>-5.5511150768909598E-2</v>
      </c>
      <c r="E23">
        <v>-3.5190413837266599</v>
      </c>
      <c r="F23">
        <v>-1.75778596836428</v>
      </c>
      <c r="G23">
        <v>-3.8911795651947499E-10</v>
      </c>
      <c r="H23">
        <v>2.79653954007231E-4</v>
      </c>
      <c r="I23">
        <v>-3.5209268652589603</v>
      </c>
      <c r="J23">
        <f t="shared" si="0"/>
        <v>-1.7696960802767938</v>
      </c>
      <c r="K23">
        <f t="shared" si="1"/>
        <v>2</v>
      </c>
      <c r="L23" cm="1">
        <f t="array" ref="L23">SUMPRODUCT(N(B23:H23*C23:I23&lt;0))</f>
        <v>2</v>
      </c>
      <c r="O23">
        <v>0.17857397463335201</v>
      </c>
      <c r="P23">
        <v>0.94161191039233505</v>
      </c>
      <c r="Q23">
        <v>0.18929621538432101</v>
      </c>
      <c r="R23">
        <v>0.76899990574864996</v>
      </c>
      <c r="S23">
        <v>1.11946296773704</v>
      </c>
      <c r="T23">
        <v>0.87178623855368798</v>
      </c>
      <c r="U23">
        <v>0.119295175775689</v>
      </c>
      <c r="V23">
        <f t="shared" si="2"/>
        <v>0.59843234117501076</v>
      </c>
      <c r="W23">
        <f t="shared" si="3"/>
        <v>34.305038666083419</v>
      </c>
    </row>
    <row r="24" spans="2:23" x14ac:dyDescent="0.45">
      <c r="B24">
        <v>-5.3045829276604293</v>
      </c>
      <c r="C24">
        <v>0</v>
      </c>
      <c r="D24">
        <v>-5.5511150768909598E-2</v>
      </c>
      <c r="E24">
        <v>1.76299013879221</v>
      </c>
      <c r="F24">
        <v>3.0462949225501701E-12</v>
      </c>
      <c r="G24">
        <v>-6.3622189013744307E-2</v>
      </c>
      <c r="H24">
        <v>7.0848673421582502</v>
      </c>
      <c r="I24">
        <v>-0.710620581419799</v>
      </c>
      <c r="J24">
        <f t="shared" si="0"/>
        <v>0.33919007901132808</v>
      </c>
      <c r="K24">
        <f t="shared" si="1"/>
        <v>4</v>
      </c>
      <c r="L24" cm="1">
        <f t="array" ref="L24">SUMPRODUCT(N(B24:H24*C24:I24&lt;0))</f>
        <v>4</v>
      </c>
      <c r="O24">
        <v>0.180824974347676</v>
      </c>
      <c r="P24">
        <v>0.86748132821930302</v>
      </c>
      <c r="Q24">
        <v>2.4900412368091701E-3</v>
      </c>
      <c r="R24">
        <v>0.87470119581085204</v>
      </c>
      <c r="S24">
        <v>0.19559633122085501</v>
      </c>
      <c r="T24">
        <v>5.0296076868244E-2</v>
      </c>
      <c r="U24">
        <v>1.35433278970914E-2</v>
      </c>
      <c r="V24">
        <f t="shared" si="2"/>
        <v>0.31213332508583297</v>
      </c>
      <c r="W24">
        <f t="shared" si="3"/>
        <v>17.892993157786602</v>
      </c>
    </row>
    <row r="25" spans="2:23" x14ac:dyDescent="0.45">
      <c r="B25">
        <v>-5.3045829276604293</v>
      </c>
      <c r="C25">
        <v>0</v>
      </c>
      <c r="D25">
        <v>-5.5511150768909598E-2</v>
      </c>
      <c r="E25">
        <v>-3.5190413837266599</v>
      </c>
      <c r="F25">
        <v>-1.75778596836428</v>
      </c>
      <c r="G25">
        <v>-3.8911795651947499E-10</v>
      </c>
      <c r="H25">
        <v>2.79653954007231E-4</v>
      </c>
      <c r="I25">
        <v>-3.5209268652589603</v>
      </c>
      <c r="J25">
        <f t="shared" si="0"/>
        <v>-1.7696960802767938</v>
      </c>
      <c r="K25">
        <f t="shared" si="1"/>
        <v>2</v>
      </c>
      <c r="L25" cm="1">
        <f t="array" ref="L25">SUMPRODUCT(N(B25:H25*C25:I25&lt;0))</f>
        <v>2</v>
      </c>
      <c r="O25">
        <v>0.14407348342470799</v>
      </c>
      <c r="P25">
        <v>0.71104184088785904</v>
      </c>
      <c r="Q25">
        <v>0.48032554539912498</v>
      </c>
      <c r="R25">
        <v>0.47754672564760797</v>
      </c>
      <c r="S25">
        <v>0.71535603637787204</v>
      </c>
      <c r="T25">
        <v>0.155212952520938</v>
      </c>
      <c r="U25">
        <v>3.7941263872579498E-2</v>
      </c>
      <c r="V25">
        <f t="shared" si="2"/>
        <v>0.38878540687581281</v>
      </c>
      <c r="W25">
        <f t="shared" si="3"/>
        <v>22.287061540651688</v>
      </c>
    </row>
    <row r="26" spans="2:23" x14ac:dyDescent="0.45">
      <c r="B26">
        <v>-5.3045829276604293</v>
      </c>
      <c r="C26">
        <v>0</v>
      </c>
      <c r="D26">
        <v>-5.5511150768909598E-2</v>
      </c>
      <c r="E26">
        <v>-3.5190413837266599</v>
      </c>
      <c r="F26">
        <v>-9.2133511311535593E-11</v>
      </c>
      <c r="G26">
        <v>-3.5190413837266599</v>
      </c>
      <c r="H26">
        <v>-9.2133511311535593E-11</v>
      </c>
      <c r="I26">
        <v>-3.5190413837266599</v>
      </c>
      <c r="J26">
        <f t="shared" si="0"/>
        <v>-1.9896522787241984</v>
      </c>
      <c r="K26">
        <f t="shared" si="1"/>
        <v>1</v>
      </c>
      <c r="L26" cm="1">
        <f t="array" ref="L26">SUMPRODUCT(N(B26:H26*C26:I26&lt;0))</f>
        <v>0</v>
      </c>
      <c r="O26">
        <v>0.14407348342470799</v>
      </c>
      <c r="P26">
        <v>0.71104184088785904</v>
      </c>
      <c r="Q26">
        <v>0.48032554539912498</v>
      </c>
      <c r="R26">
        <v>0.47754672564760797</v>
      </c>
      <c r="S26">
        <v>0.71535603637787204</v>
      </c>
      <c r="T26">
        <v>0.155212952520938</v>
      </c>
      <c r="U26">
        <v>3.7941263872579498E-2</v>
      </c>
      <c r="V26">
        <f t="shared" si="2"/>
        <v>0.38878540687581281</v>
      </c>
      <c r="W26">
        <f t="shared" si="3"/>
        <v>22.287061540651688</v>
      </c>
    </row>
    <row r="27" spans="2:23" x14ac:dyDescent="0.45">
      <c r="B27">
        <v>-5.3045829276604293</v>
      </c>
      <c r="C27">
        <v>0</v>
      </c>
      <c r="D27">
        <v>-5.5511150768909598E-2</v>
      </c>
      <c r="E27">
        <v>-3.5190413837266599</v>
      </c>
      <c r="F27">
        <v>-9.2133511311535593E-11</v>
      </c>
      <c r="G27">
        <v>-3.5190413837266599</v>
      </c>
      <c r="H27">
        <v>-9.2133511311535593E-11</v>
      </c>
      <c r="I27">
        <v>-3.5190413837266599</v>
      </c>
      <c r="J27">
        <f t="shared" si="0"/>
        <v>-1.9896522787241984</v>
      </c>
      <c r="K27">
        <f t="shared" si="1"/>
        <v>1</v>
      </c>
      <c r="L27" cm="1">
        <f t="array" ref="L27">SUMPRODUCT(N(B27:H27*C27:I27&lt;0))</f>
        <v>0</v>
      </c>
      <c r="O27">
        <v>0.14407348342470799</v>
      </c>
      <c r="P27">
        <v>0.71104184088785904</v>
      </c>
      <c r="Q27">
        <v>0.48032554539912498</v>
      </c>
      <c r="R27">
        <v>0.47754672564760797</v>
      </c>
      <c r="S27">
        <v>0.71535603637787204</v>
      </c>
      <c r="T27">
        <v>0.155212952520938</v>
      </c>
      <c r="U27">
        <v>3.7941263872579498E-2</v>
      </c>
      <c r="V27">
        <f t="shared" si="2"/>
        <v>0.38878540687581281</v>
      </c>
      <c r="W27">
        <f t="shared" si="3"/>
        <v>22.287061540651688</v>
      </c>
    </row>
    <row r="28" spans="2:23" x14ac:dyDescent="0.45">
      <c r="B28">
        <v>-5.3045829276604293</v>
      </c>
      <c r="C28">
        <v>0</v>
      </c>
      <c r="D28">
        <v>-5.5511150768909598E-2</v>
      </c>
      <c r="E28">
        <v>-3.5190413837266599</v>
      </c>
      <c r="F28">
        <v>-1.75778596836428</v>
      </c>
      <c r="G28">
        <v>-3.8911795651947499E-10</v>
      </c>
      <c r="H28">
        <v>2.79653954007231E-4</v>
      </c>
      <c r="I28">
        <v>-3.5209268652589603</v>
      </c>
      <c r="J28">
        <f t="shared" si="0"/>
        <v>-1.7696960802767938</v>
      </c>
      <c r="K28">
        <f t="shared" si="1"/>
        <v>2</v>
      </c>
      <c r="L28" cm="1">
        <f t="array" ref="L28">SUMPRODUCT(N(B28:H28*C28:I28&lt;0))</f>
        <v>2</v>
      </c>
      <c r="O28">
        <v>0.17857397463335201</v>
      </c>
      <c r="P28">
        <v>0.94161191039233505</v>
      </c>
      <c r="Q28">
        <v>0.18929621538432101</v>
      </c>
      <c r="R28">
        <v>0.76899990574864996</v>
      </c>
      <c r="S28">
        <v>1.11946296773704</v>
      </c>
      <c r="T28">
        <v>0.87178623855368798</v>
      </c>
      <c r="U28">
        <v>0.119295175775689</v>
      </c>
      <c r="V28">
        <f t="shared" si="2"/>
        <v>0.59843234117501076</v>
      </c>
      <c r="W28">
        <f t="shared" si="3"/>
        <v>34.305038666083419</v>
      </c>
    </row>
    <row r="29" spans="2:23" x14ac:dyDescent="0.45">
      <c r="B29">
        <v>-5.3045829276604293</v>
      </c>
      <c r="C29">
        <v>0</v>
      </c>
      <c r="D29">
        <v>-5.5511150768909598E-2</v>
      </c>
      <c r="E29">
        <v>-3.5190413837266599</v>
      </c>
      <c r="F29">
        <v>-9.2133511311535593E-11</v>
      </c>
      <c r="G29">
        <v>-3.5190413837266599</v>
      </c>
      <c r="H29">
        <v>-9.2133511311535593E-11</v>
      </c>
      <c r="I29">
        <v>-3.5190413837266599</v>
      </c>
      <c r="J29">
        <f t="shared" si="0"/>
        <v>-1.9896522787241984</v>
      </c>
      <c r="K29">
        <f t="shared" si="1"/>
        <v>1</v>
      </c>
      <c r="L29" cm="1">
        <f t="array" ref="L29">SUMPRODUCT(N(B29:H29*C29:I29&lt;0))</f>
        <v>0</v>
      </c>
      <c r="O29">
        <v>0.178485541067262</v>
      </c>
      <c r="P29">
        <v>0.95039780615288905</v>
      </c>
      <c r="Q29">
        <v>0.218388103778136</v>
      </c>
      <c r="R29">
        <v>0.26382173773226397</v>
      </c>
      <c r="S29">
        <v>0.155531702654604</v>
      </c>
      <c r="T29">
        <v>3.5281014266621898E-2</v>
      </c>
      <c r="U29">
        <v>1.4574396947437399E-2</v>
      </c>
      <c r="V29">
        <f t="shared" si="2"/>
        <v>0.25949718608560202</v>
      </c>
      <c r="W29">
        <f t="shared" si="3"/>
        <v>14.875634871149158</v>
      </c>
    </row>
    <row r="30" spans="2:23" x14ac:dyDescent="0.45">
      <c r="B30">
        <v>-5.3045829276604293</v>
      </c>
      <c r="C30">
        <v>0</v>
      </c>
      <c r="D30">
        <v>-5.5511150768909598E-2</v>
      </c>
      <c r="E30">
        <v>1.76299013879221</v>
      </c>
      <c r="F30">
        <v>3.0462949225501701E-12</v>
      </c>
      <c r="G30">
        <v>-6.3622189013744307E-2</v>
      </c>
      <c r="H30">
        <v>7.0848673421582502</v>
      </c>
      <c r="I30">
        <v>-0.710620581419799</v>
      </c>
      <c r="J30">
        <f t="shared" si="0"/>
        <v>0.33919007901132808</v>
      </c>
      <c r="K30">
        <f t="shared" si="1"/>
        <v>4</v>
      </c>
      <c r="L30" cm="1">
        <f t="array" ref="L30">SUMPRODUCT(N(B30:H30*C30:I30&lt;0))</f>
        <v>4</v>
      </c>
      <c r="O30">
        <v>0.14407348342470799</v>
      </c>
      <c r="P30">
        <v>0.71104184088785904</v>
      </c>
      <c r="Q30">
        <v>0.48032554539912498</v>
      </c>
      <c r="R30">
        <v>0.47754672564760797</v>
      </c>
      <c r="S30">
        <v>0.71535603637787204</v>
      </c>
      <c r="T30">
        <v>0.155212952520938</v>
      </c>
      <c r="U30">
        <v>3.7941263872579498E-2</v>
      </c>
      <c r="V30">
        <f t="shared" si="2"/>
        <v>0.38878540687581281</v>
      </c>
      <c r="W30">
        <f t="shared" si="3"/>
        <v>22.287061540651688</v>
      </c>
    </row>
    <row r="31" spans="2:23" x14ac:dyDescent="0.45">
      <c r="B31">
        <v>-5.3045829276604293</v>
      </c>
      <c r="C31">
        <v>0</v>
      </c>
      <c r="D31">
        <v>-5.5511150768909598E-2</v>
      </c>
      <c r="E31">
        <v>1.76299013879221</v>
      </c>
      <c r="F31">
        <v>3.0462949225501701E-12</v>
      </c>
      <c r="G31">
        <v>-6.3622189013744307E-2</v>
      </c>
      <c r="H31">
        <v>7.0848673421582502</v>
      </c>
      <c r="I31">
        <v>-0.710620581419799</v>
      </c>
      <c r="J31">
        <f t="shared" si="0"/>
        <v>0.33919007901132808</v>
      </c>
      <c r="K31">
        <f t="shared" si="1"/>
        <v>4</v>
      </c>
      <c r="L31" cm="1">
        <f t="array" ref="L31">SUMPRODUCT(N(B31:H31*C31:I31&lt;0))</f>
        <v>4</v>
      </c>
      <c r="O31">
        <v>0.14407348342470799</v>
      </c>
      <c r="P31">
        <v>0.71104184088785904</v>
      </c>
      <c r="Q31">
        <v>0.48032554539912498</v>
      </c>
      <c r="R31">
        <v>0.47754672564760797</v>
      </c>
      <c r="S31">
        <v>0.71535603637787204</v>
      </c>
      <c r="T31">
        <v>0.155212952520938</v>
      </c>
      <c r="U31">
        <v>3.7941263872579498E-2</v>
      </c>
      <c r="V31">
        <f t="shared" si="2"/>
        <v>0.38878540687581281</v>
      </c>
      <c r="W31">
        <f t="shared" si="3"/>
        <v>22.287061540651688</v>
      </c>
    </row>
    <row r="32" spans="2:23" x14ac:dyDescent="0.45">
      <c r="B32">
        <v>-5.3045829276604293</v>
      </c>
      <c r="C32">
        <v>0</v>
      </c>
      <c r="D32">
        <v>-5.5511150768909598E-2</v>
      </c>
      <c r="E32">
        <v>-3.5190413837266599</v>
      </c>
      <c r="F32">
        <v>-1.75778596836428</v>
      </c>
      <c r="G32">
        <v>-3.8911795651947499E-10</v>
      </c>
      <c r="H32">
        <v>2.79653954007231E-4</v>
      </c>
      <c r="I32">
        <v>-3.5209268652589603</v>
      </c>
      <c r="J32">
        <f t="shared" si="0"/>
        <v>-1.7696960802767938</v>
      </c>
      <c r="K32">
        <f t="shared" si="1"/>
        <v>2</v>
      </c>
      <c r="L32" cm="1">
        <f t="array" ref="L32">SUMPRODUCT(N(B32:H32*C32:I32&lt;0))</f>
        <v>2</v>
      </c>
      <c r="O32">
        <v>0.180824974347676</v>
      </c>
      <c r="P32">
        <v>0.86748132821930302</v>
      </c>
      <c r="Q32">
        <v>2.4900412368091701E-3</v>
      </c>
      <c r="R32">
        <v>0.87470119581085204</v>
      </c>
      <c r="S32">
        <v>0.19559633122085501</v>
      </c>
      <c r="T32">
        <v>5.0296076868244E-2</v>
      </c>
      <c r="U32">
        <v>1.35433278970914E-2</v>
      </c>
      <c r="V32">
        <f t="shared" si="2"/>
        <v>0.31213332508583297</v>
      </c>
      <c r="W32">
        <f t="shared" si="3"/>
        <v>17.892993157786602</v>
      </c>
    </row>
    <row r="33" spans="2:23" x14ac:dyDescent="0.45">
      <c r="B33">
        <v>-5.3045829276604293</v>
      </c>
      <c r="C33">
        <v>0</v>
      </c>
      <c r="D33">
        <v>-5.5511150768909598E-2</v>
      </c>
      <c r="E33">
        <v>1.76299013879221</v>
      </c>
      <c r="F33">
        <v>3.0462949225501701E-12</v>
      </c>
      <c r="G33">
        <v>-6.3622189013744307E-2</v>
      </c>
      <c r="H33">
        <v>7.0848673421582502</v>
      </c>
      <c r="I33">
        <v>-0.710620581419799</v>
      </c>
      <c r="J33">
        <f t="shared" si="0"/>
        <v>0.33919007901132808</v>
      </c>
      <c r="K33">
        <f t="shared" si="1"/>
        <v>4</v>
      </c>
      <c r="L33" cm="1">
        <f t="array" ref="L33">SUMPRODUCT(N(B33:H33*C33:I33&lt;0))</f>
        <v>4</v>
      </c>
      <c r="O33">
        <v>0.14407348342470799</v>
      </c>
      <c r="P33">
        <v>0.71104184088785904</v>
      </c>
      <c r="Q33">
        <v>0.48032554539912498</v>
      </c>
      <c r="R33">
        <v>0.47754672564760797</v>
      </c>
      <c r="S33">
        <v>0.71535603637787204</v>
      </c>
      <c r="T33">
        <v>0.155212952520938</v>
      </c>
      <c r="U33">
        <v>3.7941263872579498E-2</v>
      </c>
      <c r="V33">
        <f t="shared" si="2"/>
        <v>0.38878540687581281</v>
      </c>
      <c r="W33">
        <f t="shared" si="3"/>
        <v>22.287061540651688</v>
      </c>
    </row>
    <row r="34" spans="2:23" x14ac:dyDescent="0.45">
      <c r="B34">
        <v>-5.3045829276604293</v>
      </c>
      <c r="C34">
        <v>0</v>
      </c>
      <c r="D34">
        <v>-5.5511150768909598E-2</v>
      </c>
      <c r="E34">
        <v>1.76299013879221</v>
      </c>
      <c r="F34">
        <v>3.0462949225501701E-12</v>
      </c>
      <c r="G34">
        <v>-6.3622189013744307E-2</v>
      </c>
      <c r="H34">
        <v>7.0848673421582502</v>
      </c>
      <c r="I34">
        <v>-0.710620581419799</v>
      </c>
      <c r="J34">
        <f t="shared" si="0"/>
        <v>0.33919007901132808</v>
      </c>
      <c r="K34">
        <f t="shared" si="1"/>
        <v>4</v>
      </c>
      <c r="L34" cm="1">
        <f t="array" ref="L34">SUMPRODUCT(N(B34:H34*C34:I34&lt;0))</f>
        <v>4</v>
      </c>
      <c r="O34">
        <v>0.14407348342470799</v>
      </c>
      <c r="P34">
        <v>0.71104184088785904</v>
      </c>
      <c r="Q34">
        <v>0.48032554539912498</v>
      </c>
      <c r="R34">
        <v>0.47754672564760797</v>
      </c>
      <c r="S34">
        <v>0.71535603637787204</v>
      </c>
      <c r="T34">
        <v>0.155212952520938</v>
      </c>
      <c r="U34">
        <v>3.7941263872579498E-2</v>
      </c>
      <c r="V34">
        <f t="shared" si="2"/>
        <v>0.38878540687581281</v>
      </c>
      <c r="W34">
        <f t="shared" si="3"/>
        <v>22.287061540651688</v>
      </c>
    </row>
    <row r="35" spans="2:23" x14ac:dyDescent="0.45">
      <c r="B35">
        <v>-5.3045829276604293</v>
      </c>
      <c r="C35">
        <v>0</v>
      </c>
      <c r="D35">
        <v>-5.5511150768909598E-2</v>
      </c>
      <c r="E35">
        <v>1.76299013879221</v>
      </c>
      <c r="F35">
        <v>3.0462949225501701E-12</v>
      </c>
      <c r="G35">
        <v>-6.3622189013744307E-2</v>
      </c>
      <c r="H35">
        <v>7.0848673421582502</v>
      </c>
      <c r="I35">
        <v>-0.710620581419799</v>
      </c>
      <c r="J35">
        <f t="shared" si="0"/>
        <v>0.33919007901132808</v>
      </c>
      <c r="K35">
        <f t="shared" si="1"/>
        <v>4</v>
      </c>
      <c r="L35" cm="1">
        <f t="array" ref="L35">SUMPRODUCT(N(B35:H35*C35:I35&lt;0))</f>
        <v>4</v>
      </c>
      <c r="O35">
        <v>0.17857397463335201</v>
      </c>
      <c r="P35">
        <v>0.94161191039233505</v>
      </c>
      <c r="Q35">
        <v>0.18929621538432101</v>
      </c>
      <c r="R35">
        <v>0.76899990574864996</v>
      </c>
      <c r="S35">
        <v>1.11946296773704</v>
      </c>
      <c r="T35">
        <v>0.87178623855368798</v>
      </c>
      <c r="U35">
        <v>0.119295175775689</v>
      </c>
      <c r="V35">
        <f t="shared" si="2"/>
        <v>0.59843234117501076</v>
      </c>
      <c r="W35">
        <f t="shared" si="3"/>
        <v>34.305038666083419</v>
      </c>
    </row>
    <row r="36" spans="2:23" x14ac:dyDescent="0.45">
      <c r="B36">
        <v>-5.3045829276604293</v>
      </c>
      <c r="C36">
        <v>0</v>
      </c>
      <c r="D36">
        <v>-5.5511150768909598E-2</v>
      </c>
      <c r="E36">
        <v>1.76299013879221</v>
      </c>
      <c r="F36">
        <v>3.0462949225501701E-12</v>
      </c>
      <c r="G36">
        <v>-6.3622189013744307E-2</v>
      </c>
      <c r="H36">
        <v>7.0848673421582502</v>
      </c>
      <c r="I36">
        <v>-0.710620581419799</v>
      </c>
      <c r="J36">
        <f t="shared" si="0"/>
        <v>0.33919007901132808</v>
      </c>
      <c r="K36">
        <f t="shared" si="1"/>
        <v>4</v>
      </c>
      <c r="L36" cm="1">
        <f t="array" ref="L36">SUMPRODUCT(N(B36:H36*C36:I36&lt;0))</f>
        <v>4</v>
      </c>
      <c r="O36">
        <v>0.14407348342470799</v>
      </c>
      <c r="P36">
        <v>0.71104184088785904</v>
      </c>
      <c r="Q36">
        <v>0.48032554539912498</v>
      </c>
      <c r="R36">
        <v>0.47754672564760797</v>
      </c>
      <c r="S36">
        <v>0.71535603637787204</v>
      </c>
      <c r="T36">
        <v>0.155212952520938</v>
      </c>
      <c r="U36">
        <v>3.7941263872579498E-2</v>
      </c>
      <c r="V36">
        <f t="shared" si="2"/>
        <v>0.38878540687581281</v>
      </c>
      <c r="W36">
        <f t="shared" si="3"/>
        <v>22.287061540651688</v>
      </c>
    </row>
    <row r="37" spans="2:23" x14ac:dyDescent="0.45">
      <c r="B37">
        <v>-5.3045829276604293</v>
      </c>
      <c r="C37">
        <v>0</v>
      </c>
      <c r="D37">
        <v>-5.5511150768909598E-2</v>
      </c>
      <c r="E37">
        <v>1.76299013879221</v>
      </c>
      <c r="F37">
        <v>3.0462949225501701E-12</v>
      </c>
      <c r="G37">
        <v>-6.3622189013744307E-2</v>
      </c>
      <c r="H37">
        <v>7.0848673421582502</v>
      </c>
      <c r="I37">
        <v>-0.710620581419799</v>
      </c>
      <c r="J37">
        <f t="shared" si="0"/>
        <v>0.33919007901132808</v>
      </c>
      <c r="K37">
        <f t="shared" si="1"/>
        <v>4</v>
      </c>
      <c r="L37" cm="1">
        <f t="array" ref="L37">SUMPRODUCT(N(B37:H37*C37:I37&lt;0))</f>
        <v>4</v>
      </c>
      <c r="O37">
        <v>0.180824974347676</v>
      </c>
      <c r="P37">
        <v>0.86748132821930302</v>
      </c>
      <c r="Q37">
        <v>2.4900412368091701E-3</v>
      </c>
      <c r="R37">
        <v>0.87470119581085204</v>
      </c>
      <c r="S37">
        <v>0.19559633122085501</v>
      </c>
      <c r="T37">
        <v>5.0296076868244E-2</v>
      </c>
      <c r="U37">
        <v>1.35433278970914E-2</v>
      </c>
      <c r="V37">
        <f t="shared" si="2"/>
        <v>0.31213332508583297</v>
      </c>
      <c r="W37">
        <f t="shared" si="3"/>
        <v>17.892993157786602</v>
      </c>
    </row>
    <row r="38" spans="2:23" x14ac:dyDescent="0.45">
      <c r="B38">
        <v>-5.3045829276604293</v>
      </c>
      <c r="C38">
        <v>0</v>
      </c>
      <c r="D38">
        <v>-5.5511150768909598E-2</v>
      </c>
      <c r="E38">
        <v>1.76299013879221</v>
      </c>
      <c r="F38">
        <v>3.0462949225501701E-12</v>
      </c>
      <c r="G38">
        <v>-6.3622189013744307E-2</v>
      </c>
      <c r="H38">
        <v>7.0848673421582502</v>
      </c>
      <c r="I38">
        <v>-0.710620581419799</v>
      </c>
      <c r="J38">
        <f t="shared" si="0"/>
        <v>0.33919007901132808</v>
      </c>
      <c r="K38">
        <f t="shared" si="1"/>
        <v>4</v>
      </c>
      <c r="L38" cm="1">
        <f t="array" ref="L38">SUMPRODUCT(N(B38:H38*C38:I38&lt;0))</f>
        <v>4</v>
      </c>
      <c r="O38">
        <v>0.178485541067262</v>
      </c>
      <c r="P38">
        <v>0.95039780615288905</v>
      </c>
      <c r="Q38">
        <v>0.218388103778136</v>
      </c>
      <c r="R38">
        <v>0.26382173773226397</v>
      </c>
      <c r="S38">
        <v>0.155531702654604</v>
      </c>
      <c r="T38">
        <v>3.5281014266621898E-2</v>
      </c>
      <c r="U38">
        <v>1.4574396947437399E-2</v>
      </c>
      <c r="V38">
        <f t="shared" si="2"/>
        <v>0.25949718608560202</v>
      </c>
      <c r="W38">
        <f t="shared" si="3"/>
        <v>14.875634871149158</v>
      </c>
    </row>
    <row r="39" spans="2:23" x14ac:dyDescent="0.45">
      <c r="B39">
        <v>-5.3045829276604293</v>
      </c>
      <c r="C39">
        <v>0</v>
      </c>
      <c r="D39">
        <v>-5.5511150768909598E-2</v>
      </c>
      <c r="E39">
        <v>-3.5190413837266599</v>
      </c>
      <c r="F39">
        <v>-1.75778596836428</v>
      </c>
      <c r="G39">
        <v>-3.8911795651947499E-10</v>
      </c>
      <c r="H39">
        <v>2.79653954007231E-4</v>
      </c>
      <c r="I39">
        <v>-3.5209268652589603</v>
      </c>
      <c r="J39">
        <f t="shared" si="0"/>
        <v>-1.7696960802767938</v>
      </c>
      <c r="K39">
        <f t="shared" si="1"/>
        <v>2</v>
      </c>
      <c r="L39" cm="1">
        <f t="array" ref="L39">SUMPRODUCT(N(B39:H39*C39:I39&lt;0))</f>
        <v>2</v>
      </c>
      <c r="O39">
        <v>0.14407348342470799</v>
      </c>
      <c r="P39">
        <v>0.71104184088785904</v>
      </c>
      <c r="Q39">
        <v>0.48032554539912498</v>
      </c>
      <c r="R39">
        <v>0.47754672564760797</v>
      </c>
      <c r="S39">
        <v>0.71535603637787204</v>
      </c>
      <c r="T39">
        <v>0.155212952520938</v>
      </c>
      <c r="U39">
        <v>3.7941263872579498E-2</v>
      </c>
      <c r="V39">
        <f t="shared" si="2"/>
        <v>0.38878540687581281</v>
      </c>
      <c r="W39">
        <f t="shared" si="3"/>
        <v>22.287061540651688</v>
      </c>
    </row>
    <row r="40" spans="2:23" x14ac:dyDescent="0.45">
      <c r="B40">
        <v>-5.3045829276604293</v>
      </c>
      <c r="C40">
        <v>0</v>
      </c>
      <c r="D40">
        <v>-5.5511150768909598E-2</v>
      </c>
      <c r="E40">
        <v>-3.5190413837266599</v>
      </c>
      <c r="F40">
        <v>-9.2133511311535593E-11</v>
      </c>
      <c r="G40">
        <v>-3.5190413837266599</v>
      </c>
      <c r="H40">
        <v>-1.75778596836428</v>
      </c>
      <c r="I40">
        <v>-3.8911795651947499E-10</v>
      </c>
      <c r="J40">
        <f t="shared" si="0"/>
        <v>-1.7694953518410237</v>
      </c>
      <c r="K40">
        <f t="shared" si="1"/>
        <v>1</v>
      </c>
      <c r="L40" cm="1">
        <f t="array" ref="L40">SUMPRODUCT(N(B40:H40*C40:I40&lt;0))</f>
        <v>0</v>
      </c>
      <c r="O40">
        <v>0.14407348342470799</v>
      </c>
      <c r="P40">
        <v>0.71104184088785904</v>
      </c>
      <c r="Q40">
        <v>0.48032554539912498</v>
      </c>
      <c r="R40">
        <v>0.47754672564760797</v>
      </c>
      <c r="S40">
        <v>0.71535603637787204</v>
      </c>
      <c r="T40">
        <v>0.155212952520938</v>
      </c>
      <c r="U40">
        <v>3.7941263872579498E-2</v>
      </c>
      <c r="V40">
        <f t="shared" si="2"/>
        <v>0.38878540687581281</v>
      </c>
      <c r="W40">
        <f t="shared" si="3"/>
        <v>22.287061540651688</v>
      </c>
    </row>
    <row r="41" spans="2:23" x14ac:dyDescent="0.45">
      <c r="B41">
        <v>-5.3045829276604293</v>
      </c>
      <c r="C41">
        <v>0</v>
      </c>
      <c r="D41">
        <v>-5.5511150768909598E-2</v>
      </c>
      <c r="E41">
        <v>-3.5190413837266599</v>
      </c>
      <c r="F41">
        <v>-1.75778596836428</v>
      </c>
      <c r="G41">
        <v>-3.8911795651947499E-10</v>
      </c>
      <c r="H41">
        <v>2.79653954007231E-4</v>
      </c>
      <c r="I41">
        <v>-3.5209268652589603</v>
      </c>
      <c r="J41">
        <f t="shared" si="0"/>
        <v>-1.7696960802767938</v>
      </c>
      <c r="K41">
        <f t="shared" si="1"/>
        <v>2</v>
      </c>
      <c r="L41" cm="1">
        <f t="array" ref="L41">SUMPRODUCT(N(B41:H41*C41:I41&lt;0))</f>
        <v>2</v>
      </c>
      <c r="O41">
        <v>0.180824974347676</v>
      </c>
      <c r="P41">
        <v>0.86748132821930302</v>
      </c>
      <c r="Q41">
        <v>2.4900412368091701E-3</v>
      </c>
      <c r="R41">
        <v>0.87470119581085204</v>
      </c>
      <c r="S41">
        <v>0.19559633122085501</v>
      </c>
      <c r="T41">
        <v>5.0296076868244E-2</v>
      </c>
      <c r="U41">
        <v>1.35433278970914E-2</v>
      </c>
      <c r="V41">
        <f t="shared" si="2"/>
        <v>0.31213332508583297</v>
      </c>
      <c r="W41">
        <f t="shared" si="3"/>
        <v>17.892993157786602</v>
      </c>
    </row>
    <row r="42" spans="2:23" x14ac:dyDescent="0.45">
      <c r="B42">
        <v>-5.3045829276604293</v>
      </c>
      <c r="C42">
        <v>0</v>
      </c>
      <c r="D42">
        <v>-5.5511150768909598E-2</v>
      </c>
      <c r="E42">
        <v>-3.5190413837266599</v>
      </c>
      <c r="F42">
        <v>-1.75778596836428</v>
      </c>
      <c r="G42">
        <v>-3.8911795651947499E-10</v>
      </c>
      <c r="H42">
        <v>2.79653954007231E-4</v>
      </c>
      <c r="I42">
        <v>-3.5209268652589603</v>
      </c>
      <c r="J42">
        <f t="shared" si="0"/>
        <v>-1.7696960802767938</v>
      </c>
      <c r="K42">
        <f t="shared" si="1"/>
        <v>2</v>
      </c>
      <c r="L42" cm="1">
        <f t="array" ref="L42">SUMPRODUCT(N(B42:H42*C42:I42&lt;0))</f>
        <v>2</v>
      </c>
      <c r="O42">
        <v>0.14407348342470799</v>
      </c>
      <c r="P42">
        <v>0.71104184088785904</v>
      </c>
      <c r="Q42">
        <v>0.48032554539912498</v>
      </c>
      <c r="R42">
        <v>0.47754672564760797</v>
      </c>
      <c r="S42">
        <v>0.71535603637787204</v>
      </c>
      <c r="T42">
        <v>0.155212952520938</v>
      </c>
      <c r="U42">
        <v>3.7941263872579498E-2</v>
      </c>
      <c r="V42">
        <f t="shared" si="2"/>
        <v>0.38878540687581281</v>
      </c>
      <c r="W42">
        <f t="shared" si="3"/>
        <v>22.287061540651688</v>
      </c>
    </row>
    <row r="43" spans="2:23" x14ac:dyDescent="0.45">
      <c r="B43">
        <v>-5.3045829276604293</v>
      </c>
      <c r="C43">
        <v>0</v>
      </c>
      <c r="D43">
        <v>-5.5511150768909598E-2</v>
      </c>
      <c r="E43">
        <v>-3.5190413837266599</v>
      </c>
      <c r="F43">
        <v>-1.75778596836428</v>
      </c>
      <c r="G43">
        <v>-3.8911795651947499E-10</v>
      </c>
      <c r="H43">
        <v>2.79653954007231E-4</v>
      </c>
      <c r="I43">
        <v>-3.5209268652589603</v>
      </c>
      <c r="J43">
        <f t="shared" si="0"/>
        <v>-1.7696960802767938</v>
      </c>
      <c r="K43">
        <f t="shared" si="1"/>
        <v>2</v>
      </c>
      <c r="L43" cm="1">
        <f t="array" ref="L43">SUMPRODUCT(N(B43:H43*C43:I43&lt;0))</f>
        <v>2</v>
      </c>
      <c r="O43">
        <v>0.178485541067262</v>
      </c>
      <c r="P43">
        <v>0.95039780615288905</v>
      </c>
      <c r="Q43">
        <v>0.218388103778136</v>
      </c>
      <c r="R43">
        <v>0.26382173773226397</v>
      </c>
      <c r="S43">
        <v>0.155531702654604</v>
      </c>
      <c r="T43">
        <v>3.5281014266621898E-2</v>
      </c>
      <c r="U43">
        <v>1.4574396947437399E-2</v>
      </c>
      <c r="V43">
        <f t="shared" si="2"/>
        <v>0.25949718608560202</v>
      </c>
      <c r="W43">
        <f t="shared" si="3"/>
        <v>14.875634871149158</v>
      </c>
    </row>
    <row r="44" spans="2:23" x14ac:dyDescent="0.45">
      <c r="B44">
        <v>-5.3045829276604293</v>
      </c>
      <c r="C44">
        <v>0</v>
      </c>
      <c r="D44">
        <v>-5.5511150768909598E-2</v>
      </c>
      <c r="E44">
        <v>1.76299013879221</v>
      </c>
      <c r="F44">
        <v>3.0462949225501701E-12</v>
      </c>
      <c r="G44">
        <v>-6.3622189013744307E-2</v>
      </c>
      <c r="H44">
        <v>7.0848673421582502</v>
      </c>
      <c r="I44">
        <v>-0.710620581419799</v>
      </c>
      <c r="J44">
        <f t="shared" si="0"/>
        <v>0.33919007901132808</v>
      </c>
      <c r="K44">
        <f t="shared" si="1"/>
        <v>4</v>
      </c>
      <c r="L44" cm="1">
        <f t="array" ref="L44">SUMPRODUCT(N(B44:H44*C44:I44&lt;0))</f>
        <v>4</v>
      </c>
      <c r="O44">
        <v>0.180824974347676</v>
      </c>
      <c r="P44">
        <v>0.86748132821930302</v>
      </c>
      <c r="Q44">
        <v>2.4900412368091701E-3</v>
      </c>
      <c r="R44">
        <v>0.87470119581085204</v>
      </c>
      <c r="S44">
        <v>0.19559633122085501</v>
      </c>
      <c r="T44">
        <v>5.0296076868244E-2</v>
      </c>
      <c r="U44">
        <v>1.35433278970914E-2</v>
      </c>
      <c r="V44">
        <f t="shared" si="2"/>
        <v>0.31213332508583297</v>
      </c>
      <c r="W44">
        <f t="shared" si="3"/>
        <v>17.892993157786602</v>
      </c>
    </row>
    <row r="45" spans="2:23" x14ac:dyDescent="0.45">
      <c r="B45">
        <v>-5.3045829276604293</v>
      </c>
      <c r="C45">
        <v>0</v>
      </c>
      <c r="D45">
        <v>-5.5511150768909598E-2</v>
      </c>
      <c r="E45">
        <v>-3.5190413837266599</v>
      </c>
      <c r="F45">
        <v>-1.75778596836428</v>
      </c>
      <c r="G45">
        <v>-3.8911795651947499E-10</v>
      </c>
      <c r="H45">
        <v>2.79653954007231E-4</v>
      </c>
      <c r="I45">
        <v>-3.5209268652589603</v>
      </c>
      <c r="J45">
        <f t="shared" si="0"/>
        <v>-1.7696960802767938</v>
      </c>
      <c r="K45">
        <f t="shared" si="1"/>
        <v>2</v>
      </c>
      <c r="L45" cm="1">
        <f t="array" ref="L45">SUMPRODUCT(N(B45:H45*C45:I45&lt;0))</f>
        <v>2</v>
      </c>
      <c r="O45">
        <v>0.14407348342470799</v>
      </c>
      <c r="P45">
        <v>0.71104184088785904</v>
      </c>
      <c r="Q45">
        <v>0.48032554539912498</v>
      </c>
      <c r="R45">
        <v>0.47754672564760797</v>
      </c>
      <c r="S45">
        <v>0.71535603637787204</v>
      </c>
      <c r="T45">
        <v>0.155212952520938</v>
      </c>
      <c r="U45">
        <v>3.7941263872579498E-2</v>
      </c>
      <c r="V45">
        <f t="shared" si="2"/>
        <v>0.38878540687581281</v>
      </c>
      <c r="W45">
        <f t="shared" si="3"/>
        <v>22.287061540651688</v>
      </c>
    </row>
    <row r="46" spans="2:23" x14ac:dyDescent="0.45">
      <c r="B46">
        <v>-5.3045829276604293</v>
      </c>
      <c r="C46">
        <v>0</v>
      </c>
      <c r="D46">
        <v>-5.5511150768909598E-2</v>
      </c>
      <c r="E46">
        <v>-3.5190413837266599</v>
      </c>
      <c r="F46">
        <v>-9.2133511311535593E-11</v>
      </c>
      <c r="G46">
        <v>-3.5190413837266599</v>
      </c>
      <c r="H46">
        <v>-9.2133511311535593E-11</v>
      </c>
      <c r="I46">
        <v>-3.5190413837266599</v>
      </c>
      <c r="J46">
        <f t="shared" si="0"/>
        <v>-1.9896522787241984</v>
      </c>
      <c r="K46">
        <f t="shared" si="1"/>
        <v>1</v>
      </c>
      <c r="L46" cm="1">
        <f t="array" ref="L46">SUMPRODUCT(N(B46:H46*C46:I46&lt;0))</f>
        <v>0</v>
      </c>
      <c r="O46">
        <v>0.14407348342470799</v>
      </c>
      <c r="P46">
        <v>0.71104184088785904</v>
      </c>
      <c r="Q46">
        <v>0.48032554539912498</v>
      </c>
      <c r="R46">
        <v>0.47754672564760797</v>
      </c>
      <c r="S46">
        <v>0.71535603637787204</v>
      </c>
      <c r="T46">
        <v>0.155212952520938</v>
      </c>
      <c r="U46">
        <v>3.7941263872579498E-2</v>
      </c>
      <c r="V46">
        <f t="shared" si="2"/>
        <v>0.38878540687581281</v>
      </c>
      <c r="W46">
        <f t="shared" si="3"/>
        <v>22.287061540651688</v>
      </c>
    </row>
    <row r="47" spans="2:23" x14ac:dyDescent="0.45">
      <c r="B47">
        <v>-5.3045829276604293</v>
      </c>
      <c r="C47">
        <v>0</v>
      </c>
      <c r="D47">
        <v>-5.5511150768909598E-2</v>
      </c>
      <c r="E47">
        <v>-3.5190413837266599</v>
      </c>
      <c r="F47">
        <v>-9.2133511311535593E-11</v>
      </c>
      <c r="G47">
        <v>-3.5190413837266599</v>
      </c>
      <c r="H47">
        <v>-9.2133511311535593E-11</v>
      </c>
      <c r="I47">
        <v>-3.5190413837266599</v>
      </c>
      <c r="J47">
        <f t="shared" si="0"/>
        <v>-1.9896522787241984</v>
      </c>
      <c r="K47">
        <f t="shared" si="1"/>
        <v>1</v>
      </c>
      <c r="L47" cm="1">
        <f t="array" ref="L47">SUMPRODUCT(N(B47:H47*C47:I47&lt;0))</f>
        <v>0</v>
      </c>
      <c r="O47">
        <v>0.14407348342470799</v>
      </c>
      <c r="P47">
        <v>0.71104184088785904</v>
      </c>
      <c r="Q47">
        <v>0.48032554539912498</v>
      </c>
      <c r="R47">
        <v>0.47754672564760797</v>
      </c>
      <c r="S47">
        <v>0.71535603637787204</v>
      </c>
      <c r="T47">
        <v>0.155212952520938</v>
      </c>
      <c r="U47">
        <v>3.7941263872579498E-2</v>
      </c>
      <c r="V47">
        <f t="shared" si="2"/>
        <v>0.38878540687581281</v>
      </c>
      <c r="W47">
        <f t="shared" si="3"/>
        <v>22.287061540651688</v>
      </c>
    </row>
    <row r="48" spans="2:23" x14ac:dyDescent="0.45">
      <c r="B48">
        <v>-5.3045829276604293</v>
      </c>
      <c r="C48">
        <v>0</v>
      </c>
      <c r="D48">
        <v>-5.5511150768909598E-2</v>
      </c>
      <c r="E48">
        <v>-3.5190413837266599</v>
      </c>
      <c r="F48">
        <v>-1.75778596836428</v>
      </c>
      <c r="G48">
        <v>-3.8911795651947499E-10</v>
      </c>
      <c r="H48">
        <v>2.79653954007231E-4</v>
      </c>
      <c r="I48">
        <v>-3.5209268652589603</v>
      </c>
      <c r="J48">
        <f t="shared" si="0"/>
        <v>-1.7696960802767938</v>
      </c>
      <c r="K48">
        <f t="shared" si="1"/>
        <v>2</v>
      </c>
      <c r="L48" cm="1">
        <f t="array" ref="L48">SUMPRODUCT(N(B48:H48*C48:I48&lt;0))</f>
        <v>2</v>
      </c>
      <c r="O48">
        <v>0.178485541067262</v>
      </c>
      <c r="P48">
        <v>0.95039780615288905</v>
      </c>
      <c r="Q48">
        <v>0.218388103778136</v>
      </c>
      <c r="R48">
        <v>0.26382173773226397</v>
      </c>
      <c r="S48">
        <v>0.155531702654604</v>
      </c>
      <c r="T48">
        <v>3.5281014266621898E-2</v>
      </c>
      <c r="U48">
        <v>1.4574396947437399E-2</v>
      </c>
      <c r="V48">
        <f t="shared" si="2"/>
        <v>0.25949718608560202</v>
      </c>
      <c r="W48">
        <f t="shared" si="3"/>
        <v>14.875634871149158</v>
      </c>
    </row>
    <row r="49" spans="2:23" x14ac:dyDescent="0.45">
      <c r="B49">
        <v>-5.3045829276604293</v>
      </c>
      <c r="C49">
        <v>0</v>
      </c>
      <c r="D49">
        <v>-5.5511150768909598E-2</v>
      </c>
      <c r="E49">
        <v>-3.5190413837266599</v>
      </c>
      <c r="F49">
        <v>-9.2133511311535593E-11</v>
      </c>
      <c r="G49">
        <v>-3.5190413837266599</v>
      </c>
      <c r="H49">
        <v>-9.2133511311535593E-11</v>
      </c>
      <c r="I49">
        <v>-3.5190413837266599</v>
      </c>
      <c r="J49">
        <f t="shared" si="0"/>
        <v>-1.9896522787241984</v>
      </c>
      <c r="K49">
        <f t="shared" si="1"/>
        <v>1</v>
      </c>
      <c r="L49" cm="1">
        <f t="array" ref="L49">SUMPRODUCT(N(B49:H49*C49:I49&lt;0))</f>
        <v>0</v>
      </c>
      <c r="O49">
        <v>0.180824974347676</v>
      </c>
      <c r="P49">
        <v>0.86748132821930302</v>
      </c>
      <c r="Q49">
        <v>2.4900412368091701E-3</v>
      </c>
      <c r="R49">
        <v>0.87470119581085204</v>
      </c>
      <c r="S49">
        <v>0.19559633122085501</v>
      </c>
      <c r="T49">
        <v>5.0296076868244E-2</v>
      </c>
      <c r="U49">
        <v>1.35433278970914E-2</v>
      </c>
      <c r="V49">
        <f t="shared" si="2"/>
        <v>0.31213332508583297</v>
      </c>
      <c r="W49">
        <f t="shared" si="3"/>
        <v>17.892993157786602</v>
      </c>
    </row>
    <row r="50" spans="2:23" x14ac:dyDescent="0.45">
      <c r="B50">
        <v>-5.3045829276604293</v>
      </c>
      <c r="C50">
        <v>0</v>
      </c>
      <c r="D50">
        <v>-5.5511150768909598E-2</v>
      </c>
      <c r="E50">
        <v>1.76299013879221</v>
      </c>
      <c r="F50">
        <v>3.0462949225501701E-12</v>
      </c>
      <c r="G50">
        <v>-6.3622189013744307E-2</v>
      </c>
      <c r="H50">
        <v>7.0848673421582502</v>
      </c>
      <c r="I50">
        <v>-0.710620581419799</v>
      </c>
      <c r="J50">
        <f t="shared" si="0"/>
        <v>0.33919007901132808</v>
      </c>
      <c r="K50">
        <f t="shared" si="1"/>
        <v>4</v>
      </c>
      <c r="L50" cm="1">
        <f t="array" ref="L50">SUMPRODUCT(N(B50:H50*C50:I50&lt;0))</f>
        <v>4</v>
      </c>
      <c r="O50">
        <v>0.17857397463335201</v>
      </c>
      <c r="P50">
        <v>0.94161191039233505</v>
      </c>
      <c r="Q50">
        <v>0.18929621538432101</v>
      </c>
      <c r="R50">
        <v>0.76899990574864996</v>
      </c>
      <c r="S50">
        <v>1.11946296773704</v>
      </c>
      <c r="T50">
        <v>0.87178623855368798</v>
      </c>
      <c r="U50">
        <v>0.119295175775689</v>
      </c>
      <c r="V50">
        <f t="shared" si="2"/>
        <v>0.59843234117501076</v>
      </c>
      <c r="W50">
        <f t="shared" si="3"/>
        <v>34.305038666083419</v>
      </c>
    </row>
    <row r="51" spans="2:23" x14ac:dyDescent="0.45">
      <c r="B51">
        <v>-5.3045829276604293</v>
      </c>
      <c r="C51">
        <v>0</v>
      </c>
      <c r="D51">
        <v>-5.5511150768909598E-2</v>
      </c>
      <c r="E51">
        <v>1.76299013879221</v>
      </c>
      <c r="F51">
        <v>3.0462949225501701E-12</v>
      </c>
      <c r="G51">
        <v>-6.3622189013744307E-2</v>
      </c>
      <c r="H51">
        <v>7.0848673421582502</v>
      </c>
      <c r="I51">
        <v>-0.710620581419799</v>
      </c>
      <c r="J51">
        <f t="shared" si="0"/>
        <v>0.33919007901132808</v>
      </c>
      <c r="K51">
        <f t="shared" si="1"/>
        <v>4</v>
      </c>
      <c r="L51" cm="1">
        <f t="array" ref="L51">SUMPRODUCT(N(B51:H51*C51:I51&lt;0))</f>
        <v>4</v>
      </c>
      <c r="O51">
        <v>0.14407348342470799</v>
      </c>
      <c r="P51">
        <v>0.71104184088785904</v>
      </c>
      <c r="Q51">
        <v>0.48032554539912498</v>
      </c>
      <c r="R51">
        <v>0.47754672564760797</v>
      </c>
      <c r="S51">
        <v>0.71535603637787204</v>
      </c>
      <c r="T51">
        <v>0.155212952520938</v>
      </c>
      <c r="U51">
        <v>3.7941263872579498E-2</v>
      </c>
      <c r="V51">
        <f t="shared" si="2"/>
        <v>0.38878540687581281</v>
      </c>
      <c r="W51">
        <f t="shared" si="3"/>
        <v>22.287061540651688</v>
      </c>
    </row>
    <row r="52" spans="2:23" x14ac:dyDescent="0.45">
      <c r="B52">
        <v>-5.3045829276604293</v>
      </c>
      <c r="C52">
        <v>0</v>
      </c>
      <c r="D52">
        <v>-5.5511150768909598E-2</v>
      </c>
      <c r="E52">
        <v>1.76299013879221</v>
      </c>
      <c r="F52">
        <v>3.0462949225501701E-12</v>
      </c>
      <c r="G52">
        <v>-6.3622189013744307E-2</v>
      </c>
      <c r="H52">
        <v>7.0848673421582502</v>
      </c>
      <c r="I52">
        <v>-0.710620581419799</v>
      </c>
      <c r="J52">
        <f t="shared" si="0"/>
        <v>0.33919007901132808</v>
      </c>
      <c r="K52">
        <f t="shared" si="1"/>
        <v>4</v>
      </c>
      <c r="L52" cm="1">
        <f t="array" ref="L52">SUMPRODUCT(N(B52:H52*C52:I52&lt;0))</f>
        <v>4</v>
      </c>
      <c r="O52">
        <v>0.113858267087087</v>
      </c>
      <c r="P52">
        <v>0.83409983905834995</v>
      </c>
      <c r="Q52">
        <v>1.2198255935042801</v>
      </c>
      <c r="R52">
        <v>1.2241124944190001</v>
      </c>
      <c r="S52">
        <v>0.83571430302685001</v>
      </c>
      <c r="T52">
        <v>0.121557089758523</v>
      </c>
      <c r="U52">
        <v>2.7803878566330199E-2</v>
      </c>
      <c r="V52">
        <f t="shared" si="2"/>
        <v>0.62528163791720293</v>
      </c>
      <c r="W52">
        <f t="shared" si="3"/>
        <v>35.84417032646386</v>
      </c>
    </row>
    <row r="53" spans="2:23" x14ac:dyDescent="0.45">
      <c r="B53">
        <v>-5.3045829276604293</v>
      </c>
      <c r="C53">
        <v>0</v>
      </c>
      <c r="D53">
        <v>-5.5511150768909598E-2</v>
      </c>
      <c r="E53">
        <v>-3.5190413837266599</v>
      </c>
      <c r="F53">
        <v>-1.75778596836428</v>
      </c>
      <c r="G53">
        <v>-3.8911795651947499E-10</v>
      </c>
      <c r="H53">
        <v>2.79653954007231E-4</v>
      </c>
      <c r="I53">
        <v>-3.5209268652589603</v>
      </c>
      <c r="J53">
        <f t="shared" si="0"/>
        <v>-1.7696960802767938</v>
      </c>
      <c r="K53">
        <f t="shared" si="1"/>
        <v>2</v>
      </c>
      <c r="L53" cm="1">
        <f t="array" ref="L53">SUMPRODUCT(N(B53:H53*C53:I53&lt;0))</f>
        <v>2</v>
      </c>
      <c r="O53">
        <v>0.14407348342470799</v>
      </c>
      <c r="P53">
        <v>0.71104184088785904</v>
      </c>
      <c r="Q53">
        <v>0.48032554539912498</v>
      </c>
      <c r="R53">
        <v>0.47754672564760797</v>
      </c>
      <c r="S53">
        <v>0.71535603637787204</v>
      </c>
      <c r="T53">
        <v>0.155212952520938</v>
      </c>
      <c r="U53">
        <v>3.7941263872579498E-2</v>
      </c>
      <c r="V53">
        <f t="shared" si="2"/>
        <v>0.38878540687581281</v>
      </c>
      <c r="W53">
        <f t="shared" si="3"/>
        <v>22.287061540651688</v>
      </c>
    </row>
    <row r="54" spans="2:23" x14ac:dyDescent="0.45">
      <c r="B54">
        <v>-5.3045829276604293</v>
      </c>
      <c r="C54">
        <v>0</v>
      </c>
      <c r="D54">
        <v>-5.5511150768909598E-2</v>
      </c>
      <c r="E54">
        <v>1.76299013879221</v>
      </c>
      <c r="F54">
        <v>3.0462949225501701E-12</v>
      </c>
      <c r="G54">
        <v>-6.3622189013744307E-2</v>
      </c>
      <c r="H54">
        <v>7.0848673421582502</v>
      </c>
      <c r="I54">
        <v>-0.710620581419799</v>
      </c>
      <c r="J54">
        <f t="shared" si="0"/>
        <v>0.33919007901132808</v>
      </c>
      <c r="K54">
        <f t="shared" si="1"/>
        <v>4</v>
      </c>
      <c r="L54" cm="1">
        <f t="array" ref="L54">SUMPRODUCT(N(B54:H54*C54:I54&lt;0))</f>
        <v>4</v>
      </c>
      <c r="O54">
        <v>0.14407348342470799</v>
      </c>
      <c r="P54">
        <v>0.71104184088785904</v>
      </c>
      <c r="Q54">
        <v>0.48032554539912498</v>
      </c>
      <c r="R54">
        <v>0.47754672564760797</v>
      </c>
      <c r="S54">
        <v>0.71535603637787204</v>
      </c>
      <c r="T54">
        <v>0.155212952520938</v>
      </c>
      <c r="U54">
        <v>3.7941263872579498E-2</v>
      </c>
      <c r="V54">
        <f t="shared" si="2"/>
        <v>0.38878540687581281</v>
      </c>
      <c r="W54">
        <f t="shared" si="3"/>
        <v>22.287061540651688</v>
      </c>
    </row>
    <row r="55" spans="2:23" x14ac:dyDescent="0.45">
      <c r="B55">
        <v>-5.3045829276604293</v>
      </c>
      <c r="C55">
        <v>0</v>
      </c>
      <c r="D55">
        <v>-5.5511150768909598E-2</v>
      </c>
      <c r="E55">
        <v>-3.5190413837266599</v>
      </c>
      <c r="F55">
        <v>-1.75778596836428</v>
      </c>
      <c r="G55">
        <v>-3.8911795651947499E-10</v>
      </c>
      <c r="H55">
        <v>2.79653954007231E-4</v>
      </c>
      <c r="I55">
        <v>-3.5209268652589603</v>
      </c>
      <c r="J55">
        <f t="shared" si="0"/>
        <v>-1.7696960802767938</v>
      </c>
      <c r="K55">
        <f t="shared" si="1"/>
        <v>2</v>
      </c>
      <c r="L55" cm="1">
        <f t="array" ref="L55">SUMPRODUCT(N(B55:H55*C55:I55&lt;0))</f>
        <v>2</v>
      </c>
      <c r="O55">
        <v>0.180824974347676</v>
      </c>
      <c r="P55">
        <v>0.86748132821930302</v>
      </c>
      <c r="Q55">
        <v>2.4900412368091701E-3</v>
      </c>
      <c r="R55">
        <v>0.87470119581085204</v>
      </c>
      <c r="S55">
        <v>0.19559633122085501</v>
      </c>
      <c r="T55">
        <v>5.0296076868244E-2</v>
      </c>
      <c r="U55">
        <v>1.35433278970914E-2</v>
      </c>
      <c r="V55">
        <f t="shared" si="2"/>
        <v>0.31213332508583297</v>
      </c>
      <c r="W55">
        <f t="shared" si="3"/>
        <v>17.892993157786602</v>
      </c>
    </row>
    <row r="56" spans="2:23" x14ac:dyDescent="0.45">
      <c r="B56">
        <v>-5.3045829276604293</v>
      </c>
      <c r="C56">
        <v>0</v>
      </c>
      <c r="D56">
        <v>-5.5511150768909598E-2</v>
      </c>
      <c r="E56">
        <v>-3.5190413837266599</v>
      </c>
      <c r="F56">
        <v>-9.2133511311535593E-11</v>
      </c>
      <c r="G56">
        <v>-3.5190413837266599</v>
      </c>
      <c r="H56">
        <v>-9.2133511311535593E-11</v>
      </c>
      <c r="I56">
        <v>-3.5190413837266599</v>
      </c>
      <c r="J56">
        <f t="shared" si="0"/>
        <v>-1.9896522787241984</v>
      </c>
      <c r="K56">
        <f t="shared" si="1"/>
        <v>1</v>
      </c>
      <c r="L56" cm="1">
        <f t="array" ref="L56">SUMPRODUCT(N(B56:H56*C56:I56&lt;0))</f>
        <v>0</v>
      </c>
      <c r="O56">
        <v>8.5803293755179602E-2</v>
      </c>
      <c r="P56">
        <v>0.73941899112135501</v>
      </c>
      <c r="Q56">
        <v>0.98005620865793097</v>
      </c>
      <c r="R56">
        <v>0.113036551261101</v>
      </c>
      <c r="S56">
        <v>0.92481862109227797</v>
      </c>
      <c r="T56">
        <v>0.185026561164092</v>
      </c>
      <c r="U56">
        <v>4.29848715280216E-2</v>
      </c>
      <c r="V56">
        <f t="shared" si="2"/>
        <v>0.43873501408285109</v>
      </c>
      <c r="W56">
        <f t="shared" si="3"/>
        <v>25.150414820036048</v>
      </c>
    </row>
    <row r="57" spans="2:23" x14ac:dyDescent="0.45">
      <c r="B57">
        <v>-5.3045829276604293</v>
      </c>
      <c r="C57">
        <v>0</v>
      </c>
      <c r="D57">
        <v>-5.5511150768909598E-2</v>
      </c>
      <c r="E57">
        <v>-3.5190413837266599</v>
      </c>
      <c r="F57">
        <v>-9.2133511311535593E-11</v>
      </c>
      <c r="G57">
        <v>-3.5190413837266599</v>
      </c>
      <c r="H57">
        <v>-1.75778596836428</v>
      </c>
      <c r="I57">
        <v>-3.8911795651947499E-10</v>
      </c>
      <c r="J57">
        <f t="shared" si="0"/>
        <v>-1.7694953518410237</v>
      </c>
      <c r="K57">
        <f t="shared" si="1"/>
        <v>1</v>
      </c>
      <c r="L57" cm="1">
        <f t="array" ref="L57">SUMPRODUCT(N(B57:H57*C57:I57&lt;0))</f>
        <v>0</v>
      </c>
      <c r="O57">
        <v>9.3617140350784694E-2</v>
      </c>
      <c r="P57">
        <v>0.71757999029508901</v>
      </c>
      <c r="Q57">
        <v>1.27923282985392</v>
      </c>
      <c r="R57">
        <v>0.58257170079957898</v>
      </c>
      <c r="S57">
        <v>0.52017872261321796</v>
      </c>
      <c r="T57">
        <v>0.72075042580772697</v>
      </c>
      <c r="U57">
        <v>0.14138991012315699</v>
      </c>
      <c r="V57">
        <f t="shared" si="2"/>
        <v>0.57933153140621063</v>
      </c>
      <c r="W57">
        <f t="shared" si="3"/>
        <v>33.210087787617169</v>
      </c>
    </row>
    <row r="58" spans="2:23" x14ac:dyDescent="0.45">
      <c r="B58">
        <v>-5.3045829276604293</v>
      </c>
      <c r="C58">
        <v>0</v>
      </c>
      <c r="D58">
        <v>-5.5511150768909598E-2</v>
      </c>
      <c r="E58">
        <v>1.76299013879221</v>
      </c>
      <c r="F58">
        <v>3.0462949225501701E-12</v>
      </c>
      <c r="G58">
        <v>-6.3622189013744307E-2</v>
      </c>
      <c r="H58">
        <v>7.0848673421582502</v>
      </c>
      <c r="I58">
        <v>-0.710620581419799</v>
      </c>
      <c r="J58">
        <f t="shared" si="0"/>
        <v>0.33919007901132808</v>
      </c>
      <c r="K58">
        <f t="shared" si="1"/>
        <v>4</v>
      </c>
      <c r="L58" cm="1">
        <f t="array" ref="L58">SUMPRODUCT(N(B58:H58*C58:I58&lt;0))</f>
        <v>4</v>
      </c>
      <c r="O58">
        <v>0.128235514785039</v>
      </c>
      <c r="P58">
        <v>0.63241174540204503</v>
      </c>
      <c r="Q58">
        <v>0.63873276949435098</v>
      </c>
      <c r="R58">
        <v>0.139908224311698</v>
      </c>
      <c r="S58">
        <v>3.78602506643229E-2</v>
      </c>
      <c r="T58">
        <v>1.1243549035521201E-2</v>
      </c>
      <c r="U58">
        <v>3.1671690761064298E-3</v>
      </c>
      <c r="V58">
        <f t="shared" si="2"/>
        <v>0.2273656032527262</v>
      </c>
      <c r="W58">
        <f t="shared" si="3"/>
        <v>13.033697001748635</v>
      </c>
    </row>
    <row r="59" spans="2:23" x14ac:dyDescent="0.45">
      <c r="B59">
        <v>-5.3045829276604293</v>
      </c>
      <c r="C59">
        <v>0</v>
      </c>
      <c r="D59">
        <v>-5.5511150768909598E-2</v>
      </c>
      <c r="E59">
        <v>-3.5190413837266599</v>
      </c>
      <c r="F59">
        <v>-1.75778596836428</v>
      </c>
      <c r="G59">
        <v>-3.8911795651947499E-10</v>
      </c>
      <c r="H59">
        <v>2.79653954007231E-4</v>
      </c>
      <c r="I59">
        <v>-3.5209268652589603</v>
      </c>
      <c r="J59">
        <f t="shared" si="0"/>
        <v>-1.7696960802767938</v>
      </c>
      <c r="K59">
        <f t="shared" si="1"/>
        <v>2</v>
      </c>
      <c r="L59" cm="1">
        <f t="array" ref="L59">SUMPRODUCT(N(B59:H59*C59:I59&lt;0))</f>
        <v>2</v>
      </c>
      <c r="O59">
        <v>0.11223265896194801</v>
      </c>
      <c r="P59">
        <v>0.86345898439875302</v>
      </c>
      <c r="Q59">
        <v>0.87762329281651996</v>
      </c>
      <c r="R59">
        <v>0.48769855545719998</v>
      </c>
      <c r="S59">
        <v>0.46838957977971402</v>
      </c>
      <c r="T59">
        <v>0.80750385413083903</v>
      </c>
      <c r="U59">
        <v>0.84880671119318096</v>
      </c>
      <c r="V59">
        <f t="shared" si="2"/>
        <v>0.63795909096259351</v>
      </c>
      <c r="W59">
        <f t="shared" si="3"/>
        <v>36.57090330358816</v>
      </c>
    </row>
    <row r="60" spans="2:23" x14ac:dyDescent="0.45">
      <c r="B60">
        <v>-5.3045829276604293</v>
      </c>
      <c r="C60">
        <v>0</v>
      </c>
      <c r="D60">
        <v>-5.5511150768909598E-2</v>
      </c>
      <c r="E60">
        <v>-3.5190413837266599</v>
      </c>
      <c r="F60">
        <v>-9.2133511311535593E-11</v>
      </c>
      <c r="G60">
        <v>-3.5190413837266599</v>
      </c>
      <c r="H60">
        <v>-1.75778596836428</v>
      </c>
      <c r="I60">
        <v>-3.8911795651947499E-10</v>
      </c>
      <c r="J60">
        <f t="shared" si="0"/>
        <v>-1.7694953518410237</v>
      </c>
      <c r="K60">
        <f t="shared" si="1"/>
        <v>1</v>
      </c>
      <c r="L60" cm="1">
        <f t="array" ref="L60">SUMPRODUCT(N(B60:H60*C60:I60&lt;0))</f>
        <v>0</v>
      </c>
      <c r="O60">
        <v>0.169927424490593</v>
      </c>
      <c r="P60">
        <v>0.93986071556557205</v>
      </c>
      <c r="Q60">
        <v>0.17956650900820301</v>
      </c>
      <c r="R60">
        <v>0.34706175666977102</v>
      </c>
      <c r="S60">
        <v>9.7058420692662697E-2</v>
      </c>
      <c r="T60">
        <v>0.66478382987267204</v>
      </c>
      <c r="U60">
        <v>0.64052031768167905</v>
      </c>
      <c r="V60">
        <f t="shared" si="2"/>
        <v>0.43411128199730759</v>
      </c>
      <c r="W60">
        <f t="shared" si="3"/>
        <v>24.885360114495338</v>
      </c>
    </row>
    <row r="61" spans="2:23" x14ac:dyDescent="0.45">
      <c r="B61">
        <v>-5.3045829276604293</v>
      </c>
      <c r="C61">
        <v>0</v>
      </c>
      <c r="D61">
        <v>-5.5511150768909598E-2</v>
      </c>
      <c r="E61">
        <v>1.76299013879221</v>
      </c>
      <c r="F61">
        <v>3.0462949225501701E-12</v>
      </c>
      <c r="G61">
        <v>-6.3622189013744307E-2</v>
      </c>
      <c r="H61">
        <v>7.0848673421582502</v>
      </c>
      <c r="I61">
        <v>-0.710620581419799</v>
      </c>
      <c r="J61">
        <f t="shared" si="0"/>
        <v>0.33919007901132808</v>
      </c>
      <c r="K61">
        <f t="shared" si="1"/>
        <v>4</v>
      </c>
      <c r="L61" cm="1">
        <f t="array" ref="L61">SUMPRODUCT(N(B61:H61*C61:I61&lt;0))</f>
        <v>4</v>
      </c>
      <c r="O61">
        <v>0.11223265896194801</v>
      </c>
      <c r="P61">
        <v>0.86345898439875302</v>
      </c>
      <c r="Q61">
        <v>0.87762329281651996</v>
      </c>
      <c r="R61">
        <v>0.48769855545719998</v>
      </c>
      <c r="S61">
        <v>0.46838957977971402</v>
      </c>
      <c r="T61">
        <v>0.80750385413083903</v>
      </c>
      <c r="U61">
        <v>0.84880671119318096</v>
      </c>
      <c r="V61">
        <f t="shared" si="2"/>
        <v>0.63795909096259351</v>
      </c>
      <c r="W61">
        <f t="shared" si="3"/>
        <v>36.57090330358816</v>
      </c>
    </row>
    <row r="62" spans="2:23" x14ac:dyDescent="0.45">
      <c r="B62">
        <v>-5.3045829276604293</v>
      </c>
      <c r="C62">
        <v>0</v>
      </c>
      <c r="D62">
        <v>-5.5511150768909598E-2</v>
      </c>
      <c r="E62">
        <v>-3.5190413837266599</v>
      </c>
      <c r="F62">
        <v>-9.2133511311535593E-11</v>
      </c>
      <c r="G62">
        <v>-3.5190413837266599</v>
      </c>
      <c r="H62">
        <v>-9.2133511311535593E-11</v>
      </c>
      <c r="I62">
        <v>-3.5190413837266599</v>
      </c>
      <c r="J62">
        <f t="shared" si="0"/>
        <v>-1.9896522787241984</v>
      </c>
      <c r="K62">
        <f t="shared" si="1"/>
        <v>1</v>
      </c>
      <c r="L62" cm="1">
        <f t="array" ref="L62">SUMPRODUCT(N(B62:H62*C62:I62&lt;0))</f>
        <v>0</v>
      </c>
      <c r="O62">
        <v>0.128235514785039</v>
      </c>
      <c r="P62">
        <v>0.63241174540204503</v>
      </c>
      <c r="Q62">
        <v>0.63873276949435098</v>
      </c>
      <c r="R62">
        <v>0.139908224311698</v>
      </c>
      <c r="S62">
        <v>3.78602506643229E-2</v>
      </c>
      <c r="T62">
        <v>1.1243549035521201E-2</v>
      </c>
      <c r="U62">
        <v>3.1671690761064298E-3</v>
      </c>
      <c r="V62">
        <f t="shared" si="2"/>
        <v>0.2273656032527262</v>
      </c>
      <c r="W62">
        <f t="shared" si="3"/>
        <v>13.033697001748635</v>
      </c>
    </row>
    <row r="63" spans="2:23" x14ac:dyDescent="0.45">
      <c r="B63">
        <v>-5.3045829276604293</v>
      </c>
      <c r="C63">
        <v>0</v>
      </c>
      <c r="D63">
        <v>-5.5511150768909598E-2</v>
      </c>
      <c r="E63">
        <v>-3.5190413837266599</v>
      </c>
      <c r="F63">
        <v>-1.75778596836428</v>
      </c>
      <c r="G63">
        <v>-3.8911795651947499E-10</v>
      </c>
      <c r="H63">
        <v>2.79653954007231E-4</v>
      </c>
      <c r="I63">
        <v>-3.5209268652589603</v>
      </c>
      <c r="J63">
        <f t="shared" si="0"/>
        <v>-1.7696960802767938</v>
      </c>
      <c r="K63">
        <f t="shared" si="1"/>
        <v>2</v>
      </c>
      <c r="L63" cm="1">
        <f t="array" ref="L63">SUMPRODUCT(N(B63:H63*C63:I63&lt;0))</f>
        <v>2</v>
      </c>
      <c r="O63">
        <v>0.14407348342470799</v>
      </c>
      <c r="P63">
        <v>0.71104184088785904</v>
      </c>
      <c r="Q63">
        <v>0.48032554539912498</v>
      </c>
      <c r="R63">
        <v>0.47754672564760797</v>
      </c>
      <c r="S63">
        <v>0.71535603637787204</v>
      </c>
      <c r="T63">
        <v>0.155212952520938</v>
      </c>
      <c r="U63">
        <v>3.7941263872579498E-2</v>
      </c>
      <c r="V63">
        <f t="shared" si="2"/>
        <v>0.38878540687581281</v>
      </c>
      <c r="W63">
        <f t="shared" si="3"/>
        <v>22.287061540651688</v>
      </c>
    </row>
    <row r="64" spans="2:23" x14ac:dyDescent="0.45">
      <c r="B64">
        <v>-5.3045829276604293</v>
      </c>
      <c r="C64">
        <v>0</v>
      </c>
      <c r="D64">
        <v>-5.5511150768909598E-2</v>
      </c>
      <c r="E64">
        <v>-3.5190413837266599</v>
      </c>
      <c r="F64">
        <v>-1.75778596836428</v>
      </c>
      <c r="G64">
        <v>-3.8911795651947499E-10</v>
      </c>
      <c r="H64">
        <v>2.79653954007231E-4</v>
      </c>
      <c r="I64">
        <v>-3.5209268652589603</v>
      </c>
      <c r="J64">
        <f t="shared" si="0"/>
        <v>-1.7696960802767938</v>
      </c>
      <c r="K64">
        <f t="shared" si="1"/>
        <v>2</v>
      </c>
      <c r="L64" cm="1">
        <f t="array" ref="L64">SUMPRODUCT(N(B64:H64*C64:I64&lt;0))</f>
        <v>2</v>
      </c>
      <c r="O64">
        <v>0.11007221605129</v>
      </c>
      <c r="P64">
        <v>0.861342672560925</v>
      </c>
      <c r="Q64">
        <v>0.82610332945772103</v>
      </c>
      <c r="R64">
        <v>0.39132692832034699</v>
      </c>
      <c r="S64">
        <v>0.123391783435569</v>
      </c>
      <c r="T64">
        <v>9.5301394241572909E-3</v>
      </c>
      <c r="U64">
        <v>7.5080637677359301E-3</v>
      </c>
      <c r="V64">
        <f t="shared" si="2"/>
        <v>0.33275359043110653</v>
      </c>
      <c r="W64">
        <f t="shared" si="3"/>
        <v>19.075046585222665</v>
      </c>
    </row>
    <row r="65" spans="2:23" x14ac:dyDescent="0.45">
      <c r="B65">
        <v>-5.3045829276604293</v>
      </c>
      <c r="C65">
        <v>0</v>
      </c>
      <c r="D65">
        <v>-5.5511150768909598E-2</v>
      </c>
      <c r="E65">
        <v>-3.5190413837266599</v>
      </c>
      <c r="F65">
        <v>-1.75778596836428</v>
      </c>
      <c r="G65">
        <v>-3.8911795651947499E-10</v>
      </c>
      <c r="H65">
        <v>2.79653954007231E-4</v>
      </c>
      <c r="I65">
        <v>-3.5209268652589603</v>
      </c>
      <c r="J65">
        <f t="shared" si="0"/>
        <v>-1.7696960802767938</v>
      </c>
      <c r="K65">
        <f t="shared" si="1"/>
        <v>2</v>
      </c>
      <c r="L65" cm="1">
        <f t="array" ref="L65">SUMPRODUCT(N(B65:H65*C65:I65&lt;0))</f>
        <v>2</v>
      </c>
      <c r="O65">
        <v>8.4612976001457299E-2</v>
      </c>
      <c r="P65">
        <v>0.74288762009577203</v>
      </c>
      <c r="Q65">
        <v>0.94137241062791399</v>
      </c>
      <c r="R65">
        <v>5.3661229936710901E-2</v>
      </c>
      <c r="S65">
        <v>0.72387776348571498</v>
      </c>
      <c r="T65">
        <v>0.44842693293570601</v>
      </c>
      <c r="U65">
        <v>0.69117868856005105</v>
      </c>
      <c r="V65">
        <f t="shared" si="2"/>
        <v>0.52657394594904661</v>
      </c>
      <c r="W65">
        <f t="shared" si="3"/>
        <v>30.185767602174646</v>
      </c>
    </row>
    <row r="66" spans="2:23" x14ac:dyDescent="0.45">
      <c r="B66">
        <v>-5.3045829276604293</v>
      </c>
      <c r="C66">
        <v>0</v>
      </c>
      <c r="D66">
        <v>-5.5511150768909598E-2</v>
      </c>
      <c r="E66">
        <v>1.76299013879221</v>
      </c>
      <c r="F66">
        <v>3.0462949225501701E-12</v>
      </c>
      <c r="G66">
        <v>-6.3622189013744307E-2</v>
      </c>
      <c r="H66">
        <v>7.0848673421582502</v>
      </c>
      <c r="I66">
        <v>-0.710620581419799</v>
      </c>
      <c r="J66">
        <f t="shared" si="0"/>
        <v>0.33919007901132808</v>
      </c>
      <c r="K66">
        <f t="shared" si="1"/>
        <v>4</v>
      </c>
      <c r="L66" cm="1">
        <f t="array" ref="L66">SUMPRODUCT(N(B66:H66*C66:I66&lt;0))</f>
        <v>4</v>
      </c>
      <c r="O66">
        <v>0.14407348342470799</v>
      </c>
      <c r="P66">
        <v>0.71104184088785904</v>
      </c>
      <c r="Q66">
        <v>0.48032554539912498</v>
      </c>
      <c r="R66">
        <v>0.47754672564760797</v>
      </c>
      <c r="S66">
        <v>0.71535603637787204</v>
      </c>
      <c r="T66">
        <v>0.155212952520938</v>
      </c>
      <c r="U66">
        <v>3.7941263872579498E-2</v>
      </c>
      <c r="V66">
        <f t="shared" si="2"/>
        <v>0.38878540687581281</v>
      </c>
      <c r="W66">
        <f t="shared" si="3"/>
        <v>22.287061540651688</v>
      </c>
    </row>
    <row r="67" spans="2:23" x14ac:dyDescent="0.45">
      <c r="B67">
        <v>-5.3045829276604293</v>
      </c>
      <c r="C67">
        <v>0</v>
      </c>
      <c r="D67">
        <v>-5.5511150768909598E-2</v>
      </c>
      <c r="E67">
        <v>-3.5190413837266599</v>
      </c>
      <c r="F67">
        <v>-1.75778596836428</v>
      </c>
      <c r="G67">
        <v>-3.8911795651947499E-10</v>
      </c>
      <c r="H67">
        <v>2.79653954007231E-4</v>
      </c>
      <c r="I67">
        <v>-3.5209268652589603</v>
      </c>
      <c r="J67">
        <f t="shared" ref="J67:J101" si="4">AVERAGE(B67:I67)</f>
        <v>-1.7696960802767938</v>
      </c>
      <c r="K67">
        <f t="shared" ref="K67:K101" si="5">COUNTIF(B67:I67,"&gt;=0")</f>
        <v>2</v>
      </c>
      <c r="L67" cm="1">
        <f t="array" ref="L67">SUMPRODUCT(N(B67:H67*C67:I67&lt;0))</f>
        <v>2</v>
      </c>
      <c r="O67">
        <v>0.14407348342470799</v>
      </c>
      <c r="P67">
        <v>0.71104184088785904</v>
      </c>
      <c r="Q67">
        <v>0.48032554539912498</v>
      </c>
      <c r="R67">
        <v>0.47754672564760797</v>
      </c>
      <c r="S67">
        <v>0.71535603637787204</v>
      </c>
      <c r="T67">
        <v>0.155212952520938</v>
      </c>
      <c r="U67">
        <v>3.7941263872579498E-2</v>
      </c>
      <c r="V67">
        <f t="shared" ref="V67:V101" si="6">AVERAGE(O67:U67)</f>
        <v>0.38878540687581281</v>
      </c>
      <c r="W67">
        <f t="shared" ref="W67:W101" si="7">V67*360/(3.14*2)</f>
        <v>22.287061540651688</v>
      </c>
    </row>
    <row r="68" spans="2:23" x14ac:dyDescent="0.45">
      <c r="B68">
        <v>-5.3045829276604293</v>
      </c>
      <c r="C68">
        <v>0</v>
      </c>
      <c r="D68">
        <v>-5.5511150768909598E-2</v>
      </c>
      <c r="E68">
        <v>1.76299013879221</v>
      </c>
      <c r="F68">
        <v>3.0462949225501701E-12</v>
      </c>
      <c r="G68">
        <v>-6.3622189013744307E-2</v>
      </c>
      <c r="H68">
        <v>7.0848673421582502</v>
      </c>
      <c r="I68">
        <v>-0.710620581419799</v>
      </c>
      <c r="J68">
        <f t="shared" si="4"/>
        <v>0.33919007901132808</v>
      </c>
      <c r="K68">
        <f t="shared" si="5"/>
        <v>4</v>
      </c>
      <c r="L68" cm="1">
        <f t="array" ref="L68">SUMPRODUCT(N(B68:H68*C68:I68&lt;0))</f>
        <v>4</v>
      </c>
      <c r="O68">
        <v>9.3617140350784694E-2</v>
      </c>
      <c r="P68">
        <v>0.71757999029508901</v>
      </c>
      <c r="Q68">
        <v>1.27923282985392</v>
      </c>
      <c r="R68">
        <v>0.58257170079957898</v>
      </c>
      <c r="S68">
        <v>0.52017872261321796</v>
      </c>
      <c r="T68">
        <v>0.72075042580772697</v>
      </c>
      <c r="U68">
        <v>0.14138991012315699</v>
      </c>
      <c r="V68">
        <f t="shared" si="6"/>
        <v>0.57933153140621063</v>
      </c>
      <c r="W68">
        <f t="shared" si="7"/>
        <v>33.210087787617169</v>
      </c>
    </row>
    <row r="69" spans="2:23" x14ac:dyDescent="0.45">
      <c r="B69">
        <v>-5.3045829276604293</v>
      </c>
      <c r="C69">
        <v>0</v>
      </c>
      <c r="D69">
        <v>-5.5511150768909598E-2</v>
      </c>
      <c r="E69">
        <v>1.76299013879221</v>
      </c>
      <c r="F69">
        <v>3.0462949225501701E-12</v>
      </c>
      <c r="G69">
        <v>-6.3622189013744307E-2</v>
      </c>
      <c r="H69">
        <v>7.0848673421582502</v>
      </c>
      <c r="I69">
        <v>-0.710620581419799</v>
      </c>
      <c r="J69">
        <f t="shared" si="4"/>
        <v>0.33919007901132808</v>
      </c>
      <c r="K69">
        <f t="shared" si="5"/>
        <v>4</v>
      </c>
      <c r="L69" cm="1">
        <f t="array" ref="L69">SUMPRODUCT(N(B69:H69*C69:I69&lt;0))</f>
        <v>4</v>
      </c>
      <c r="O69">
        <v>0.14407348342470799</v>
      </c>
      <c r="P69">
        <v>0.71104184088785904</v>
      </c>
      <c r="Q69">
        <v>0.48032554539912498</v>
      </c>
      <c r="R69">
        <v>0.47754672564760797</v>
      </c>
      <c r="S69">
        <v>0.71535603637787204</v>
      </c>
      <c r="T69">
        <v>0.155212952520938</v>
      </c>
      <c r="U69">
        <v>3.7941263872579498E-2</v>
      </c>
      <c r="V69">
        <f t="shared" si="6"/>
        <v>0.38878540687581281</v>
      </c>
      <c r="W69">
        <f t="shared" si="7"/>
        <v>22.287061540651688</v>
      </c>
    </row>
    <row r="70" spans="2:23" x14ac:dyDescent="0.45">
      <c r="B70">
        <v>-5.3045829276604293</v>
      </c>
      <c r="C70">
        <v>0</v>
      </c>
      <c r="D70">
        <v>-5.5511150768909598E-2</v>
      </c>
      <c r="E70">
        <v>-3.5190413837266599</v>
      </c>
      <c r="F70">
        <v>-1.75778596836428</v>
      </c>
      <c r="G70">
        <v>-3.8911795651947499E-10</v>
      </c>
      <c r="H70">
        <v>2.79653954007231E-4</v>
      </c>
      <c r="I70">
        <v>-3.5209268652589603</v>
      </c>
      <c r="J70">
        <f t="shared" si="4"/>
        <v>-1.7696960802767938</v>
      </c>
      <c r="K70">
        <f t="shared" si="5"/>
        <v>2</v>
      </c>
      <c r="L70" cm="1">
        <f t="array" ref="L70">SUMPRODUCT(N(B70:H70*C70:I70&lt;0))</f>
        <v>2</v>
      </c>
      <c r="O70">
        <v>0.128235514785039</v>
      </c>
      <c r="P70">
        <v>0.63241174540204503</v>
      </c>
      <c r="Q70">
        <v>0.63873276949435098</v>
      </c>
      <c r="R70">
        <v>0.139908224311698</v>
      </c>
      <c r="S70">
        <v>3.78602506643229E-2</v>
      </c>
      <c r="T70">
        <v>1.1243549035521201E-2</v>
      </c>
      <c r="U70">
        <v>3.1671690761064298E-3</v>
      </c>
      <c r="V70">
        <f t="shared" si="6"/>
        <v>0.2273656032527262</v>
      </c>
      <c r="W70">
        <f t="shared" si="7"/>
        <v>13.033697001748635</v>
      </c>
    </row>
    <row r="71" spans="2:23" x14ac:dyDescent="0.45">
      <c r="B71">
        <v>-5.3045829276604293</v>
      </c>
      <c r="C71">
        <v>0</v>
      </c>
      <c r="D71">
        <v>-5.5511150768909598E-2</v>
      </c>
      <c r="E71">
        <v>1.76299013879221</v>
      </c>
      <c r="F71">
        <v>3.0462949225501701E-12</v>
      </c>
      <c r="G71">
        <v>-6.3622189013744307E-2</v>
      </c>
      <c r="H71">
        <v>7.0848673421582502</v>
      </c>
      <c r="I71">
        <v>-0.710620581419799</v>
      </c>
      <c r="J71">
        <f t="shared" si="4"/>
        <v>0.33919007901132808</v>
      </c>
      <c r="K71">
        <f t="shared" si="5"/>
        <v>4</v>
      </c>
      <c r="L71" cm="1">
        <f t="array" ref="L71">SUMPRODUCT(N(B71:H71*C71:I71&lt;0))</f>
        <v>4</v>
      </c>
      <c r="O71">
        <v>0.128235514785039</v>
      </c>
      <c r="P71">
        <v>0.63241174540204503</v>
      </c>
      <c r="Q71">
        <v>0.63873276949435098</v>
      </c>
      <c r="R71">
        <v>0.139908224311698</v>
      </c>
      <c r="S71">
        <v>3.78602506643229E-2</v>
      </c>
      <c r="T71">
        <v>1.1243549035521201E-2</v>
      </c>
      <c r="U71">
        <v>3.1671690761064298E-3</v>
      </c>
      <c r="V71">
        <f t="shared" si="6"/>
        <v>0.2273656032527262</v>
      </c>
      <c r="W71">
        <f t="shared" si="7"/>
        <v>13.033697001748635</v>
      </c>
    </row>
    <row r="72" spans="2:23" x14ac:dyDescent="0.45">
      <c r="B72">
        <v>-5.3045829276604293</v>
      </c>
      <c r="C72">
        <v>0</v>
      </c>
      <c r="D72">
        <v>-5.5511150768909598E-2</v>
      </c>
      <c r="E72">
        <v>1.76299013879221</v>
      </c>
      <c r="F72">
        <v>3.0462949225501701E-12</v>
      </c>
      <c r="G72">
        <v>-6.3622189013744307E-2</v>
      </c>
      <c r="H72">
        <v>7.0848673421582502</v>
      </c>
      <c r="I72">
        <v>-0.710620581419799</v>
      </c>
      <c r="J72">
        <f t="shared" si="4"/>
        <v>0.33919007901132808</v>
      </c>
      <c r="K72">
        <f t="shared" si="5"/>
        <v>4</v>
      </c>
      <c r="L72" cm="1">
        <f t="array" ref="L72">SUMPRODUCT(N(B72:H72*C72:I72&lt;0))</f>
        <v>4</v>
      </c>
      <c r="O72">
        <v>0.14407348342470799</v>
      </c>
      <c r="P72">
        <v>0.71104184088785904</v>
      </c>
      <c r="Q72">
        <v>0.48032554539912498</v>
      </c>
      <c r="R72">
        <v>0.47754672564760797</v>
      </c>
      <c r="S72">
        <v>0.71535603637787204</v>
      </c>
      <c r="T72">
        <v>0.155212952520938</v>
      </c>
      <c r="U72">
        <v>3.7941263872579498E-2</v>
      </c>
      <c r="V72">
        <f t="shared" si="6"/>
        <v>0.38878540687581281</v>
      </c>
      <c r="W72">
        <f t="shared" si="7"/>
        <v>22.287061540651688</v>
      </c>
    </row>
    <row r="73" spans="2:23" x14ac:dyDescent="0.45">
      <c r="B73">
        <v>-5.3045829276604293</v>
      </c>
      <c r="C73">
        <v>0</v>
      </c>
      <c r="D73">
        <v>-5.5511150768909598E-2</v>
      </c>
      <c r="E73">
        <v>-3.5190413837266599</v>
      </c>
      <c r="F73">
        <v>-9.2133511311535593E-11</v>
      </c>
      <c r="G73">
        <v>-3.5190413837266599</v>
      </c>
      <c r="H73">
        <v>-1.75778596836428</v>
      </c>
      <c r="I73">
        <v>-3.8911795651947499E-10</v>
      </c>
      <c r="J73">
        <f t="shared" si="4"/>
        <v>-1.7694953518410237</v>
      </c>
      <c r="K73">
        <f t="shared" si="5"/>
        <v>1</v>
      </c>
      <c r="L73" cm="1">
        <f t="array" ref="L73">SUMPRODUCT(N(B73:H73*C73:I73&lt;0))</f>
        <v>0</v>
      </c>
      <c r="O73">
        <v>0.17857397463335201</v>
      </c>
      <c r="P73">
        <v>0.94161191039233505</v>
      </c>
      <c r="Q73">
        <v>0.18929621538432101</v>
      </c>
      <c r="R73">
        <v>0.76899990574864996</v>
      </c>
      <c r="S73">
        <v>1.11946296773704</v>
      </c>
      <c r="T73">
        <v>0.87178623855368798</v>
      </c>
      <c r="U73">
        <v>0.119295175775689</v>
      </c>
      <c r="V73">
        <f t="shared" si="6"/>
        <v>0.59843234117501076</v>
      </c>
      <c r="W73">
        <f t="shared" si="7"/>
        <v>34.305038666083419</v>
      </c>
    </row>
    <row r="74" spans="2:23" x14ac:dyDescent="0.45">
      <c r="B74">
        <v>-5.3045829276604293</v>
      </c>
      <c r="C74">
        <v>0</v>
      </c>
      <c r="D74">
        <v>-5.5511150768909598E-2</v>
      </c>
      <c r="E74">
        <v>-3.5190413837266599</v>
      </c>
      <c r="F74">
        <v>-9.2133511311535593E-11</v>
      </c>
      <c r="G74">
        <v>-3.5190413837266599</v>
      </c>
      <c r="H74">
        <v>-1.75778596836428</v>
      </c>
      <c r="I74">
        <v>-3.8911795651947499E-10</v>
      </c>
      <c r="J74">
        <f t="shared" si="4"/>
        <v>-1.7694953518410237</v>
      </c>
      <c r="K74">
        <f t="shared" si="5"/>
        <v>1</v>
      </c>
      <c r="L74" cm="1">
        <f t="array" ref="L74">SUMPRODUCT(N(B74:H74*C74:I74&lt;0))</f>
        <v>0</v>
      </c>
      <c r="O74">
        <v>0.17857397463335201</v>
      </c>
      <c r="P74">
        <v>0.94161191039233505</v>
      </c>
      <c r="Q74">
        <v>0.18929621538432101</v>
      </c>
      <c r="R74">
        <v>0.76899990574864996</v>
      </c>
      <c r="S74">
        <v>1.11946296773704</v>
      </c>
      <c r="T74">
        <v>0.87178623855368798</v>
      </c>
      <c r="U74">
        <v>0.119295175775689</v>
      </c>
      <c r="V74">
        <f t="shared" si="6"/>
        <v>0.59843234117501076</v>
      </c>
      <c r="W74">
        <f t="shared" si="7"/>
        <v>34.305038666083419</v>
      </c>
    </row>
    <row r="75" spans="2:23" x14ac:dyDescent="0.45">
      <c r="B75">
        <v>-5.3045829276604293</v>
      </c>
      <c r="C75">
        <v>0</v>
      </c>
      <c r="D75">
        <v>-5.5511150768909598E-2</v>
      </c>
      <c r="E75">
        <v>1.76299013879221</v>
      </c>
      <c r="F75">
        <v>3.0462949225501701E-12</v>
      </c>
      <c r="G75">
        <v>-6.3622189013744307E-2</v>
      </c>
      <c r="H75">
        <v>7.0848673421582502</v>
      </c>
      <c r="I75">
        <v>-0.710620581419799</v>
      </c>
      <c r="J75">
        <f t="shared" si="4"/>
        <v>0.33919007901132808</v>
      </c>
      <c r="K75">
        <f t="shared" si="5"/>
        <v>4</v>
      </c>
      <c r="L75" cm="1">
        <f t="array" ref="L75">SUMPRODUCT(N(B75:H75*C75:I75&lt;0))</f>
        <v>4</v>
      </c>
      <c r="O75">
        <v>0.14407348342470799</v>
      </c>
      <c r="P75">
        <v>0.71104184088785904</v>
      </c>
      <c r="Q75">
        <v>0.48032554539912498</v>
      </c>
      <c r="R75">
        <v>0.47754672564760797</v>
      </c>
      <c r="S75">
        <v>0.71535603637787204</v>
      </c>
      <c r="T75">
        <v>0.155212952520938</v>
      </c>
      <c r="U75">
        <v>3.7941263872579498E-2</v>
      </c>
      <c r="V75">
        <f t="shared" si="6"/>
        <v>0.38878540687581281</v>
      </c>
      <c r="W75">
        <f t="shared" si="7"/>
        <v>22.287061540651688</v>
      </c>
    </row>
    <row r="76" spans="2:23" x14ac:dyDescent="0.45">
      <c r="B76">
        <v>-5.3045829276604293</v>
      </c>
      <c r="C76">
        <v>0</v>
      </c>
      <c r="D76">
        <v>-5.5511150768909598E-2</v>
      </c>
      <c r="E76">
        <v>1.76299013879221</v>
      </c>
      <c r="F76">
        <v>3.0462949225501701E-12</v>
      </c>
      <c r="G76">
        <v>-6.3622189013744307E-2</v>
      </c>
      <c r="H76">
        <v>7.0848673421582502</v>
      </c>
      <c r="I76">
        <v>-0.710620581419799</v>
      </c>
      <c r="J76">
        <f t="shared" si="4"/>
        <v>0.33919007901132808</v>
      </c>
      <c r="K76">
        <f t="shared" si="5"/>
        <v>4</v>
      </c>
      <c r="L76" cm="1">
        <f t="array" ref="L76">SUMPRODUCT(N(B76:H76*C76:I76&lt;0))</f>
        <v>4</v>
      </c>
      <c r="O76">
        <v>0.14407348342470799</v>
      </c>
      <c r="P76">
        <v>0.71104184088785904</v>
      </c>
      <c r="Q76">
        <v>0.48032554539912498</v>
      </c>
      <c r="R76">
        <v>0.47754672564760797</v>
      </c>
      <c r="S76">
        <v>0.71535603637787204</v>
      </c>
      <c r="T76">
        <v>0.155212952520938</v>
      </c>
      <c r="U76">
        <v>3.7941263872579498E-2</v>
      </c>
      <c r="V76">
        <f t="shared" si="6"/>
        <v>0.38878540687581281</v>
      </c>
      <c r="W76">
        <f t="shared" si="7"/>
        <v>22.287061540651688</v>
      </c>
    </row>
    <row r="77" spans="2:23" x14ac:dyDescent="0.45">
      <c r="B77">
        <v>-5.3045829276604293</v>
      </c>
      <c r="C77">
        <v>0</v>
      </c>
      <c r="D77">
        <v>-5.5511150768909598E-2</v>
      </c>
      <c r="E77">
        <v>-3.5190413837266599</v>
      </c>
      <c r="F77">
        <v>-1.75778596836428</v>
      </c>
      <c r="G77">
        <v>-3.8911795651947499E-10</v>
      </c>
      <c r="H77">
        <v>2.79653954007231E-4</v>
      </c>
      <c r="I77">
        <v>-3.5209268652589603</v>
      </c>
      <c r="J77">
        <f t="shared" si="4"/>
        <v>-1.7696960802767938</v>
      </c>
      <c r="K77">
        <f t="shared" si="5"/>
        <v>2</v>
      </c>
      <c r="L77" cm="1">
        <f t="array" ref="L77">SUMPRODUCT(N(B77:H77*C77:I77&lt;0))</f>
        <v>2</v>
      </c>
      <c r="O77">
        <v>0.180824974347676</v>
      </c>
      <c r="P77">
        <v>0.86748132821930302</v>
      </c>
      <c r="Q77">
        <v>2.4900412368091701E-3</v>
      </c>
      <c r="R77">
        <v>0.87470119581085204</v>
      </c>
      <c r="S77">
        <v>0.19559633122085501</v>
      </c>
      <c r="T77">
        <v>5.0296076868244E-2</v>
      </c>
      <c r="U77">
        <v>1.35433278970914E-2</v>
      </c>
      <c r="V77">
        <f t="shared" si="6"/>
        <v>0.31213332508583297</v>
      </c>
      <c r="W77">
        <f t="shared" si="7"/>
        <v>17.892993157786602</v>
      </c>
    </row>
    <row r="78" spans="2:23" x14ac:dyDescent="0.45">
      <c r="B78">
        <v>-5.3045829276604293</v>
      </c>
      <c r="C78">
        <v>0</v>
      </c>
      <c r="D78">
        <v>-5.5511150768909598E-2</v>
      </c>
      <c r="E78">
        <v>1.76299013879221</v>
      </c>
      <c r="F78">
        <v>3.0462949225501701E-12</v>
      </c>
      <c r="G78">
        <v>-6.3622189013744307E-2</v>
      </c>
      <c r="H78">
        <v>7.0848673421582502</v>
      </c>
      <c r="I78">
        <v>-0.710620581419799</v>
      </c>
      <c r="J78">
        <f t="shared" si="4"/>
        <v>0.33919007901132808</v>
      </c>
      <c r="K78">
        <f t="shared" si="5"/>
        <v>4</v>
      </c>
      <c r="L78" cm="1">
        <f t="array" ref="L78">SUMPRODUCT(N(B78:H78*C78:I78&lt;0))</f>
        <v>4</v>
      </c>
      <c r="O78">
        <v>0.14407348342470799</v>
      </c>
      <c r="P78">
        <v>0.71104184088785904</v>
      </c>
      <c r="Q78">
        <v>0.48032554539912498</v>
      </c>
      <c r="R78">
        <v>0.47754672564760797</v>
      </c>
      <c r="S78">
        <v>0.71535603637787204</v>
      </c>
      <c r="T78">
        <v>0.155212952520938</v>
      </c>
      <c r="U78">
        <v>3.7941263872579498E-2</v>
      </c>
      <c r="V78">
        <f t="shared" si="6"/>
        <v>0.38878540687581281</v>
      </c>
      <c r="W78">
        <f t="shared" si="7"/>
        <v>22.287061540651688</v>
      </c>
    </row>
    <row r="79" spans="2:23" x14ac:dyDescent="0.45">
      <c r="B79">
        <v>-5.3045829276604293</v>
      </c>
      <c r="C79">
        <v>0</v>
      </c>
      <c r="D79">
        <v>-5.5511150768909598E-2</v>
      </c>
      <c r="E79">
        <v>1.76299013879221</v>
      </c>
      <c r="F79">
        <v>3.0462949225501701E-12</v>
      </c>
      <c r="G79">
        <v>-6.3622189013744307E-2</v>
      </c>
      <c r="H79">
        <v>7.0848673421582502</v>
      </c>
      <c r="I79">
        <v>-0.710620581419799</v>
      </c>
      <c r="J79">
        <f t="shared" si="4"/>
        <v>0.33919007901132808</v>
      </c>
      <c r="K79">
        <f t="shared" si="5"/>
        <v>4</v>
      </c>
      <c r="L79" cm="1">
        <f t="array" ref="L79">SUMPRODUCT(N(B79:H79*C79:I79&lt;0))</f>
        <v>4</v>
      </c>
      <c r="O79">
        <v>0.14407348342470799</v>
      </c>
      <c r="P79">
        <v>0.71104184088785904</v>
      </c>
      <c r="Q79">
        <v>0.48032554539912498</v>
      </c>
      <c r="R79">
        <v>0.47754672564760797</v>
      </c>
      <c r="S79">
        <v>0.71535603637787204</v>
      </c>
      <c r="T79">
        <v>0.155212952520938</v>
      </c>
      <c r="U79">
        <v>3.7941263872579498E-2</v>
      </c>
      <c r="V79">
        <f t="shared" si="6"/>
        <v>0.38878540687581281</v>
      </c>
      <c r="W79">
        <f t="shared" si="7"/>
        <v>22.287061540651688</v>
      </c>
    </row>
    <row r="80" spans="2:23" x14ac:dyDescent="0.45">
      <c r="B80">
        <v>-5.3045829276604293</v>
      </c>
      <c r="C80">
        <v>0</v>
      </c>
      <c r="D80">
        <v>-5.5511150768909598E-2</v>
      </c>
      <c r="E80">
        <v>1.76299013879221</v>
      </c>
      <c r="F80">
        <v>3.0462949225501701E-12</v>
      </c>
      <c r="G80">
        <v>-6.3622189013744307E-2</v>
      </c>
      <c r="H80">
        <v>7.0848673421582502</v>
      </c>
      <c r="I80">
        <v>-0.710620581419799</v>
      </c>
      <c r="J80">
        <f t="shared" si="4"/>
        <v>0.33919007901132808</v>
      </c>
      <c r="K80">
        <f t="shared" si="5"/>
        <v>4</v>
      </c>
      <c r="L80" cm="1">
        <f t="array" ref="L80">SUMPRODUCT(N(B80:H80*C80:I80&lt;0))</f>
        <v>4</v>
      </c>
      <c r="O80">
        <v>0.14407348342470799</v>
      </c>
      <c r="P80">
        <v>0.71104184088785904</v>
      </c>
      <c r="Q80">
        <v>0.48032554539912498</v>
      </c>
      <c r="R80">
        <v>0.47754672564760797</v>
      </c>
      <c r="S80">
        <v>0.71535603637787204</v>
      </c>
      <c r="T80">
        <v>0.155212952520938</v>
      </c>
      <c r="U80">
        <v>3.7941263872579498E-2</v>
      </c>
      <c r="V80">
        <f t="shared" si="6"/>
        <v>0.38878540687581281</v>
      </c>
      <c r="W80">
        <f t="shared" si="7"/>
        <v>22.287061540651688</v>
      </c>
    </row>
    <row r="81" spans="2:23" x14ac:dyDescent="0.45">
      <c r="B81">
        <v>-5.3045829276604293</v>
      </c>
      <c r="C81">
        <v>0</v>
      </c>
      <c r="D81">
        <v>-5.5511150768909598E-2</v>
      </c>
      <c r="E81">
        <v>-3.5190413837266599</v>
      </c>
      <c r="F81">
        <v>-1.75778596836428</v>
      </c>
      <c r="G81">
        <v>-3.8911795651947499E-10</v>
      </c>
      <c r="H81">
        <v>2.79653954007231E-4</v>
      </c>
      <c r="I81">
        <v>-3.5209268652589603</v>
      </c>
      <c r="J81">
        <f t="shared" si="4"/>
        <v>-1.7696960802767938</v>
      </c>
      <c r="K81">
        <f t="shared" si="5"/>
        <v>2</v>
      </c>
      <c r="L81" cm="1">
        <f t="array" ref="L81">SUMPRODUCT(N(B81:H81*C81:I81&lt;0))</f>
        <v>2</v>
      </c>
      <c r="O81">
        <v>0.180824974347676</v>
      </c>
      <c r="P81">
        <v>0.86748132821930302</v>
      </c>
      <c r="Q81">
        <v>2.4900412368091701E-3</v>
      </c>
      <c r="R81">
        <v>0.87470119581085204</v>
      </c>
      <c r="S81">
        <v>0.19559633122085501</v>
      </c>
      <c r="T81">
        <v>5.0296076868244E-2</v>
      </c>
      <c r="U81">
        <v>1.35433278970914E-2</v>
      </c>
      <c r="V81">
        <f t="shared" si="6"/>
        <v>0.31213332508583297</v>
      </c>
      <c r="W81">
        <f t="shared" si="7"/>
        <v>17.892993157786602</v>
      </c>
    </row>
    <row r="82" spans="2:23" x14ac:dyDescent="0.45">
      <c r="B82">
        <v>-5.3045829276604293</v>
      </c>
      <c r="C82">
        <v>0</v>
      </c>
      <c r="D82">
        <v>-5.5511150768909598E-2</v>
      </c>
      <c r="E82">
        <v>-3.5190413837266599</v>
      </c>
      <c r="F82">
        <v>-1.75778596836428</v>
      </c>
      <c r="G82">
        <v>-3.8911795651947499E-10</v>
      </c>
      <c r="H82">
        <v>2.79653954007231E-4</v>
      </c>
      <c r="I82">
        <v>-3.5209268652589603</v>
      </c>
      <c r="J82">
        <f t="shared" si="4"/>
        <v>-1.7696960802767938</v>
      </c>
      <c r="K82">
        <f t="shared" si="5"/>
        <v>2</v>
      </c>
      <c r="L82" cm="1">
        <f t="array" ref="L82">SUMPRODUCT(N(B82:H82*C82:I82&lt;0))</f>
        <v>2</v>
      </c>
      <c r="O82">
        <v>0.180824974347676</v>
      </c>
      <c r="P82">
        <v>0.86748132821930302</v>
      </c>
      <c r="Q82">
        <v>2.4900412368091701E-3</v>
      </c>
      <c r="R82">
        <v>0.87470119581085204</v>
      </c>
      <c r="S82">
        <v>0.19559633122085501</v>
      </c>
      <c r="T82">
        <v>5.0296076868244E-2</v>
      </c>
      <c r="U82">
        <v>1.35433278970914E-2</v>
      </c>
      <c r="V82">
        <f t="shared" si="6"/>
        <v>0.31213332508583297</v>
      </c>
      <c r="W82">
        <f t="shared" si="7"/>
        <v>17.892993157786602</v>
      </c>
    </row>
    <row r="83" spans="2:23" x14ac:dyDescent="0.45">
      <c r="B83">
        <v>-5.3045829276604293</v>
      </c>
      <c r="C83">
        <v>0</v>
      </c>
      <c r="D83">
        <v>-5.5511150768909598E-2</v>
      </c>
      <c r="E83">
        <v>-3.5190413837266599</v>
      </c>
      <c r="F83">
        <v>-9.2133511311535593E-11</v>
      </c>
      <c r="G83">
        <v>-3.5190413837266599</v>
      </c>
      <c r="H83">
        <v>-1.75778596836428</v>
      </c>
      <c r="I83">
        <v>-3.8911795651947499E-10</v>
      </c>
      <c r="J83">
        <f t="shared" si="4"/>
        <v>-1.7694953518410237</v>
      </c>
      <c r="K83">
        <f t="shared" si="5"/>
        <v>1</v>
      </c>
      <c r="L83" cm="1">
        <f t="array" ref="L83">SUMPRODUCT(N(B83:H83*C83:I83&lt;0))</f>
        <v>0</v>
      </c>
      <c r="O83">
        <v>0.17857397463335201</v>
      </c>
      <c r="P83">
        <v>0.94161191039233505</v>
      </c>
      <c r="Q83">
        <v>0.18929621538432101</v>
      </c>
      <c r="R83">
        <v>0.76899990574864996</v>
      </c>
      <c r="S83">
        <v>1.11946296773704</v>
      </c>
      <c r="T83">
        <v>0.87178623855368798</v>
      </c>
      <c r="U83">
        <v>0.119295175775689</v>
      </c>
      <c r="V83">
        <f t="shared" si="6"/>
        <v>0.59843234117501076</v>
      </c>
      <c r="W83">
        <f t="shared" si="7"/>
        <v>34.305038666083419</v>
      </c>
    </row>
    <row r="84" spans="2:23" x14ac:dyDescent="0.45">
      <c r="B84">
        <v>-5.3045829276604293</v>
      </c>
      <c r="C84">
        <v>0</v>
      </c>
      <c r="D84">
        <v>-5.5511150768909598E-2</v>
      </c>
      <c r="E84">
        <v>1.76299013879221</v>
      </c>
      <c r="F84">
        <v>3.0462949225501701E-12</v>
      </c>
      <c r="G84">
        <v>-6.3622189013744307E-2</v>
      </c>
      <c r="H84">
        <v>7.0848673421582502</v>
      </c>
      <c r="I84">
        <v>-0.710620581419799</v>
      </c>
      <c r="J84">
        <f t="shared" si="4"/>
        <v>0.33919007901132808</v>
      </c>
      <c r="K84">
        <f t="shared" si="5"/>
        <v>4</v>
      </c>
      <c r="L84" cm="1">
        <f t="array" ref="L84">SUMPRODUCT(N(B84:H84*C84:I84&lt;0))</f>
        <v>4</v>
      </c>
      <c r="O84">
        <v>0.14407348342470799</v>
      </c>
      <c r="P84">
        <v>0.71104184088785904</v>
      </c>
      <c r="Q84">
        <v>0.48032554539912498</v>
      </c>
      <c r="R84">
        <v>0.47754672564760797</v>
      </c>
      <c r="S84">
        <v>0.71535603637787204</v>
      </c>
      <c r="T84">
        <v>0.155212952520938</v>
      </c>
      <c r="U84">
        <v>3.7941263872579498E-2</v>
      </c>
      <c r="V84">
        <f t="shared" si="6"/>
        <v>0.38878540687581281</v>
      </c>
      <c r="W84">
        <f t="shared" si="7"/>
        <v>22.287061540651688</v>
      </c>
    </row>
    <row r="85" spans="2:23" x14ac:dyDescent="0.45">
      <c r="B85">
        <v>-5.3045829276604293</v>
      </c>
      <c r="C85">
        <v>0</v>
      </c>
      <c r="D85">
        <v>-5.5511150768909598E-2</v>
      </c>
      <c r="E85">
        <v>1.76299013879221</v>
      </c>
      <c r="F85">
        <v>3.0462949225501701E-12</v>
      </c>
      <c r="G85">
        <v>-6.3622189013744307E-2</v>
      </c>
      <c r="H85">
        <v>7.0848673421582502</v>
      </c>
      <c r="I85">
        <v>-0.710620581419799</v>
      </c>
      <c r="J85">
        <f t="shared" si="4"/>
        <v>0.33919007901132808</v>
      </c>
      <c r="K85">
        <f t="shared" si="5"/>
        <v>4</v>
      </c>
      <c r="L85" cm="1">
        <f t="array" ref="L85">SUMPRODUCT(N(B85:H85*C85:I85&lt;0))</f>
        <v>4</v>
      </c>
      <c r="O85">
        <v>0.14407348342470799</v>
      </c>
      <c r="P85">
        <v>0.71104184088785904</v>
      </c>
      <c r="Q85">
        <v>0.48032554539912498</v>
      </c>
      <c r="R85">
        <v>0.47754672564760797</v>
      </c>
      <c r="S85">
        <v>0.71535603637787204</v>
      </c>
      <c r="T85">
        <v>0.155212952520938</v>
      </c>
      <c r="U85">
        <v>3.7941263872579498E-2</v>
      </c>
      <c r="V85">
        <f t="shared" si="6"/>
        <v>0.38878540687581281</v>
      </c>
      <c r="W85">
        <f t="shared" si="7"/>
        <v>22.287061540651688</v>
      </c>
    </row>
    <row r="86" spans="2:23" x14ac:dyDescent="0.45">
      <c r="B86">
        <v>-5.3045829276604293</v>
      </c>
      <c r="C86">
        <v>0</v>
      </c>
      <c r="D86">
        <v>-5.5511150768909598E-2</v>
      </c>
      <c r="E86">
        <v>1.76299013879221</v>
      </c>
      <c r="F86">
        <v>3.0462949225501701E-12</v>
      </c>
      <c r="G86">
        <v>-6.3622189013744307E-2</v>
      </c>
      <c r="H86">
        <v>7.0848673421582502</v>
      </c>
      <c r="I86">
        <v>-0.710620581419799</v>
      </c>
      <c r="J86">
        <f t="shared" si="4"/>
        <v>0.33919007901132808</v>
      </c>
      <c r="K86">
        <f t="shared" si="5"/>
        <v>4</v>
      </c>
      <c r="L86" cm="1">
        <f t="array" ref="L86">SUMPRODUCT(N(B86:H86*C86:I86&lt;0))</f>
        <v>4</v>
      </c>
      <c r="O86">
        <v>0.14407348342470799</v>
      </c>
      <c r="P86">
        <v>0.71104184088785904</v>
      </c>
      <c r="Q86">
        <v>0.48032554539912498</v>
      </c>
      <c r="R86">
        <v>0.47754672564760797</v>
      </c>
      <c r="S86">
        <v>0.71535603637787204</v>
      </c>
      <c r="T86">
        <v>0.155212952520938</v>
      </c>
      <c r="U86">
        <v>3.7941263872579498E-2</v>
      </c>
      <c r="V86">
        <f t="shared" si="6"/>
        <v>0.38878540687581281</v>
      </c>
      <c r="W86">
        <f t="shared" si="7"/>
        <v>22.287061540651688</v>
      </c>
    </row>
    <row r="87" spans="2:23" x14ac:dyDescent="0.45">
      <c r="B87">
        <v>-5.3045829276604293</v>
      </c>
      <c r="C87">
        <v>0</v>
      </c>
      <c r="D87">
        <v>-5.5511150768909598E-2</v>
      </c>
      <c r="E87">
        <v>1.76299013879221</v>
      </c>
      <c r="F87">
        <v>3.0462949225501701E-12</v>
      </c>
      <c r="G87">
        <v>-6.3622189013744307E-2</v>
      </c>
      <c r="H87">
        <v>7.0848673421582502</v>
      </c>
      <c r="I87">
        <v>-0.710620581419799</v>
      </c>
      <c r="J87">
        <f t="shared" si="4"/>
        <v>0.33919007901132808</v>
      </c>
      <c r="K87">
        <f t="shared" si="5"/>
        <v>4</v>
      </c>
      <c r="L87" cm="1">
        <f t="array" ref="L87">SUMPRODUCT(N(B87:H87*C87:I87&lt;0))</f>
        <v>4</v>
      </c>
      <c r="O87">
        <v>0.14407348342470799</v>
      </c>
      <c r="P87">
        <v>0.71104184088785904</v>
      </c>
      <c r="Q87">
        <v>0.48032554539912498</v>
      </c>
      <c r="R87">
        <v>0.47754672564760797</v>
      </c>
      <c r="S87">
        <v>0.71535603637787204</v>
      </c>
      <c r="T87">
        <v>0.155212952520938</v>
      </c>
      <c r="U87">
        <v>3.7941263872579498E-2</v>
      </c>
      <c r="V87">
        <f t="shared" si="6"/>
        <v>0.38878540687581281</v>
      </c>
      <c r="W87">
        <f t="shared" si="7"/>
        <v>22.287061540651688</v>
      </c>
    </row>
    <row r="88" spans="2:23" x14ac:dyDescent="0.45">
      <c r="B88">
        <v>-5.3045829276604293</v>
      </c>
      <c r="C88">
        <v>0</v>
      </c>
      <c r="D88">
        <v>-5.5511150768909598E-2</v>
      </c>
      <c r="E88">
        <v>-3.5190413837266599</v>
      </c>
      <c r="F88">
        <v>-1.75778596836428</v>
      </c>
      <c r="G88">
        <v>-3.8911795651947499E-10</v>
      </c>
      <c r="H88">
        <v>2.79653954007231E-4</v>
      </c>
      <c r="I88">
        <v>-3.5209268652589603</v>
      </c>
      <c r="J88">
        <f t="shared" si="4"/>
        <v>-1.7696960802767938</v>
      </c>
      <c r="K88">
        <f t="shared" si="5"/>
        <v>2</v>
      </c>
      <c r="L88" cm="1">
        <f t="array" ref="L88">SUMPRODUCT(N(B88:H88*C88:I88&lt;0))</f>
        <v>2</v>
      </c>
      <c r="O88">
        <v>0.180824974347676</v>
      </c>
      <c r="P88">
        <v>0.86748132821930302</v>
      </c>
      <c r="Q88">
        <v>2.4900412368091701E-3</v>
      </c>
      <c r="R88">
        <v>0.87470119581085204</v>
      </c>
      <c r="S88">
        <v>0.19559633122085501</v>
      </c>
      <c r="T88">
        <v>5.0296076868244E-2</v>
      </c>
      <c r="U88">
        <v>1.35433278970914E-2</v>
      </c>
      <c r="V88">
        <f t="shared" si="6"/>
        <v>0.31213332508583297</v>
      </c>
      <c r="W88">
        <f t="shared" si="7"/>
        <v>17.892993157786602</v>
      </c>
    </row>
    <row r="89" spans="2:23" x14ac:dyDescent="0.45">
      <c r="B89">
        <v>-5.3045829276604293</v>
      </c>
      <c r="C89">
        <v>0</v>
      </c>
      <c r="D89">
        <v>-5.5511150768909598E-2</v>
      </c>
      <c r="E89">
        <v>-3.5190413837266599</v>
      </c>
      <c r="F89">
        <v>-9.2133511311535593E-11</v>
      </c>
      <c r="G89">
        <v>-3.5190413837266599</v>
      </c>
      <c r="H89">
        <v>-1.75778596836428</v>
      </c>
      <c r="I89">
        <v>-3.8911795651947499E-10</v>
      </c>
      <c r="J89">
        <f t="shared" si="4"/>
        <v>-1.7694953518410237</v>
      </c>
      <c r="K89">
        <f t="shared" si="5"/>
        <v>1</v>
      </c>
      <c r="L89" cm="1">
        <f t="array" ref="L89">SUMPRODUCT(N(B89:H89*C89:I89&lt;0))</f>
        <v>0</v>
      </c>
      <c r="O89">
        <v>0.17857397463335201</v>
      </c>
      <c r="P89">
        <v>0.94161191039233505</v>
      </c>
      <c r="Q89">
        <v>0.18929621538432101</v>
      </c>
      <c r="R89">
        <v>0.76899990574864996</v>
      </c>
      <c r="S89">
        <v>1.11946296773704</v>
      </c>
      <c r="T89">
        <v>0.87178623855368798</v>
      </c>
      <c r="U89">
        <v>0.119295175775689</v>
      </c>
      <c r="V89">
        <f t="shared" si="6"/>
        <v>0.59843234117501076</v>
      </c>
      <c r="W89">
        <f t="shared" si="7"/>
        <v>34.305038666083419</v>
      </c>
    </row>
    <row r="90" spans="2:23" x14ac:dyDescent="0.45">
      <c r="B90">
        <v>-5.3045829276604293</v>
      </c>
      <c r="C90">
        <v>0</v>
      </c>
      <c r="D90">
        <v>-5.5511150768909598E-2</v>
      </c>
      <c r="E90">
        <v>-3.5190413837266599</v>
      </c>
      <c r="F90">
        <v>-1.75778596836428</v>
      </c>
      <c r="G90">
        <v>-3.8911795651947499E-10</v>
      </c>
      <c r="H90">
        <v>2.79653954007231E-4</v>
      </c>
      <c r="I90">
        <v>-3.5209268652589603</v>
      </c>
      <c r="J90">
        <f t="shared" si="4"/>
        <v>-1.7696960802767938</v>
      </c>
      <c r="K90">
        <f t="shared" si="5"/>
        <v>2</v>
      </c>
      <c r="L90" cm="1">
        <f t="array" ref="L90">SUMPRODUCT(N(B90:H90*C90:I90&lt;0))</f>
        <v>2</v>
      </c>
      <c r="O90">
        <v>0.180824974347676</v>
      </c>
      <c r="P90">
        <v>0.86748132821930302</v>
      </c>
      <c r="Q90">
        <v>2.4900412368091701E-3</v>
      </c>
      <c r="R90">
        <v>0.87470119581085204</v>
      </c>
      <c r="S90">
        <v>0.19559633122085501</v>
      </c>
      <c r="T90">
        <v>5.0296076868244E-2</v>
      </c>
      <c r="U90">
        <v>1.35433278970914E-2</v>
      </c>
      <c r="V90">
        <f t="shared" si="6"/>
        <v>0.31213332508583297</v>
      </c>
      <c r="W90">
        <f t="shared" si="7"/>
        <v>17.892993157786602</v>
      </c>
    </row>
    <row r="91" spans="2:23" x14ac:dyDescent="0.45">
      <c r="B91">
        <v>-5.3045829276604293</v>
      </c>
      <c r="C91">
        <v>0</v>
      </c>
      <c r="D91">
        <v>-5.5511150768909598E-2</v>
      </c>
      <c r="E91">
        <v>-3.5190413837266599</v>
      </c>
      <c r="F91">
        <v>-1.75778596836428</v>
      </c>
      <c r="G91">
        <v>-3.8911795651947499E-10</v>
      </c>
      <c r="H91">
        <v>2.79653954007231E-4</v>
      </c>
      <c r="I91">
        <v>-3.5209268652589603</v>
      </c>
      <c r="J91">
        <f t="shared" si="4"/>
        <v>-1.7696960802767938</v>
      </c>
      <c r="K91">
        <f t="shared" si="5"/>
        <v>2</v>
      </c>
      <c r="L91" cm="1">
        <f t="array" ref="L91">SUMPRODUCT(N(B91:H91*C91:I91&lt;0))</f>
        <v>2</v>
      </c>
      <c r="O91">
        <v>0.180824974347676</v>
      </c>
      <c r="P91">
        <v>0.86748132821930302</v>
      </c>
      <c r="Q91">
        <v>2.4900412368091701E-3</v>
      </c>
      <c r="R91">
        <v>0.87470119581085204</v>
      </c>
      <c r="S91">
        <v>0.19559633122085501</v>
      </c>
      <c r="T91">
        <v>5.0296076868244E-2</v>
      </c>
      <c r="U91">
        <v>1.35433278970914E-2</v>
      </c>
      <c r="V91">
        <f t="shared" si="6"/>
        <v>0.31213332508583297</v>
      </c>
      <c r="W91">
        <f t="shared" si="7"/>
        <v>17.892993157786602</v>
      </c>
    </row>
    <row r="92" spans="2:23" x14ac:dyDescent="0.45">
      <c r="B92">
        <v>-5.3045829276604293</v>
      </c>
      <c r="C92">
        <v>0</v>
      </c>
      <c r="D92">
        <v>-5.5511150768909598E-2</v>
      </c>
      <c r="E92">
        <v>1.76299013879221</v>
      </c>
      <c r="F92">
        <v>3.0462949225501701E-12</v>
      </c>
      <c r="G92">
        <v>-6.3622189013744307E-2</v>
      </c>
      <c r="H92">
        <v>7.0848673421582502</v>
      </c>
      <c r="I92">
        <v>-0.710620581419799</v>
      </c>
      <c r="J92">
        <f t="shared" si="4"/>
        <v>0.33919007901132808</v>
      </c>
      <c r="K92">
        <f t="shared" si="5"/>
        <v>4</v>
      </c>
      <c r="L92" cm="1">
        <f t="array" ref="L92">SUMPRODUCT(N(B92:H92*C92:I92&lt;0))</f>
        <v>4</v>
      </c>
      <c r="O92">
        <v>0.14407348342470799</v>
      </c>
      <c r="P92">
        <v>0.71104184088785904</v>
      </c>
      <c r="Q92">
        <v>0.48032554539912498</v>
      </c>
      <c r="R92">
        <v>0.47754672564760797</v>
      </c>
      <c r="S92">
        <v>0.71535603637787204</v>
      </c>
      <c r="T92">
        <v>0.155212952520938</v>
      </c>
      <c r="U92">
        <v>3.7941263872579498E-2</v>
      </c>
      <c r="V92">
        <f t="shared" si="6"/>
        <v>0.38878540687581281</v>
      </c>
      <c r="W92">
        <f t="shared" si="7"/>
        <v>22.287061540651688</v>
      </c>
    </row>
    <row r="93" spans="2:23" x14ac:dyDescent="0.45">
      <c r="B93">
        <v>-5.3045829276604293</v>
      </c>
      <c r="C93">
        <v>0</v>
      </c>
      <c r="D93">
        <v>-5.5511150768909598E-2</v>
      </c>
      <c r="E93">
        <v>-3.5190413837266599</v>
      </c>
      <c r="F93">
        <v>-9.2133511311535593E-11</v>
      </c>
      <c r="G93">
        <v>-3.5190413837266599</v>
      </c>
      <c r="H93">
        <v>-1.75778596836428</v>
      </c>
      <c r="I93">
        <v>-3.8911795651947499E-10</v>
      </c>
      <c r="J93">
        <f t="shared" si="4"/>
        <v>-1.7694953518410237</v>
      </c>
      <c r="K93">
        <f t="shared" si="5"/>
        <v>1</v>
      </c>
      <c r="L93" cm="1">
        <f t="array" ref="L93">SUMPRODUCT(N(B93:H93*C93:I93&lt;0))</f>
        <v>0</v>
      </c>
      <c r="O93">
        <v>0.17857397463335201</v>
      </c>
      <c r="P93">
        <v>0.94161191039233505</v>
      </c>
      <c r="Q93">
        <v>0.18929621538432101</v>
      </c>
      <c r="R93">
        <v>0.76899990574864996</v>
      </c>
      <c r="S93">
        <v>1.11946296773704</v>
      </c>
      <c r="T93">
        <v>0.87178623855368798</v>
      </c>
      <c r="U93">
        <v>0.119295175775689</v>
      </c>
      <c r="V93">
        <f t="shared" si="6"/>
        <v>0.59843234117501076</v>
      </c>
      <c r="W93">
        <f t="shared" si="7"/>
        <v>34.305038666083419</v>
      </c>
    </row>
    <row r="94" spans="2:23" x14ac:dyDescent="0.45">
      <c r="B94">
        <v>-5.3045829276604293</v>
      </c>
      <c r="C94">
        <v>0</v>
      </c>
      <c r="D94">
        <v>-5.5511150768909598E-2</v>
      </c>
      <c r="E94">
        <v>-3.5190413837266599</v>
      </c>
      <c r="F94">
        <v>-9.2133511311535593E-11</v>
      </c>
      <c r="G94">
        <v>-3.5190413837266599</v>
      </c>
      <c r="H94">
        <v>-9.2133511311535593E-11</v>
      </c>
      <c r="I94">
        <v>-3.5190413837266599</v>
      </c>
      <c r="J94">
        <f t="shared" si="4"/>
        <v>-1.9896522787241984</v>
      </c>
      <c r="K94">
        <f t="shared" si="5"/>
        <v>1</v>
      </c>
      <c r="L94" cm="1">
        <f t="array" ref="L94">SUMPRODUCT(N(B94:H94*C94:I94&lt;0))</f>
        <v>0</v>
      </c>
      <c r="O94">
        <v>0.178485541067262</v>
      </c>
      <c r="P94">
        <v>0.95039780615288905</v>
      </c>
      <c r="Q94">
        <v>0.218388103778136</v>
      </c>
      <c r="R94">
        <v>0.26382173773226397</v>
      </c>
      <c r="S94">
        <v>0.155531702654604</v>
      </c>
      <c r="T94">
        <v>3.5281014266621898E-2</v>
      </c>
      <c r="U94">
        <v>1.4574396947437399E-2</v>
      </c>
      <c r="V94">
        <f t="shared" si="6"/>
        <v>0.25949718608560202</v>
      </c>
      <c r="W94">
        <f t="shared" si="7"/>
        <v>14.875634871149158</v>
      </c>
    </row>
    <row r="95" spans="2:23" x14ac:dyDescent="0.45">
      <c r="B95">
        <v>-5.3045829276604293</v>
      </c>
      <c r="C95">
        <v>0</v>
      </c>
      <c r="D95">
        <v>-5.5511150768909598E-2</v>
      </c>
      <c r="E95">
        <v>-3.5190413837266599</v>
      </c>
      <c r="F95">
        <v>-9.2133511311535593E-11</v>
      </c>
      <c r="G95">
        <v>-3.5190413837266599</v>
      </c>
      <c r="H95">
        <v>-9.2133511311535593E-11</v>
      </c>
      <c r="I95">
        <v>-3.5190413837266599</v>
      </c>
      <c r="J95">
        <f t="shared" si="4"/>
        <v>-1.9896522787241984</v>
      </c>
      <c r="K95">
        <f t="shared" si="5"/>
        <v>1</v>
      </c>
      <c r="L95" cm="1">
        <f t="array" ref="L95">SUMPRODUCT(N(B95:H95*C95:I95&lt;0))</f>
        <v>0</v>
      </c>
      <c r="O95">
        <v>0.178485541067262</v>
      </c>
      <c r="P95">
        <v>0.95039780615288905</v>
      </c>
      <c r="Q95">
        <v>0.218388103778136</v>
      </c>
      <c r="R95">
        <v>0.26382173773226397</v>
      </c>
      <c r="S95">
        <v>0.155531702654604</v>
      </c>
      <c r="T95">
        <v>3.5281014266621898E-2</v>
      </c>
      <c r="U95">
        <v>1.4574396947437399E-2</v>
      </c>
      <c r="V95">
        <f t="shared" si="6"/>
        <v>0.25949718608560202</v>
      </c>
      <c r="W95">
        <f t="shared" si="7"/>
        <v>14.875634871149158</v>
      </c>
    </row>
    <row r="96" spans="2:23" x14ac:dyDescent="0.45">
      <c r="B96">
        <v>-5.3045829276604293</v>
      </c>
      <c r="C96">
        <v>0</v>
      </c>
      <c r="D96">
        <v>-5.5511150768909598E-2</v>
      </c>
      <c r="E96">
        <v>1.76299013879221</v>
      </c>
      <c r="F96">
        <v>3.0462949225501701E-12</v>
      </c>
      <c r="G96">
        <v>-6.3622189013744307E-2</v>
      </c>
      <c r="H96">
        <v>7.0848673421582502</v>
      </c>
      <c r="I96">
        <v>-0.710620581419799</v>
      </c>
      <c r="J96">
        <f t="shared" si="4"/>
        <v>0.33919007901132808</v>
      </c>
      <c r="K96">
        <f t="shared" si="5"/>
        <v>4</v>
      </c>
      <c r="L96" cm="1">
        <f t="array" ref="L96">SUMPRODUCT(N(B96:H96*C96:I96&lt;0))</f>
        <v>4</v>
      </c>
      <c r="O96">
        <v>0.14407348342470799</v>
      </c>
      <c r="P96">
        <v>0.71104184088785904</v>
      </c>
      <c r="Q96">
        <v>0.48032554539912498</v>
      </c>
      <c r="R96">
        <v>0.47754672564760797</v>
      </c>
      <c r="S96">
        <v>0.71535603637787204</v>
      </c>
      <c r="T96">
        <v>0.155212952520938</v>
      </c>
      <c r="U96">
        <v>3.7941263872579498E-2</v>
      </c>
      <c r="V96">
        <f t="shared" si="6"/>
        <v>0.38878540687581281</v>
      </c>
      <c r="W96">
        <f t="shared" si="7"/>
        <v>22.287061540651688</v>
      </c>
    </row>
    <row r="97" spans="2:23" x14ac:dyDescent="0.45">
      <c r="B97">
        <v>-5.3045829276604293</v>
      </c>
      <c r="C97">
        <v>0</v>
      </c>
      <c r="D97">
        <v>-5.5511150768909598E-2</v>
      </c>
      <c r="E97">
        <v>-3.5190413837266599</v>
      </c>
      <c r="F97">
        <v>-1.75778596836428</v>
      </c>
      <c r="G97">
        <v>-3.8911795651947499E-10</v>
      </c>
      <c r="H97">
        <v>2.79653954007231E-4</v>
      </c>
      <c r="I97">
        <v>-3.5209268652589603</v>
      </c>
      <c r="J97">
        <f t="shared" si="4"/>
        <v>-1.7696960802767938</v>
      </c>
      <c r="K97">
        <f t="shared" si="5"/>
        <v>2</v>
      </c>
      <c r="L97" cm="1">
        <f t="array" ref="L97">SUMPRODUCT(N(B97:H97*C97:I97&lt;0))</f>
        <v>2</v>
      </c>
      <c r="O97">
        <v>0.180824974347676</v>
      </c>
      <c r="P97">
        <v>0.86748132821930302</v>
      </c>
      <c r="Q97">
        <v>2.4900412368091701E-3</v>
      </c>
      <c r="R97">
        <v>0.87470119581085204</v>
      </c>
      <c r="S97">
        <v>0.19559633122085501</v>
      </c>
      <c r="T97">
        <v>5.0296076868244E-2</v>
      </c>
      <c r="U97">
        <v>1.35433278970914E-2</v>
      </c>
      <c r="V97">
        <f t="shared" si="6"/>
        <v>0.31213332508583297</v>
      </c>
      <c r="W97">
        <f t="shared" si="7"/>
        <v>17.892993157786602</v>
      </c>
    </row>
    <row r="98" spans="2:23" x14ac:dyDescent="0.45">
      <c r="B98">
        <v>-5.3045829276604293</v>
      </c>
      <c r="C98">
        <v>0</v>
      </c>
      <c r="D98">
        <v>-3.5687701233251401</v>
      </c>
      <c r="E98">
        <v>3.5190413835851504</v>
      </c>
      <c r="F98">
        <v>-3.51571289302955</v>
      </c>
      <c r="G98">
        <v>-6.3622189013744307E-2</v>
      </c>
      <c r="H98">
        <v>7.0848673421582502</v>
      </c>
      <c r="I98">
        <v>-0.710620581419799</v>
      </c>
      <c r="J98">
        <f t="shared" si="4"/>
        <v>-0.31992499858815759</v>
      </c>
      <c r="K98">
        <f t="shared" si="5"/>
        <v>3</v>
      </c>
      <c r="L98" cm="1">
        <f t="array" ref="L98">SUMPRODUCT(N(B98:H98*C98:I98&lt;0))</f>
        <v>4</v>
      </c>
      <c r="O98">
        <v>0.66574245178060298</v>
      </c>
      <c r="P98">
        <v>0.50248746742424499</v>
      </c>
      <c r="Q98">
        <v>0.47140495286594802</v>
      </c>
      <c r="R98">
        <v>0.71813402686234395</v>
      </c>
      <c r="S98">
        <v>0.156805767445405</v>
      </c>
      <c r="T98">
        <v>4.1529615442077901E-2</v>
      </c>
      <c r="U98">
        <v>1.1290730436279499E-2</v>
      </c>
      <c r="V98">
        <f t="shared" si="6"/>
        <v>0.36677071603670036</v>
      </c>
      <c r="W98">
        <f t="shared" si="7"/>
        <v>21.025072893823587</v>
      </c>
    </row>
    <row r="99" spans="2:23" x14ac:dyDescent="0.45">
      <c r="B99">
        <v>-5.3045829276604293</v>
      </c>
      <c r="C99">
        <v>0</v>
      </c>
      <c r="D99">
        <v>-5.5511150768909598E-2</v>
      </c>
      <c r="E99">
        <v>-3.5190413837266599</v>
      </c>
      <c r="F99">
        <v>-1.75778596836428</v>
      </c>
      <c r="G99">
        <v>-3.8911795651947499E-10</v>
      </c>
      <c r="H99">
        <v>2.79653954007231E-4</v>
      </c>
      <c r="I99">
        <v>-3.5209268652589603</v>
      </c>
      <c r="J99">
        <f t="shared" si="4"/>
        <v>-1.7696960802767938</v>
      </c>
      <c r="K99">
        <f t="shared" si="5"/>
        <v>2</v>
      </c>
      <c r="L99" cm="1">
        <f t="array" ref="L99">SUMPRODUCT(N(B99:H99*C99:I99&lt;0))</f>
        <v>2</v>
      </c>
      <c r="O99">
        <v>0.180824974347676</v>
      </c>
      <c r="P99">
        <v>0.86748132821930302</v>
      </c>
      <c r="Q99">
        <v>2.4900412368091701E-3</v>
      </c>
      <c r="R99">
        <v>0.87470119581085204</v>
      </c>
      <c r="S99">
        <v>0.19559633122085501</v>
      </c>
      <c r="T99">
        <v>5.0296076868244E-2</v>
      </c>
      <c r="U99">
        <v>1.35433278970914E-2</v>
      </c>
      <c r="V99">
        <f t="shared" si="6"/>
        <v>0.31213332508583297</v>
      </c>
      <c r="W99">
        <f t="shared" si="7"/>
        <v>17.892993157786602</v>
      </c>
    </row>
    <row r="100" spans="2:23" x14ac:dyDescent="0.45">
      <c r="B100">
        <v>-5.3045829276604293</v>
      </c>
      <c r="C100">
        <v>0</v>
      </c>
      <c r="D100">
        <v>-5.5511150768909598E-2</v>
      </c>
      <c r="E100">
        <v>1.76299013879221</v>
      </c>
      <c r="F100">
        <v>3.0462949225501701E-12</v>
      </c>
      <c r="G100">
        <v>-6.3622189013744307E-2</v>
      </c>
      <c r="H100">
        <v>7.0848673421582502</v>
      </c>
      <c r="I100">
        <v>-0.710620581419799</v>
      </c>
      <c r="J100">
        <f t="shared" si="4"/>
        <v>0.33919007901132808</v>
      </c>
      <c r="K100">
        <f t="shared" si="5"/>
        <v>4</v>
      </c>
      <c r="L100" cm="1">
        <f t="array" ref="L100">SUMPRODUCT(N(B100:H100*C100:I100&lt;0))</f>
        <v>4</v>
      </c>
      <c r="O100">
        <v>0.14407348342470799</v>
      </c>
      <c r="P100">
        <v>0.71104184088785904</v>
      </c>
      <c r="Q100">
        <v>0.48032554539912498</v>
      </c>
      <c r="R100">
        <v>0.47754672564760797</v>
      </c>
      <c r="S100">
        <v>0.71535603637787204</v>
      </c>
      <c r="T100">
        <v>0.155212952520938</v>
      </c>
      <c r="U100">
        <v>3.7941263872579498E-2</v>
      </c>
      <c r="V100">
        <f t="shared" si="6"/>
        <v>0.38878540687581281</v>
      </c>
      <c r="W100">
        <f t="shared" si="7"/>
        <v>22.287061540651688</v>
      </c>
    </row>
    <row r="101" spans="2:23" x14ac:dyDescent="0.45">
      <c r="B101">
        <v>-5.3045829276604293</v>
      </c>
      <c r="C101">
        <v>0</v>
      </c>
      <c r="D101">
        <v>-5.5511150768909598E-2</v>
      </c>
      <c r="E101">
        <v>1.76299013879221</v>
      </c>
      <c r="F101">
        <v>3.0462949225501701E-12</v>
      </c>
      <c r="G101">
        <v>-6.3622189013744307E-2</v>
      </c>
      <c r="H101">
        <v>7.0848673421582502</v>
      </c>
      <c r="I101">
        <v>-0.710620581419799</v>
      </c>
      <c r="J101">
        <f t="shared" si="4"/>
        <v>0.33919007901132808</v>
      </c>
      <c r="K101">
        <f t="shared" si="5"/>
        <v>4</v>
      </c>
      <c r="L101" cm="1">
        <f t="array" ref="L101">SUMPRODUCT(N(B101:H101*C101:I101&lt;0))</f>
        <v>4</v>
      </c>
      <c r="O101">
        <v>0.14407348342470799</v>
      </c>
      <c r="P101">
        <v>0.71104184088785904</v>
      </c>
      <c r="Q101">
        <v>0.48032554539912498</v>
      </c>
      <c r="R101">
        <v>0.47754672564760797</v>
      </c>
      <c r="S101">
        <v>0.71535603637787204</v>
      </c>
      <c r="T101">
        <v>0.155212952520938</v>
      </c>
      <c r="U101">
        <v>3.7941263872579498E-2</v>
      </c>
      <c r="V101">
        <f t="shared" si="6"/>
        <v>0.38878540687581281</v>
      </c>
      <c r="W101">
        <f t="shared" si="7"/>
        <v>22.287061540651688</v>
      </c>
    </row>
    <row r="104" spans="2:23" x14ac:dyDescent="0.45">
      <c r="I104" t="s">
        <v>1</v>
      </c>
      <c r="J104">
        <f>AVERAGE(J2:J101)</f>
        <v>-0.8769535612049576</v>
      </c>
      <c r="K104">
        <f t="shared" ref="K104:L104" si="8">AVERAGE(K2:K101)</f>
        <v>2.65</v>
      </c>
      <c r="L104">
        <f t="shared" si="8"/>
        <v>2.44</v>
      </c>
      <c r="V104">
        <f>AVERAGE(V2:V101)</f>
        <v>0.38959991326282323</v>
      </c>
      <c r="W104">
        <f>AVERAGE(W2:W101)</f>
        <v>22.333752989588604</v>
      </c>
    </row>
    <row r="105" spans="2:23" x14ac:dyDescent="0.45">
      <c r="I105" t="s">
        <v>7</v>
      </c>
      <c r="J105">
        <f>_xlfn.VAR.S(J2:J101)</f>
        <v>1.1542434475566363</v>
      </c>
      <c r="K105">
        <f t="shared" ref="K105:L105" si="9">_xlfn.VAR.S(K2:K101)</f>
        <v>1.542929292929293</v>
      </c>
      <c r="L105">
        <f t="shared" si="9"/>
        <v>2.471111111111111</v>
      </c>
      <c r="W105">
        <f>_xlfn.VAR.S(W2:W101)</f>
        <v>38.079714983104267</v>
      </c>
    </row>
    <row r="106" spans="2:23" x14ac:dyDescent="0.45">
      <c r="I106" t="s">
        <v>8</v>
      </c>
      <c r="J106">
        <f>J105/(50^(1/2))</f>
        <v>0.16323467378148734</v>
      </c>
      <c r="K106">
        <f t="shared" ref="K106:L106" si="10">K105/(50^(1/2))</f>
        <v>0.21820315318433361</v>
      </c>
      <c r="L106">
        <f t="shared" si="10"/>
        <v>0.34946788474641816</v>
      </c>
      <c r="W106">
        <f>W105/(50^(1/2))</f>
        <v>5.385284938040801</v>
      </c>
    </row>
    <row r="107" spans="2:23" x14ac:dyDescent="0.45">
      <c r="K107">
        <f>COUNTIF(K2:K101,"&lt;=2")</f>
        <v>56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C538-F1EA-4F46-A738-5D09D4AE37AF}">
  <dimension ref="A1:AD107"/>
  <sheetViews>
    <sheetView topLeftCell="H1" workbookViewId="0">
      <pane ySplit="1" topLeftCell="A95" activePane="bottomLeft" state="frozen"/>
      <selection pane="bottomLeft" activeCell="P110" sqref="P110"/>
    </sheetView>
  </sheetViews>
  <sheetFormatPr defaultRowHeight="18" x14ac:dyDescent="0.45"/>
  <cols>
    <col min="2" max="2" width="9.09765625" bestFit="1" customWidth="1"/>
    <col min="3" max="3" width="10.5" bestFit="1" customWidth="1"/>
    <col min="4" max="4" width="10.3984375" bestFit="1" customWidth="1"/>
    <col min="5" max="5" width="9.5" bestFit="1" customWidth="1"/>
    <col min="6" max="6" width="10.5" bestFit="1" customWidth="1"/>
    <col min="7" max="7" width="9.5" bestFit="1" customWidth="1"/>
    <col min="8" max="8" width="10.5" bestFit="1" customWidth="1"/>
    <col min="9" max="9" width="10.3984375" bestFit="1" customWidth="1"/>
    <col min="10" max="10" width="12.59765625" bestFit="1" customWidth="1"/>
    <col min="22" max="22" width="12.69921875" bestFit="1" customWidth="1"/>
    <col min="30" max="30" width="9.5" bestFit="1" customWidth="1"/>
  </cols>
  <sheetData>
    <row r="1" spans="1:30" x14ac:dyDescent="0.4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 t="s">
        <v>1</v>
      </c>
      <c r="K1" t="s">
        <v>2</v>
      </c>
      <c r="L1" t="s">
        <v>3</v>
      </c>
      <c r="N1" t="s">
        <v>4</v>
      </c>
      <c r="O1">
        <v>1.5</v>
      </c>
      <c r="P1">
        <v>2.5</v>
      </c>
      <c r="Q1">
        <v>3.5</v>
      </c>
      <c r="R1">
        <v>4.5</v>
      </c>
      <c r="S1">
        <v>5.5</v>
      </c>
      <c r="T1">
        <v>6.5</v>
      </c>
      <c r="U1">
        <v>7.5</v>
      </c>
      <c r="V1" t="s">
        <v>1</v>
      </c>
      <c r="W1" t="s">
        <v>6</v>
      </c>
      <c r="AD1" t="s">
        <v>5</v>
      </c>
    </row>
    <row r="2" spans="1:30" x14ac:dyDescent="0.45">
      <c r="B2">
        <v>-5.3045829276604293</v>
      </c>
      <c r="C2">
        <v>0</v>
      </c>
      <c r="D2">
        <v>-5.5511150768909598E-2</v>
      </c>
      <c r="E2">
        <v>-3.5190413837266599</v>
      </c>
      <c r="F2">
        <v>-9.2133511311535593E-11</v>
      </c>
      <c r="G2">
        <v>-3.5190413837266599</v>
      </c>
      <c r="H2">
        <v>-9.2133511311535593E-11</v>
      </c>
      <c r="I2">
        <v>-3.5190413837266599</v>
      </c>
      <c r="J2">
        <f>AVERAGE(B2:I2)</f>
        <v>-1.9896522787241984</v>
      </c>
      <c r="K2">
        <f>COUNTIF(B2:I2,"&gt;=0")</f>
        <v>1</v>
      </c>
      <c r="L2" cm="1">
        <f t="array" ref="L2">SUMPRODUCT(N(B2:H2*C2:I2&lt;0))</f>
        <v>0</v>
      </c>
      <c r="O2">
        <v>0.14407348342470799</v>
      </c>
      <c r="P2">
        <v>0.71104184088785904</v>
      </c>
      <c r="Q2">
        <v>0.48032554539912498</v>
      </c>
      <c r="R2">
        <v>0.47754672564760797</v>
      </c>
      <c r="S2">
        <v>0.71535603637787204</v>
      </c>
      <c r="T2">
        <v>0.155212952520938</v>
      </c>
      <c r="U2">
        <v>3.7941263872579498E-2</v>
      </c>
      <c r="V2">
        <f>AVERAGE(O2:U2)</f>
        <v>0.38878540687581281</v>
      </c>
      <c r="W2">
        <f>V2*360/(3.14*2)</f>
        <v>22.287061540651688</v>
      </c>
    </row>
    <row r="3" spans="1:30" x14ac:dyDescent="0.45">
      <c r="B3">
        <v>-5.3045829276604293</v>
      </c>
      <c r="C3">
        <v>0</v>
      </c>
      <c r="D3">
        <v>-5.5511150768909598E-2</v>
      </c>
      <c r="E3">
        <v>-3.5190413837266599</v>
      </c>
      <c r="F3">
        <v>-1.75778596836428</v>
      </c>
      <c r="G3">
        <v>-3.8911795651947499E-10</v>
      </c>
      <c r="H3">
        <v>2.79653954007231E-4</v>
      </c>
      <c r="I3">
        <v>-3.5209268652589603</v>
      </c>
      <c r="J3">
        <f t="shared" ref="J3:J66" si="0">AVERAGE(B3:I3)</f>
        <v>-1.7696960802767938</v>
      </c>
      <c r="K3">
        <f t="shared" ref="K3:K66" si="1">COUNTIF(B3:I3,"&gt;=0")</f>
        <v>2</v>
      </c>
      <c r="L3" cm="1">
        <f t="array" ref="L3">SUMPRODUCT(N(B3:H3*C3:I3&lt;0))</f>
        <v>2</v>
      </c>
      <c r="O3">
        <v>0.17857397463335201</v>
      </c>
      <c r="P3">
        <v>0.94161191039233505</v>
      </c>
      <c r="Q3">
        <v>0.18929621538432101</v>
      </c>
      <c r="R3">
        <v>0.76899990574864996</v>
      </c>
      <c r="S3">
        <v>1.11946296773704</v>
      </c>
      <c r="T3">
        <v>0.87178623855368798</v>
      </c>
      <c r="U3">
        <v>0.119295175775689</v>
      </c>
      <c r="V3">
        <f t="shared" ref="V3:V66" si="2">AVERAGE(O3:U3)</f>
        <v>0.59843234117501076</v>
      </c>
      <c r="W3">
        <f t="shared" ref="W3:W66" si="3">V3*360/(3.14*2)</f>
        <v>34.305038666083419</v>
      </c>
    </row>
    <row r="4" spans="1:30" x14ac:dyDescent="0.45">
      <c r="B4">
        <v>-5.3045829276604293</v>
      </c>
      <c r="C4">
        <v>0</v>
      </c>
      <c r="D4">
        <v>-5.5511150768909598E-2</v>
      </c>
      <c r="E4">
        <v>-3.5190413837266599</v>
      </c>
      <c r="F4">
        <v>-9.2133511311535593E-11</v>
      </c>
      <c r="G4">
        <v>-3.5190413837266599</v>
      </c>
      <c r="H4">
        <v>-1.75778596836428</v>
      </c>
      <c r="I4">
        <v>-3.8911795651947499E-10</v>
      </c>
      <c r="J4">
        <f t="shared" si="0"/>
        <v>-1.7694953518410237</v>
      </c>
      <c r="K4">
        <f t="shared" si="1"/>
        <v>1</v>
      </c>
      <c r="L4" cm="1">
        <f t="array" ref="L4">SUMPRODUCT(N(B4:H4*C4:I4&lt;0))</f>
        <v>0</v>
      </c>
      <c r="O4">
        <v>0.180824974347676</v>
      </c>
      <c r="P4">
        <v>0.86748132821930302</v>
      </c>
      <c r="Q4">
        <v>2.4900412368091701E-3</v>
      </c>
      <c r="R4">
        <v>0.87470119581085204</v>
      </c>
      <c r="S4">
        <v>0.19559633122085501</v>
      </c>
      <c r="T4">
        <v>5.0296076868244E-2</v>
      </c>
      <c r="U4">
        <v>1.35433278970914E-2</v>
      </c>
      <c r="V4">
        <f t="shared" si="2"/>
        <v>0.31213332508583297</v>
      </c>
      <c r="W4">
        <f t="shared" si="3"/>
        <v>17.892993157786602</v>
      </c>
    </row>
    <row r="5" spans="1:30" x14ac:dyDescent="0.45">
      <c r="B5">
        <v>-5.3045829276604293</v>
      </c>
      <c r="C5">
        <v>0</v>
      </c>
      <c r="D5">
        <v>-5.5511150768909598E-2</v>
      </c>
      <c r="E5">
        <v>1.76299013879221</v>
      </c>
      <c r="F5">
        <v>3.0462949225501701E-12</v>
      </c>
      <c r="G5">
        <v>-6.3622189013744307E-2</v>
      </c>
      <c r="H5">
        <v>7.0848673421582502</v>
      </c>
      <c r="I5">
        <v>-0.710620581419799</v>
      </c>
      <c r="J5">
        <f t="shared" si="0"/>
        <v>0.33919007901132808</v>
      </c>
      <c r="K5">
        <f t="shared" si="1"/>
        <v>4</v>
      </c>
      <c r="L5" cm="1">
        <f t="array" ref="L5">SUMPRODUCT(N(B5:H5*C5:I5&lt;0))</f>
        <v>4</v>
      </c>
      <c r="O5">
        <v>0.14407348342470799</v>
      </c>
      <c r="P5">
        <v>0.71104184088785904</v>
      </c>
      <c r="Q5">
        <v>0.48032554539912498</v>
      </c>
      <c r="R5">
        <v>0.47754672564760797</v>
      </c>
      <c r="S5">
        <v>0.71535603637787204</v>
      </c>
      <c r="T5">
        <v>0.155212952520938</v>
      </c>
      <c r="U5">
        <v>3.7941263872579498E-2</v>
      </c>
      <c r="V5">
        <f t="shared" si="2"/>
        <v>0.38878540687581281</v>
      </c>
      <c r="W5">
        <f t="shared" si="3"/>
        <v>22.287061540651688</v>
      </c>
    </row>
    <row r="6" spans="1:30" x14ac:dyDescent="0.45">
      <c r="B6">
        <v>-5.3045829276604293</v>
      </c>
      <c r="C6">
        <v>0</v>
      </c>
      <c r="D6">
        <v>-5.5511150768909598E-2</v>
      </c>
      <c r="E6">
        <v>1.76299013879221</v>
      </c>
      <c r="F6">
        <v>3.0462949225501701E-12</v>
      </c>
      <c r="G6">
        <v>-6.3622189013744307E-2</v>
      </c>
      <c r="H6">
        <v>7.0848673421582502</v>
      </c>
      <c r="I6">
        <v>-0.710620581419799</v>
      </c>
      <c r="J6">
        <f t="shared" si="0"/>
        <v>0.33919007901132808</v>
      </c>
      <c r="K6">
        <f t="shared" si="1"/>
        <v>4</v>
      </c>
      <c r="L6" cm="1">
        <f t="array" ref="L6">SUMPRODUCT(N(B6:H6*C6:I6&lt;0))</f>
        <v>4</v>
      </c>
      <c r="O6">
        <v>0.14407348342470799</v>
      </c>
      <c r="P6">
        <v>0.71104184088785904</v>
      </c>
      <c r="Q6">
        <v>0.48032554539912498</v>
      </c>
      <c r="R6">
        <v>0.47754672564760797</v>
      </c>
      <c r="S6">
        <v>0.71535603637787204</v>
      </c>
      <c r="T6">
        <v>0.155212952520938</v>
      </c>
      <c r="U6">
        <v>3.7941263872579498E-2</v>
      </c>
      <c r="V6">
        <f t="shared" si="2"/>
        <v>0.38878540687581281</v>
      </c>
      <c r="W6">
        <f t="shared" si="3"/>
        <v>22.287061540651688</v>
      </c>
    </row>
    <row r="7" spans="1:30" x14ac:dyDescent="0.45">
      <c r="B7">
        <v>-5.3045829276604293</v>
      </c>
      <c r="C7">
        <v>0</v>
      </c>
      <c r="D7">
        <v>-5.5511150768909598E-2</v>
      </c>
      <c r="E7">
        <v>1.76299013879221</v>
      </c>
      <c r="F7">
        <v>3.0462949225501701E-12</v>
      </c>
      <c r="G7">
        <v>-6.3622189013744307E-2</v>
      </c>
      <c r="H7">
        <v>7.0848673421582502</v>
      </c>
      <c r="I7">
        <v>-0.710620581419799</v>
      </c>
      <c r="J7">
        <f t="shared" si="0"/>
        <v>0.33919007901132808</v>
      </c>
      <c r="K7">
        <f t="shared" si="1"/>
        <v>4</v>
      </c>
      <c r="L7" cm="1">
        <f t="array" ref="L7">SUMPRODUCT(N(B7:H7*C7:I7&lt;0))</f>
        <v>4</v>
      </c>
      <c r="O7">
        <v>0.14407348342470799</v>
      </c>
      <c r="P7">
        <v>0.71104184088785904</v>
      </c>
      <c r="Q7">
        <v>0.48032554539912498</v>
      </c>
      <c r="R7">
        <v>0.47754672564760797</v>
      </c>
      <c r="S7">
        <v>0.71535603637787204</v>
      </c>
      <c r="T7">
        <v>0.155212952520938</v>
      </c>
      <c r="U7">
        <v>3.7941263872579498E-2</v>
      </c>
      <c r="V7">
        <f t="shared" si="2"/>
        <v>0.38878540687581281</v>
      </c>
      <c r="W7">
        <f t="shared" si="3"/>
        <v>22.287061540651688</v>
      </c>
    </row>
    <row r="8" spans="1:30" x14ac:dyDescent="0.45">
      <c r="B8">
        <v>-5.3045829276604293</v>
      </c>
      <c r="C8">
        <v>0</v>
      </c>
      <c r="D8">
        <v>-5.5511150768909598E-2</v>
      </c>
      <c r="E8">
        <v>-3.5190413837266599</v>
      </c>
      <c r="F8">
        <v>-9.2133511311535593E-11</v>
      </c>
      <c r="G8">
        <v>-3.5190413837266599</v>
      </c>
      <c r="H8">
        <v>-1.75778596836428</v>
      </c>
      <c r="I8">
        <v>-3.8911795651947499E-10</v>
      </c>
      <c r="J8">
        <f t="shared" si="0"/>
        <v>-1.7694953518410237</v>
      </c>
      <c r="K8">
        <f t="shared" si="1"/>
        <v>1</v>
      </c>
      <c r="L8" cm="1">
        <f t="array" ref="L8">SUMPRODUCT(N(B8:H8*C8:I8&lt;0))</f>
        <v>0</v>
      </c>
      <c r="O8">
        <v>0.14407348342470799</v>
      </c>
      <c r="P8">
        <v>0.71104184088785904</v>
      </c>
      <c r="Q8">
        <v>0.48032554539912498</v>
      </c>
      <c r="R8">
        <v>0.47754672564760797</v>
      </c>
      <c r="S8">
        <v>0.71535603637787204</v>
      </c>
      <c r="T8">
        <v>0.155212952520938</v>
      </c>
      <c r="U8">
        <v>3.7941263872579498E-2</v>
      </c>
      <c r="V8">
        <f t="shared" si="2"/>
        <v>0.38878540687581281</v>
      </c>
      <c r="W8">
        <f t="shared" si="3"/>
        <v>22.287061540651688</v>
      </c>
    </row>
    <row r="9" spans="1:30" x14ac:dyDescent="0.45">
      <c r="B9">
        <v>-5.3045829276604293</v>
      </c>
      <c r="C9">
        <v>0</v>
      </c>
      <c r="D9">
        <v>-5.5511150768909598E-2</v>
      </c>
      <c r="E9">
        <v>1.76299013879221</v>
      </c>
      <c r="F9">
        <v>3.0462949225501701E-12</v>
      </c>
      <c r="G9">
        <v>-6.3622189013744307E-2</v>
      </c>
      <c r="H9">
        <v>7.0848673421582502</v>
      </c>
      <c r="I9">
        <v>-0.710620581419799</v>
      </c>
      <c r="J9">
        <f t="shared" si="0"/>
        <v>0.33919007901132808</v>
      </c>
      <c r="K9">
        <f t="shared" si="1"/>
        <v>4</v>
      </c>
      <c r="L9" cm="1">
        <f t="array" ref="L9">SUMPRODUCT(N(B9:H9*C9:I9&lt;0))</f>
        <v>4</v>
      </c>
      <c r="O9">
        <v>0.14407348342470799</v>
      </c>
      <c r="P9">
        <v>0.71104184088785904</v>
      </c>
      <c r="Q9">
        <v>0.48032554539912498</v>
      </c>
      <c r="R9">
        <v>0.47754672564760797</v>
      </c>
      <c r="S9">
        <v>0.71535603637787204</v>
      </c>
      <c r="T9">
        <v>0.155212952520938</v>
      </c>
      <c r="U9">
        <v>3.7941263872579498E-2</v>
      </c>
      <c r="V9">
        <f t="shared" si="2"/>
        <v>0.38878540687581281</v>
      </c>
      <c r="W9">
        <f t="shared" si="3"/>
        <v>22.287061540651688</v>
      </c>
    </row>
    <row r="10" spans="1:30" x14ac:dyDescent="0.45">
      <c r="B10">
        <v>-5.3045829276604293</v>
      </c>
      <c r="C10">
        <v>0</v>
      </c>
      <c r="D10">
        <v>-5.5511150768909598E-2</v>
      </c>
      <c r="E10">
        <v>1.76299013879221</v>
      </c>
      <c r="F10">
        <v>3.0462949225501701E-12</v>
      </c>
      <c r="G10">
        <v>-6.3622189013744307E-2</v>
      </c>
      <c r="H10">
        <v>7.0848673421582502</v>
      </c>
      <c r="I10">
        <v>-0.710620581419799</v>
      </c>
      <c r="J10">
        <f t="shared" si="0"/>
        <v>0.33919007901132808</v>
      </c>
      <c r="K10">
        <f t="shared" si="1"/>
        <v>4</v>
      </c>
      <c r="L10" cm="1">
        <f t="array" ref="L10">SUMPRODUCT(N(B10:H10*C10:I10&lt;0))</f>
        <v>4</v>
      </c>
      <c r="O10">
        <v>0.14407348342470799</v>
      </c>
      <c r="P10">
        <v>0.71104184088785904</v>
      </c>
      <c r="Q10">
        <v>0.48032554539912498</v>
      </c>
      <c r="R10">
        <v>0.47754672564760797</v>
      </c>
      <c r="S10">
        <v>0.71535603637787204</v>
      </c>
      <c r="T10">
        <v>0.155212952520938</v>
      </c>
      <c r="U10">
        <v>3.7941263872579498E-2</v>
      </c>
      <c r="V10">
        <f t="shared" si="2"/>
        <v>0.38878540687581281</v>
      </c>
      <c r="W10">
        <f t="shared" si="3"/>
        <v>22.287061540651688</v>
      </c>
    </row>
    <row r="11" spans="1:30" x14ac:dyDescent="0.45">
      <c r="B11">
        <v>-5.3045829276604293</v>
      </c>
      <c r="C11">
        <v>0</v>
      </c>
      <c r="D11">
        <v>-5.5511150768909598E-2</v>
      </c>
      <c r="E11">
        <v>1.76299013879221</v>
      </c>
      <c r="F11">
        <v>3.0462949225501701E-12</v>
      </c>
      <c r="G11">
        <v>-6.3622189013744307E-2</v>
      </c>
      <c r="H11">
        <v>7.0848673421582502</v>
      </c>
      <c r="I11">
        <v>-0.710620581419799</v>
      </c>
      <c r="J11">
        <f t="shared" si="0"/>
        <v>0.33919007901132808</v>
      </c>
      <c r="K11">
        <f t="shared" si="1"/>
        <v>4</v>
      </c>
      <c r="L11" cm="1">
        <f t="array" ref="L11">SUMPRODUCT(N(B11:H11*C11:I11&lt;0))</f>
        <v>4</v>
      </c>
      <c r="O11">
        <v>0.180824974347676</v>
      </c>
      <c r="P11">
        <v>0.86748132821930302</v>
      </c>
      <c r="Q11">
        <v>2.4900412368091701E-3</v>
      </c>
      <c r="R11">
        <v>0.87470119581085204</v>
      </c>
      <c r="S11">
        <v>0.19559633122085501</v>
      </c>
      <c r="T11">
        <v>5.0296076868244E-2</v>
      </c>
      <c r="U11">
        <v>1.35433278970914E-2</v>
      </c>
      <c r="V11">
        <f t="shared" si="2"/>
        <v>0.31213332508583297</v>
      </c>
      <c r="W11">
        <f t="shared" si="3"/>
        <v>17.892993157786602</v>
      </c>
    </row>
    <row r="12" spans="1:30" x14ac:dyDescent="0.45">
      <c r="B12">
        <v>-5.3045829276604293</v>
      </c>
      <c r="C12">
        <v>0</v>
      </c>
      <c r="D12">
        <v>-5.5511150768909598E-2</v>
      </c>
      <c r="E12">
        <v>1.76299013879221</v>
      </c>
      <c r="F12">
        <v>3.0462949225501701E-12</v>
      </c>
      <c r="G12">
        <v>-6.3622189013744307E-2</v>
      </c>
      <c r="H12">
        <v>7.0848673421582502</v>
      </c>
      <c r="I12">
        <v>-0.710620581419799</v>
      </c>
      <c r="J12">
        <f t="shared" si="0"/>
        <v>0.33919007901132808</v>
      </c>
      <c r="K12">
        <f t="shared" si="1"/>
        <v>4</v>
      </c>
      <c r="L12" cm="1">
        <f t="array" ref="L12">SUMPRODUCT(N(B12:H12*C12:I12&lt;0))</f>
        <v>4</v>
      </c>
      <c r="O12">
        <v>0.66574245178060298</v>
      </c>
      <c r="P12">
        <v>0.50248746742424499</v>
      </c>
      <c r="Q12">
        <v>0.47140495286594802</v>
      </c>
      <c r="R12">
        <v>0.71813402686234395</v>
      </c>
      <c r="S12">
        <v>0.156805767445405</v>
      </c>
      <c r="T12">
        <v>4.1529615442077901E-2</v>
      </c>
      <c r="U12">
        <v>1.1290730436279499E-2</v>
      </c>
      <c r="V12">
        <f t="shared" si="2"/>
        <v>0.36677071603670036</v>
      </c>
      <c r="W12">
        <f t="shared" si="3"/>
        <v>21.025072893823587</v>
      </c>
    </row>
    <row r="13" spans="1:30" x14ac:dyDescent="0.45">
      <c r="B13">
        <v>-5.3045829276604293</v>
      </c>
      <c r="C13">
        <v>0</v>
      </c>
      <c r="D13">
        <v>-5.5511150768909598E-2</v>
      </c>
      <c r="E13">
        <v>-3.5190413837266599</v>
      </c>
      <c r="F13">
        <v>-9.2133511311535593E-11</v>
      </c>
      <c r="G13">
        <v>-3.5190413837266599</v>
      </c>
      <c r="H13">
        <v>-9.2133511311535593E-11</v>
      </c>
      <c r="I13">
        <v>-3.5190413837266599</v>
      </c>
      <c r="J13">
        <f t="shared" si="0"/>
        <v>-1.9896522787241984</v>
      </c>
      <c r="K13">
        <f t="shared" si="1"/>
        <v>1</v>
      </c>
      <c r="L13" cm="1">
        <f t="array" ref="L13">SUMPRODUCT(N(B13:H13*C13:I13&lt;0))</f>
        <v>0</v>
      </c>
      <c r="O13">
        <v>0.180824974347676</v>
      </c>
      <c r="P13">
        <v>0.86748132821930302</v>
      </c>
      <c r="Q13">
        <v>2.4900412368091701E-3</v>
      </c>
      <c r="R13">
        <v>0.87470119581085204</v>
      </c>
      <c r="S13">
        <v>0.19559633122085501</v>
      </c>
      <c r="T13">
        <v>5.0296076868244E-2</v>
      </c>
      <c r="U13">
        <v>1.35433278970914E-2</v>
      </c>
      <c r="V13">
        <f t="shared" si="2"/>
        <v>0.31213332508583297</v>
      </c>
      <c r="W13">
        <f t="shared" si="3"/>
        <v>17.892993157786602</v>
      </c>
    </row>
    <row r="14" spans="1:30" x14ac:dyDescent="0.45">
      <c r="B14">
        <v>-5.3045829276604293</v>
      </c>
      <c r="C14">
        <v>0</v>
      </c>
      <c r="D14">
        <v>-5.5511150768909598E-2</v>
      </c>
      <c r="E14">
        <v>-3.5190413837266599</v>
      </c>
      <c r="F14">
        <v>-9.2133511311535593E-11</v>
      </c>
      <c r="G14">
        <v>-3.5190413837266599</v>
      </c>
      <c r="H14">
        <v>-1.75778596836428</v>
      </c>
      <c r="I14">
        <v>-3.8911795651947499E-10</v>
      </c>
      <c r="J14">
        <f t="shared" si="0"/>
        <v>-1.7694953518410237</v>
      </c>
      <c r="K14">
        <f t="shared" si="1"/>
        <v>1</v>
      </c>
      <c r="L14" cm="1">
        <f t="array" ref="L14">SUMPRODUCT(N(B14:H14*C14:I14&lt;0))</f>
        <v>0</v>
      </c>
      <c r="O14">
        <v>0.180824974347676</v>
      </c>
      <c r="P14">
        <v>0.86748132821930302</v>
      </c>
      <c r="Q14">
        <v>2.4900412368091701E-3</v>
      </c>
      <c r="R14">
        <v>0.87470119581085204</v>
      </c>
      <c r="S14">
        <v>0.19559633122085501</v>
      </c>
      <c r="T14">
        <v>5.0296076868244E-2</v>
      </c>
      <c r="U14">
        <v>1.35433278970914E-2</v>
      </c>
      <c r="V14">
        <f t="shared" si="2"/>
        <v>0.31213332508583297</v>
      </c>
      <c r="W14">
        <f t="shared" si="3"/>
        <v>17.892993157786602</v>
      </c>
    </row>
    <row r="15" spans="1:30" x14ac:dyDescent="0.45">
      <c r="B15">
        <v>-5.3045829276604293</v>
      </c>
      <c r="C15">
        <v>0</v>
      </c>
      <c r="D15">
        <v>-5.5511150768909598E-2</v>
      </c>
      <c r="E15">
        <v>1.76299013879221</v>
      </c>
      <c r="F15">
        <v>3.0462949225501701E-12</v>
      </c>
      <c r="G15">
        <v>-6.3622189013744307E-2</v>
      </c>
      <c r="H15">
        <v>7.0848673421582502</v>
      </c>
      <c r="I15">
        <v>-0.710620581419799</v>
      </c>
      <c r="J15">
        <f t="shared" si="0"/>
        <v>0.33919007901132808</v>
      </c>
      <c r="K15">
        <f t="shared" si="1"/>
        <v>4</v>
      </c>
      <c r="L15" cm="1">
        <f t="array" ref="L15">SUMPRODUCT(N(B15:H15*C15:I15&lt;0))</f>
        <v>4</v>
      </c>
      <c r="O15">
        <v>0.14407348342470799</v>
      </c>
      <c r="P15">
        <v>0.71104184088785904</v>
      </c>
      <c r="Q15">
        <v>0.48032554539912498</v>
      </c>
      <c r="R15">
        <v>0.47754672564760797</v>
      </c>
      <c r="S15">
        <v>0.71535603637787204</v>
      </c>
      <c r="T15">
        <v>0.155212952520938</v>
      </c>
      <c r="U15">
        <v>3.7941263872579498E-2</v>
      </c>
      <c r="V15">
        <f t="shared" si="2"/>
        <v>0.38878540687581281</v>
      </c>
      <c r="W15">
        <f t="shared" si="3"/>
        <v>22.287061540651688</v>
      </c>
    </row>
    <row r="16" spans="1:30" x14ac:dyDescent="0.45">
      <c r="B16">
        <v>-5.3045829276604293</v>
      </c>
      <c r="C16">
        <v>0</v>
      </c>
      <c r="D16">
        <v>-5.5511150768909598E-2</v>
      </c>
      <c r="E16">
        <v>-3.5190413837266599</v>
      </c>
      <c r="F16">
        <v>-1.75778596836428</v>
      </c>
      <c r="G16">
        <v>-3.8911795651947499E-10</v>
      </c>
      <c r="H16">
        <v>2.79653954007231E-4</v>
      </c>
      <c r="I16">
        <v>-3.5209268652589603</v>
      </c>
      <c r="J16">
        <f t="shared" si="0"/>
        <v>-1.7696960802767938</v>
      </c>
      <c r="K16">
        <f t="shared" si="1"/>
        <v>2</v>
      </c>
      <c r="L16" cm="1">
        <f t="array" ref="L16">SUMPRODUCT(N(B16:H16*C16:I16&lt;0))</f>
        <v>2</v>
      </c>
      <c r="O16">
        <v>0.14407348342470799</v>
      </c>
      <c r="P16">
        <v>0.71104184088785904</v>
      </c>
      <c r="Q16">
        <v>0.48032554539912498</v>
      </c>
      <c r="R16">
        <v>0.47754672564760797</v>
      </c>
      <c r="S16">
        <v>0.71535603637787204</v>
      </c>
      <c r="T16">
        <v>0.155212952520938</v>
      </c>
      <c r="U16">
        <v>3.7941263872579498E-2</v>
      </c>
      <c r="V16">
        <f t="shared" si="2"/>
        <v>0.38878540687581281</v>
      </c>
      <c r="W16">
        <f t="shared" si="3"/>
        <v>22.287061540651688</v>
      </c>
    </row>
    <row r="17" spans="2:23" x14ac:dyDescent="0.45">
      <c r="B17">
        <v>-5.3045829276604293</v>
      </c>
      <c r="C17">
        <v>0</v>
      </c>
      <c r="D17">
        <v>-5.5511150768909598E-2</v>
      </c>
      <c r="E17">
        <v>1.76299013879221</v>
      </c>
      <c r="F17">
        <v>3.0462949225501701E-12</v>
      </c>
      <c r="G17">
        <v>-6.3622189013744307E-2</v>
      </c>
      <c r="H17">
        <v>7.0848673421582502</v>
      </c>
      <c r="I17">
        <v>-0.710620581419799</v>
      </c>
      <c r="J17">
        <f t="shared" si="0"/>
        <v>0.33919007901132808</v>
      </c>
      <c r="K17">
        <f t="shared" si="1"/>
        <v>4</v>
      </c>
      <c r="L17" cm="1">
        <f t="array" ref="L17">SUMPRODUCT(N(B17:H17*C17:I17&lt;0))</f>
        <v>4</v>
      </c>
      <c r="O17">
        <v>0.178485541067262</v>
      </c>
      <c r="P17">
        <v>0.95039780615288905</v>
      </c>
      <c r="Q17">
        <v>0.218388103778136</v>
      </c>
      <c r="R17">
        <v>0.26382173773226397</v>
      </c>
      <c r="S17">
        <v>0.155531702654604</v>
      </c>
      <c r="T17">
        <v>3.5281014266621898E-2</v>
      </c>
      <c r="U17">
        <v>1.4574396947437399E-2</v>
      </c>
      <c r="V17">
        <f t="shared" si="2"/>
        <v>0.25949718608560202</v>
      </c>
      <c r="W17">
        <f t="shared" si="3"/>
        <v>14.875634871149158</v>
      </c>
    </row>
    <row r="18" spans="2:23" x14ac:dyDescent="0.45">
      <c r="B18">
        <v>-5.3045829276604293</v>
      </c>
      <c r="C18">
        <v>0</v>
      </c>
      <c r="D18">
        <v>-5.5511150768909598E-2</v>
      </c>
      <c r="E18">
        <v>1.76299013879221</v>
      </c>
      <c r="F18">
        <v>3.0462949225501701E-12</v>
      </c>
      <c r="G18">
        <v>-6.3622189013744307E-2</v>
      </c>
      <c r="H18">
        <v>7.0848673421582502</v>
      </c>
      <c r="I18">
        <v>-0.710620581419799</v>
      </c>
      <c r="J18">
        <f t="shared" si="0"/>
        <v>0.33919007901132808</v>
      </c>
      <c r="K18">
        <f t="shared" si="1"/>
        <v>4</v>
      </c>
      <c r="L18" cm="1">
        <f t="array" ref="L18">SUMPRODUCT(N(B18:H18*C18:I18&lt;0))</f>
        <v>4</v>
      </c>
      <c r="O18">
        <v>0.14407348342470799</v>
      </c>
      <c r="P18">
        <v>0.71104184088785904</v>
      </c>
      <c r="Q18">
        <v>0.48032554539912498</v>
      </c>
      <c r="R18">
        <v>0.47754672564760797</v>
      </c>
      <c r="S18">
        <v>0.71535603637787204</v>
      </c>
      <c r="T18">
        <v>0.155212952520938</v>
      </c>
      <c r="U18">
        <v>3.7941263872579498E-2</v>
      </c>
      <c r="V18">
        <f t="shared" si="2"/>
        <v>0.38878540687581281</v>
      </c>
      <c r="W18">
        <f t="shared" si="3"/>
        <v>22.287061540651688</v>
      </c>
    </row>
    <row r="19" spans="2:23" x14ac:dyDescent="0.45">
      <c r="B19">
        <v>-5.3045829276604293</v>
      </c>
      <c r="C19">
        <v>0</v>
      </c>
      <c r="D19">
        <v>-5.5511150768909598E-2</v>
      </c>
      <c r="E19">
        <v>1.76299013879221</v>
      </c>
      <c r="F19">
        <v>-3.51571289302955</v>
      </c>
      <c r="G19">
        <v>-6.3622189013744307E-2</v>
      </c>
      <c r="H19">
        <v>7.0848673421582502</v>
      </c>
      <c r="I19">
        <v>-0.710620581419799</v>
      </c>
      <c r="J19">
        <f t="shared" si="0"/>
        <v>-0.10027403261774659</v>
      </c>
      <c r="K19">
        <f t="shared" si="1"/>
        <v>3</v>
      </c>
      <c r="L19" cm="1">
        <f t="array" ref="L19">SUMPRODUCT(N(B19:H19*C19:I19&lt;0))</f>
        <v>4</v>
      </c>
      <c r="O19">
        <v>0.14407348342470799</v>
      </c>
      <c r="P19">
        <v>0.71104184088785904</v>
      </c>
      <c r="Q19">
        <v>0.48032554539912498</v>
      </c>
      <c r="R19">
        <v>0.47754672564760797</v>
      </c>
      <c r="S19">
        <v>0.71535603637787204</v>
      </c>
      <c r="T19">
        <v>0.155212952520938</v>
      </c>
      <c r="U19">
        <v>3.7941263872579498E-2</v>
      </c>
      <c r="V19">
        <f t="shared" si="2"/>
        <v>0.38878540687581281</v>
      </c>
      <c r="W19">
        <f t="shared" si="3"/>
        <v>22.287061540651688</v>
      </c>
    </row>
    <row r="20" spans="2:23" x14ac:dyDescent="0.45">
      <c r="B20">
        <v>-5.3045829276604293</v>
      </c>
      <c r="C20">
        <v>0</v>
      </c>
      <c r="D20">
        <v>-5.5511150768909598E-2</v>
      </c>
      <c r="E20">
        <v>1.76299013879221</v>
      </c>
      <c r="F20">
        <v>3.0462949225501701E-12</v>
      </c>
      <c r="G20">
        <v>-6.3622189013744307E-2</v>
      </c>
      <c r="H20">
        <v>7.0848673421582502</v>
      </c>
      <c r="I20">
        <v>-0.710620581419799</v>
      </c>
      <c r="J20">
        <f t="shared" si="0"/>
        <v>0.33919007901132808</v>
      </c>
      <c r="K20">
        <f t="shared" si="1"/>
        <v>4</v>
      </c>
      <c r="L20" cm="1">
        <f t="array" ref="L20">SUMPRODUCT(N(B20:H20*C20:I20&lt;0))</f>
        <v>4</v>
      </c>
      <c r="O20">
        <v>0.14407348342470799</v>
      </c>
      <c r="P20">
        <v>0.71104184088785904</v>
      </c>
      <c r="Q20">
        <v>0.48032554539912498</v>
      </c>
      <c r="R20">
        <v>0.47754672564760797</v>
      </c>
      <c r="S20">
        <v>0.71535603637787204</v>
      </c>
      <c r="T20">
        <v>0.155212952520938</v>
      </c>
      <c r="U20">
        <v>3.7941263872579498E-2</v>
      </c>
      <c r="V20">
        <f t="shared" si="2"/>
        <v>0.38878540687581281</v>
      </c>
      <c r="W20">
        <f t="shared" si="3"/>
        <v>22.287061540651688</v>
      </c>
    </row>
    <row r="21" spans="2:23" x14ac:dyDescent="0.45">
      <c r="B21">
        <v>-5.3045829276604293</v>
      </c>
      <c r="C21">
        <v>0</v>
      </c>
      <c r="D21">
        <v>-5.5511150768909598E-2</v>
      </c>
      <c r="E21">
        <v>1.76299013879221</v>
      </c>
      <c r="F21">
        <v>3.0462949225501701E-12</v>
      </c>
      <c r="G21">
        <v>-6.3622189013744307E-2</v>
      </c>
      <c r="H21">
        <v>7.0848673421582502</v>
      </c>
      <c r="I21">
        <v>-0.710620581419799</v>
      </c>
      <c r="J21">
        <f t="shared" si="0"/>
        <v>0.33919007901132808</v>
      </c>
      <c r="K21">
        <f t="shared" si="1"/>
        <v>4</v>
      </c>
      <c r="L21" cm="1">
        <f t="array" ref="L21">SUMPRODUCT(N(B21:H21*C21:I21&lt;0))</f>
        <v>4</v>
      </c>
      <c r="O21">
        <v>0.17857397463335201</v>
      </c>
      <c r="P21">
        <v>0.94161191039233505</v>
      </c>
      <c r="Q21">
        <v>0.18929621538432101</v>
      </c>
      <c r="R21">
        <v>0.76899990574864996</v>
      </c>
      <c r="S21">
        <v>1.11946296773704</v>
      </c>
      <c r="T21">
        <v>0.87178623855368798</v>
      </c>
      <c r="U21">
        <v>0.119295175775689</v>
      </c>
      <c r="V21">
        <f t="shared" si="2"/>
        <v>0.59843234117501076</v>
      </c>
      <c r="W21">
        <f t="shared" si="3"/>
        <v>34.305038666083419</v>
      </c>
    </row>
    <row r="22" spans="2:23" x14ac:dyDescent="0.45">
      <c r="B22">
        <v>-5.3045829276604293</v>
      </c>
      <c r="C22">
        <v>0</v>
      </c>
      <c r="D22">
        <v>-5.5511150768909598E-2</v>
      </c>
      <c r="E22">
        <v>1.76299013879221</v>
      </c>
      <c r="F22">
        <v>3.0462949225501701E-12</v>
      </c>
      <c r="G22">
        <v>-6.3622189013744307E-2</v>
      </c>
      <c r="H22">
        <v>7.0848673421582502</v>
      </c>
      <c r="I22">
        <v>-0.710620581419799</v>
      </c>
      <c r="J22">
        <f t="shared" si="0"/>
        <v>0.33919007901132808</v>
      </c>
      <c r="K22">
        <f t="shared" si="1"/>
        <v>4</v>
      </c>
      <c r="L22" cm="1">
        <f t="array" ref="L22">SUMPRODUCT(N(B22:H22*C22:I22&lt;0))</f>
        <v>4</v>
      </c>
      <c r="O22">
        <v>0.14407348342470799</v>
      </c>
      <c r="P22">
        <v>0.71104184088785904</v>
      </c>
      <c r="Q22">
        <v>0.48032554539912498</v>
      </c>
      <c r="R22">
        <v>0.47754672564760797</v>
      </c>
      <c r="S22">
        <v>0.71535603637787204</v>
      </c>
      <c r="T22">
        <v>0.155212952520938</v>
      </c>
      <c r="U22">
        <v>3.7941263872579498E-2</v>
      </c>
      <c r="V22">
        <f t="shared" si="2"/>
        <v>0.38878540687581281</v>
      </c>
      <c r="W22">
        <f t="shared" si="3"/>
        <v>22.287061540651688</v>
      </c>
    </row>
    <row r="23" spans="2:23" x14ac:dyDescent="0.45">
      <c r="B23">
        <v>-5.3045829276604293</v>
      </c>
      <c r="C23">
        <v>0</v>
      </c>
      <c r="D23">
        <v>-5.5511150768909598E-2</v>
      </c>
      <c r="E23">
        <v>-3.5190413837266599</v>
      </c>
      <c r="F23">
        <v>-9.2133511311535593E-11</v>
      </c>
      <c r="G23">
        <v>-3.5190413837266599</v>
      </c>
      <c r="H23">
        <v>-1.75778596836428</v>
      </c>
      <c r="I23">
        <v>-3.8911795651947499E-10</v>
      </c>
      <c r="J23">
        <f t="shared" si="0"/>
        <v>-1.7694953518410237</v>
      </c>
      <c r="K23">
        <f t="shared" si="1"/>
        <v>1</v>
      </c>
      <c r="L23" cm="1">
        <f t="array" ref="L23">SUMPRODUCT(N(B23:H23*C23:I23&lt;0))</f>
        <v>0</v>
      </c>
      <c r="O23">
        <v>0.180824974347676</v>
      </c>
      <c r="P23">
        <v>0.86748132821930302</v>
      </c>
      <c r="Q23">
        <v>2.4900412368091701E-3</v>
      </c>
      <c r="R23">
        <v>0.87470119581085204</v>
      </c>
      <c r="S23">
        <v>0.19559633122085501</v>
      </c>
      <c r="T23">
        <v>5.0296076868244E-2</v>
      </c>
      <c r="U23">
        <v>1.35433278970914E-2</v>
      </c>
      <c r="V23">
        <f t="shared" si="2"/>
        <v>0.31213332508583297</v>
      </c>
      <c r="W23">
        <f t="shared" si="3"/>
        <v>17.892993157786602</v>
      </c>
    </row>
    <row r="24" spans="2:23" x14ac:dyDescent="0.45">
      <c r="B24">
        <v>-5.3045829276604293</v>
      </c>
      <c r="C24">
        <v>0</v>
      </c>
      <c r="D24">
        <v>-5.5511150768909598E-2</v>
      </c>
      <c r="E24">
        <v>-3.5190413837266599</v>
      </c>
      <c r="F24">
        <v>-1.75778596836428</v>
      </c>
      <c r="G24">
        <v>-3.8911795651947499E-10</v>
      </c>
      <c r="H24">
        <v>2.79653954007231E-4</v>
      </c>
      <c r="I24">
        <v>-3.5209268652589603</v>
      </c>
      <c r="J24">
        <f t="shared" si="0"/>
        <v>-1.7696960802767938</v>
      </c>
      <c r="K24">
        <f t="shared" si="1"/>
        <v>2</v>
      </c>
      <c r="L24" cm="1">
        <f t="array" ref="L24">SUMPRODUCT(N(B24:H24*C24:I24&lt;0))</f>
        <v>2</v>
      </c>
      <c r="O24">
        <v>0.14407348342470799</v>
      </c>
      <c r="P24">
        <v>0.71104184088785904</v>
      </c>
      <c r="Q24">
        <v>0.48032554539912498</v>
      </c>
      <c r="R24">
        <v>0.47754672564760797</v>
      </c>
      <c r="S24">
        <v>0.71535603637787204</v>
      </c>
      <c r="T24">
        <v>0.155212952520938</v>
      </c>
      <c r="U24">
        <v>3.7941263872579498E-2</v>
      </c>
      <c r="V24">
        <f t="shared" si="2"/>
        <v>0.38878540687581281</v>
      </c>
      <c r="W24">
        <f t="shared" si="3"/>
        <v>22.287061540651688</v>
      </c>
    </row>
    <row r="25" spans="2:23" x14ac:dyDescent="0.45">
      <c r="B25">
        <v>-5.3045829276604293</v>
      </c>
      <c r="C25">
        <v>0</v>
      </c>
      <c r="D25">
        <v>-5.5511150768909598E-2</v>
      </c>
      <c r="E25">
        <v>1.76299013879221</v>
      </c>
      <c r="F25">
        <v>-3.51571289302955</v>
      </c>
      <c r="G25">
        <v>-6.3622189013744307E-2</v>
      </c>
      <c r="H25">
        <v>7.0848673421582502</v>
      </c>
      <c r="I25">
        <v>-0.710620581419799</v>
      </c>
      <c r="J25">
        <f t="shared" si="0"/>
        <v>-0.10027403261774659</v>
      </c>
      <c r="K25">
        <f t="shared" si="1"/>
        <v>3</v>
      </c>
      <c r="L25" cm="1">
        <f t="array" ref="L25">SUMPRODUCT(N(B25:H25*C25:I25&lt;0))</f>
        <v>4</v>
      </c>
      <c r="O25">
        <v>0.14407348342470799</v>
      </c>
      <c r="P25">
        <v>0.71104184088785904</v>
      </c>
      <c r="Q25">
        <v>0.48032554539912498</v>
      </c>
      <c r="R25">
        <v>0.47754672564760797</v>
      </c>
      <c r="S25">
        <v>0.71535603637787204</v>
      </c>
      <c r="T25">
        <v>0.155212952520938</v>
      </c>
      <c r="U25">
        <v>3.7941263872579498E-2</v>
      </c>
      <c r="V25">
        <f t="shared" si="2"/>
        <v>0.38878540687581281</v>
      </c>
      <c r="W25">
        <f t="shared" si="3"/>
        <v>22.287061540651688</v>
      </c>
    </row>
    <row r="26" spans="2:23" x14ac:dyDescent="0.45">
      <c r="B26">
        <v>-5.3045829276604293</v>
      </c>
      <c r="C26">
        <v>0</v>
      </c>
      <c r="D26">
        <v>-5.5511150768909598E-2</v>
      </c>
      <c r="E26">
        <v>1.76299013879221</v>
      </c>
      <c r="F26">
        <v>3.0462949225501701E-12</v>
      </c>
      <c r="G26">
        <v>-6.3622189013744307E-2</v>
      </c>
      <c r="H26">
        <v>7.0848673421582502</v>
      </c>
      <c r="I26">
        <v>-0.710620581419799</v>
      </c>
      <c r="J26">
        <f t="shared" si="0"/>
        <v>0.33919007901132808</v>
      </c>
      <c r="K26">
        <f t="shared" si="1"/>
        <v>4</v>
      </c>
      <c r="L26" cm="1">
        <f t="array" ref="L26">SUMPRODUCT(N(B26:H26*C26:I26&lt;0))</f>
        <v>4</v>
      </c>
      <c r="O26">
        <v>0.178485541067262</v>
      </c>
      <c r="P26">
        <v>0.95039780615288905</v>
      </c>
      <c r="Q26">
        <v>0.218388103778136</v>
      </c>
      <c r="R26">
        <v>0.26382173773226397</v>
      </c>
      <c r="S26">
        <v>0.155531702654604</v>
      </c>
      <c r="T26">
        <v>3.5281014266621898E-2</v>
      </c>
      <c r="U26">
        <v>1.4574396947437399E-2</v>
      </c>
      <c r="V26">
        <f t="shared" si="2"/>
        <v>0.25949718608560202</v>
      </c>
      <c r="W26">
        <f t="shared" si="3"/>
        <v>14.875634871149158</v>
      </c>
    </row>
    <row r="27" spans="2:23" x14ac:dyDescent="0.45">
      <c r="B27">
        <v>-5.3045829276604293</v>
      </c>
      <c r="C27">
        <v>0</v>
      </c>
      <c r="D27">
        <v>-5.5511150768909598E-2</v>
      </c>
      <c r="E27">
        <v>-3.5190413837266599</v>
      </c>
      <c r="F27">
        <v>-1.75778596836428</v>
      </c>
      <c r="G27">
        <v>-3.8911795651947499E-10</v>
      </c>
      <c r="H27">
        <v>2.79653954007231E-4</v>
      </c>
      <c r="I27">
        <v>-3.5209268652589603</v>
      </c>
      <c r="J27">
        <f t="shared" si="0"/>
        <v>-1.7696960802767938</v>
      </c>
      <c r="K27">
        <f t="shared" si="1"/>
        <v>2</v>
      </c>
      <c r="L27" cm="1">
        <f t="array" ref="L27">SUMPRODUCT(N(B27:H27*C27:I27&lt;0))</f>
        <v>2</v>
      </c>
      <c r="O27">
        <v>0.14407348342470799</v>
      </c>
      <c r="P27">
        <v>0.71104184088785904</v>
      </c>
      <c r="Q27">
        <v>0.48032554539912498</v>
      </c>
      <c r="R27">
        <v>0.47754672564760797</v>
      </c>
      <c r="S27">
        <v>0.71535603637787204</v>
      </c>
      <c r="T27">
        <v>0.155212952520938</v>
      </c>
      <c r="U27">
        <v>3.7941263872579498E-2</v>
      </c>
      <c r="V27">
        <f t="shared" si="2"/>
        <v>0.38878540687581281</v>
      </c>
      <c r="W27">
        <f t="shared" si="3"/>
        <v>22.287061540651688</v>
      </c>
    </row>
    <row r="28" spans="2:23" x14ac:dyDescent="0.45">
      <c r="B28">
        <v>-5.3045829276604293</v>
      </c>
      <c r="C28">
        <v>0</v>
      </c>
      <c r="D28">
        <v>-5.5511150768909598E-2</v>
      </c>
      <c r="E28">
        <v>1.76299013879221</v>
      </c>
      <c r="F28">
        <v>3.0462949225501701E-12</v>
      </c>
      <c r="G28">
        <v>-6.3622189013744307E-2</v>
      </c>
      <c r="H28">
        <v>7.0848673421582502</v>
      </c>
      <c r="I28">
        <v>-0.710620581419799</v>
      </c>
      <c r="J28">
        <f t="shared" si="0"/>
        <v>0.33919007901132808</v>
      </c>
      <c r="K28">
        <f t="shared" si="1"/>
        <v>4</v>
      </c>
      <c r="L28" cm="1">
        <f t="array" ref="L28">SUMPRODUCT(N(B28:H28*C28:I28&lt;0))</f>
        <v>4</v>
      </c>
      <c r="O28">
        <v>0.14407348342470799</v>
      </c>
      <c r="P28">
        <v>0.71104184088785904</v>
      </c>
      <c r="Q28">
        <v>0.48032554539912498</v>
      </c>
      <c r="R28">
        <v>0.47754672564760797</v>
      </c>
      <c r="S28">
        <v>0.71535603637787204</v>
      </c>
      <c r="T28">
        <v>0.155212952520938</v>
      </c>
      <c r="U28">
        <v>3.7941263872579498E-2</v>
      </c>
      <c r="V28">
        <f t="shared" si="2"/>
        <v>0.38878540687581281</v>
      </c>
      <c r="W28">
        <f t="shared" si="3"/>
        <v>22.287061540651688</v>
      </c>
    </row>
    <row r="29" spans="2:23" x14ac:dyDescent="0.45">
      <c r="B29">
        <v>-5.3045829276604293</v>
      </c>
      <c r="C29">
        <v>0</v>
      </c>
      <c r="D29">
        <v>-5.5511150768909598E-2</v>
      </c>
      <c r="E29">
        <v>1.76299013879221</v>
      </c>
      <c r="F29">
        <v>3.0462949225501701E-12</v>
      </c>
      <c r="G29">
        <v>-6.3622189013744307E-2</v>
      </c>
      <c r="H29">
        <v>7.0848673421582502</v>
      </c>
      <c r="I29">
        <v>-0.710620581419799</v>
      </c>
      <c r="J29">
        <f t="shared" si="0"/>
        <v>0.33919007901132808</v>
      </c>
      <c r="K29">
        <f t="shared" si="1"/>
        <v>4</v>
      </c>
      <c r="L29" cm="1">
        <f t="array" ref="L29">SUMPRODUCT(N(B29:H29*C29:I29&lt;0))</f>
        <v>4</v>
      </c>
      <c r="O29">
        <v>0.178485541067262</v>
      </c>
      <c r="P29">
        <v>0.95039780615288905</v>
      </c>
      <c r="Q29">
        <v>0.218388103778136</v>
      </c>
      <c r="R29">
        <v>0.26382173773226397</v>
      </c>
      <c r="S29">
        <v>0.155531702654604</v>
      </c>
      <c r="T29">
        <v>3.5281014266621898E-2</v>
      </c>
      <c r="U29">
        <v>1.4574396947437399E-2</v>
      </c>
      <c r="V29">
        <f t="shared" si="2"/>
        <v>0.25949718608560202</v>
      </c>
      <c r="W29">
        <f t="shared" si="3"/>
        <v>14.875634871149158</v>
      </c>
    </row>
    <row r="30" spans="2:23" x14ac:dyDescent="0.45">
      <c r="B30">
        <v>-5.3045829276604293</v>
      </c>
      <c r="C30">
        <v>0</v>
      </c>
      <c r="D30">
        <v>-5.5511150768909598E-2</v>
      </c>
      <c r="E30">
        <v>-3.5190413837266599</v>
      </c>
      <c r="F30">
        <v>-9.2133511311535593E-11</v>
      </c>
      <c r="G30">
        <v>-3.5190413837266599</v>
      </c>
      <c r="H30">
        <v>-1.75778596836428</v>
      </c>
      <c r="I30">
        <v>-3.8911795651947499E-10</v>
      </c>
      <c r="J30">
        <f t="shared" si="0"/>
        <v>-1.7694953518410237</v>
      </c>
      <c r="K30">
        <f t="shared" si="1"/>
        <v>1</v>
      </c>
      <c r="L30" cm="1">
        <f t="array" ref="L30">SUMPRODUCT(N(B30:H30*C30:I30&lt;0))</f>
        <v>0</v>
      </c>
      <c r="O30">
        <v>0.178485541067262</v>
      </c>
      <c r="P30">
        <v>0.95039780615288905</v>
      </c>
      <c r="Q30">
        <v>0.218388103778136</v>
      </c>
      <c r="R30">
        <v>0.26382173773226397</v>
      </c>
      <c r="S30">
        <v>0.155531702654604</v>
      </c>
      <c r="T30">
        <v>3.5281014266621898E-2</v>
      </c>
      <c r="U30">
        <v>1.4574396947437399E-2</v>
      </c>
      <c r="V30">
        <f t="shared" si="2"/>
        <v>0.25949718608560202</v>
      </c>
      <c r="W30">
        <f t="shared" si="3"/>
        <v>14.875634871149158</v>
      </c>
    </row>
    <row r="31" spans="2:23" x14ac:dyDescent="0.45">
      <c r="B31">
        <v>-5.3045829276604293</v>
      </c>
      <c r="C31">
        <v>0</v>
      </c>
      <c r="D31">
        <v>-5.5511150768909598E-2</v>
      </c>
      <c r="E31">
        <v>1.76299013879221</v>
      </c>
      <c r="F31">
        <v>3.0462949225501701E-12</v>
      </c>
      <c r="G31">
        <v>-6.3622189013744307E-2</v>
      </c>
      <c r="H31">
        <v>7.0848673421582502</v>
      </c>
      <c r="I31">
        <v>-0.710620581419799</v>
      </c>
      <c r="J31">
        <f t="shared" si="0"/>
        <v>0.33919007901132808</v>
      </c>
      <c r="K31">
        <f t="shared" si="1"/>
        <v>4</v>
      </c>
      <c r="L31" cm="1">
        <f t="array" ref="L31">SUMPRODUCT(N(B31:H31*C31:I31&lt;0))</f>
        <v>4</v>
      </c>
      <c r="O31">
        <v>0.14407348342470799</v>
      </c>
      <c r="P31">
        <v>0.71104184088785904</v>
      </c>
      <c r="Q31">
        <v>0.48032554539912498</v>
      </c>
      <c r="R31">
        <v>0.47754672564760797</v>
      </c>
      <c r="S31">
        <v>0.71535603637787204</v>
      </c>
      <c r="T31">
        <v>0.155212952520938</v>
      </c>
      <c r="U31">
        <v>3.7941263872579498E-2</v>
      </c>
      <c r="V31">
        <f t="shared" si="2"/>
        <v>0.38878540687581281</v>
      </c>
      <c r="W31">
        <f t="shared" si="3"/>
        <v>22.287061540651688</v>
      </c>
    </row>
    <row r="32" spans="2:23" x14ac:dyDescent="0.45">
      <c r="B32">
        <v>-5.3045829276604293</v>
      </c>
      <c r="C32">
        <v>0</v>
      </c>
      <c r="D32">
        <v>-5.5511150768909598E-2</v>
      </c>
      <c r="E32">
        <v>-3.5190413837266599</v>
      </c>
      <c r="F32">
        <v>-9.2133511311535593E-11</v>
      </c>
      <c r="G32">
        <v>-3.5190413837266599</v>
      </c>
      <c r="H32">
        <v>-9.2133511311535593E-11</v>
      </c>
      <c r="I32">
        <v>-3.5190413837266599</v>
      </c>
      <c r="J32">
        <f t="shared" si="0"/>
        <v>-1.9896522787241984</v>
      </c>
      <c r="K32">
        <f t="shared" si="1"/>
        <v>1</v>
      </c>
      <c r="L32" cm="1">
        <f t="array" ref="L32">SUMPRODUCT(N(B32:H32*C32:I32&lt;0))</f>
        <v>0</v>
      </c>
      <c r="O32">
        <v>0.14407348342470799</v>
      </c>
      <c r="P32">
        <v>0.71104184088785904</v>
      </c>
      <c r="Q32">
        <v>0.48032554539912498</v>
      </c>
      <c r="R32">
        <v>0.47754672564760797</v>
      </c>
      <c r="S32">
        <v>0.71535603637787204</v>
      </c>
      <c r="T32">
        <v>0.155212952520938</v>
      </c>
      <c r="U32">
        <v>3.7941263872579498E-2</v>
      </c>
      <c r="V32">
        <f t="shared" si="2"/>
        <v>0.38878540687581281</v>
      </c>
      <c r="W32">
        <f t="shared" si="3"/>
        <v>22.287061540651688</v>
      </c>
    </row>
    <row r="33" spans="2:23" x14ac:dyDescent="0.45">
      <c r="B33">
        <v>-5.3045829276604293</v>
      </c>
      <c r="C33">
        <v>0</v>
      </c>
      <c r="D33">
        <v>-5.5511150768909598E-2</v>
      </c>
      <c r="E33">
        <v>1.76299013879221</v>
      </c>
      <c r="F33">
        <v>3.0462949225501701E-12</v>
      </c>
      <c r="G33">
        <v>-6.3622189013744307E-2</v>
      </c>
      <c r="H33">
        <v>7.0848673421582502</v>
      </c>
      <c r="I33">
        <v>-0.710620581419799</v>
      </c>
      <c r="J33">
        <f t="shared" si="0"/>
        <v>0.33919007901132808</v>
      </c>
      <c r="K33">
        <f t="shared" si="1"/>
        <v>4</v>
      </c>
      <c r="L33" cm="1">
        <f t="array" ref="L33">SUMPRODUCT(N(B33:H33*C33:I33&lt;0))</f>
        <v>4</v>
      </c>
      <c r="O33">
        <v>0.17857397463335201</v>
      </c>
      <c r="P33">
        <v>0.94161191039233505</v>
      </c>
      <c r="Q33">
        <v>0.18929621538432101</v>
      </c>
      <c r="R33">
        <v>0.76899990574864996</v>
      </c>
      <c r="S33">
        <v>1.11946296773704</v>
      </c>
      <c r="T33">
        <v>0.87178623855368798</v>
      </c>
      <c r="U33">
        <v>0.119295175775689</v>
      </c>
      <c r="V33">
        <f t="shared" si="2"/>
        <v>0.59843234117501076</v>
      </c>
      <c r="W33">
        <f t="shared" si="3"/>
        <v>34.305038666083419</v>
      </c>
    </row>
    <row r="34" spans="2:23" x14ac:dyDescent="0.45">
      <c r="B34">
        <v>-5.3045829276604293</v>
      </c>
      <c r="C34">
        <v>0</v>
      </c>
      <c r="D34">
        <v>-5.5511150768909598E-2</v>
      </c>
      <c r="E34">
        <v>1.76299013879221</v>
      </c>
      <c r="F34">
        <v>3.0462949225501701E-12</v>
      </c>
      <c r="G34">
        <v>-6.3622189013744307E-2</v>
      </c>
      <c r="H34">
        <v>7.0848673421582502</v>
      </c>
      <c r="I34">
        <v>-0.710620581419799</v>
      </c>
      <c r="J34">
        <f t="shared" si="0"/>
        <v>0.33919007901132808</v>
      </c>
      <c r="K34">
        <f t="shared" si="1"/>
        <v>4</v>
      </c>
      <c r="L34" cm="1">
        <f t="array" ref="L34">SUMPRODUCT(N(B34:H34*C34:I34&lt;0))</f>
        <v>4</v>
      </c>
      <c r="O34">
        <v>0.14407348342470799</v>
      </c>
      <c r="P34">
        <v>0.71104184088785904</v>
      </c>
      <c r="Q34">
        <v>0.48032554539912498</v>
      </c>
      <c r="R34">
        <v>0.47754672564760797</v>
      </c>
      <c r="S34">
        <v>0.71535603637787204</v>
      </c>
      <c r="T34">
        <v>0.155212952520938</v>
      </c>
      <c r="U34">
        <v>3.7941263872579498E-2</v>
      </c>
      <c r="V34">
        <f t="shared" si="2"/>
        <v>0.38878540687581281</v>
      </c>
      <c r="W34">
        <f t="shared" si="3"/>
        <v>22.287061540651688</v>
      </c>
    </row>
    <row r="35" spans="2:23" x14ac:dyDescent="0.45">
      <c r="B35">
        <v>-5.3045829276604293</v>
      </c>
      <c r="C35">
        <v>0</v>
      </c>
      <c r="D35">
        <v>-5.5511150768909598E-2</v>
      </c>
      <c r="E35">
        <v>-3.5190413837266599</v>
      </c>
      <c r="F35">
        <v>-9.2133511311535593E-11</v>
      </c>
      <c r="G35">
        <v>-3.5190413837266599</v>
      </c>
      <c r="H35">
        <v>-9.2133511311535593E-11</v>
      </c>
      <c r="I35">
        <v>-3.5190413837266599</v>
      </c>
      <c r="J35">
        <f t="shared" si="0"/>
        <v>-1.9896522787241984</v>
      </c>
      <c r="K35">
        <f t="shared" si="1"/>
        <v>1</v>
      </c>
      <c r="L35" cm="1">
        <f t="array" ref="L35">SUMPRODUCT(N(B35:H35*C35:I35&lt;0))</f>
        <v>0</v>
      </c>
      <c r="O35">
        <v>0.66574245178060298</v>
      </c>
      <c r="P35">
        <v>0.50248746742424499</v>
      </c>
      <c r="Q35">
        <v>0.47140495286594802</v>
      </c>
      <c r="R35">
        <v>0.71813402686234395</v>
      </c>
      <c r="S35">
        <v>0.156805767445405</v>
      </c>
      <c r="T35">
        <v>4.1529615442077901E-2</v>
      </c>
      <c r="U35">
        <v>1.1290730436279499E-2</v>
      </c>
      <c r="V35">
        <f t="shared" si="2"/>
        <v>0.36677071603670036</v>
      </c>
      <c r="W35">
        <f t="shared" si="3"/>
        <v>21.025072893823587</v>
      </c>
    </row>
    <row r="36" spans="2:23" x14ac:dyDescent="0.45">
      <c r="B36">
        <v>-5.3045829276604293</v>
      </c>
      <c r="C36">
        <v>0</v>
      </c>
      <c r="D36">
        <v>-5.5511150768909598E-2</v>
      </c>
      <c r="E36">
        <v>-3.5190413837266599</v>
      </c>
      <c r="F36">
        <v>-9.2133511311535593E-11</v>
      </c>
      <c r="G36">
        <v>-3.5190413837266599</v>
      </c>
      <c r="H36">
        <v>-1.75778596836428</v>
      </c>
      <c r="I36">
        <v>-3.8911795651947499E-10</v>
      </c>
      <c r="J36">
        <f t="shared" si="0"/>
        <v>-1.7694953518410237</v>
      </c>
      <c r="K36">
        <f t="shared" si="1"/>
        <v>1</v>
      </c>
      <c r="L36" cm="1">
        <f t="array" ref="L36">SUMPRODUCT(N(B36:H36*C36:I36&lt;0))</f>
        <v>0</v>
      </c>
      <c r="O36">
        <v>0.178485541067262</v>
      </c>
      <c r="P36">
        <v>0.95039780615288905</v>
      </c>
      <c r="Q36">
        <v>0.218388103778136</v>
      </c>
      <c r="R36">
        <v>0.26382173773226397</v>
      </c>
      <c r="S36">
        <v>0.155531702654604</v>
      </c>
      <c r="T36">
        <v>3.5281014266621898E-2</v>
      </c>
      <c r="U36">
        <v>1.4574396947437399E-2</v>
      </c>
      <c r="V36">
        <f t="shared" si="2"/>
        <v>0.25949718608560202</v>
      </c>
      <c r="W36">
        <f t="shared" si="3"/>
        <v>14.875634871149158</v>
      </c>
    </row>
    <row r="37" spans="2:23" x14ac:dyDescent="0.45">
      <c r="B37">
        <v>-5.3045829276604293</v>
      </c>
      <c r="C37">
        <v>0</v>
      </c>
      <c r="D37">
        <v>-5.5511150768909598E-2</v>
      </c>
      <c r="E37">
        <v>1.76299013879221</v>
      </c>
      <c r="F37">
        <v>3.0462949225501701E-12</v>
      </c>
      <c r="G37">
        <v>-6.3622189013744307E-2</v>
      </c>
      <c r="H37">
        <v>7.0848673421582502</v>
      </c>
      <c r="I37">
        <v>-0.710620581419799</v>
      </c>
      <c r="J37">
        <f t="shared" si="0"/>
        <v>0.33919007901132808</v>
      </c>
      <c r="K37">
        <f t="shared" si="1"/>
        <v>4</v>
      </c>
      <c r="L37" cm="1">
        <f t="array" ref="L37">SUMPRODUCT(N(B37:H37*C37:I37&lt;0))</f>
        <v>4</v>
      </c>
      <c r="O37">
        <v>0.14407348342470799</v>
      </c>
      <c r="P37">
        <v>0.71104184088785904</v>
      </c>
      <c r="Q37">
        <v>0.48032554539912498</v>
      </c>
      <c r="R37">
        <v>0.47754672564760797</v>
      </c>
      <c r="S37">
        <v>0.71535603637787204</v>
      </c>
      <c r="T37">
        <v>0.155212952520938</v>
      </c>
      <c r="U37">
        <v>3.7941263872579498E-2</v>
      </c>
      <c r="V37">
        <f t="shared" si="2"/>
        <v>0.38878540687581281</v>
      </c>
      <c r="W37">
        <f t="shared" si="3"/>
        <v>22.287061540651688</v>
      </c>
    </row>
    <row r="38" spans="2:23" x14ac:dyDescent="0.45">
      <c r="B38">
        <v>-5.3045829276604293</v>
      </c>
      <c r="C38">
        <v>0</v>
      </c>
      <c r="D38">
        <v>-5.5511150768909598E-2</v>
      </c>
      <c r="E38">
        <v>1.76299013879221</v>
      </c>
      <c r="F38">
        <v>3.0462949225501701E-12</v>
      </c>
      <c r="G38">
        <v>-6.3622189013744307E-2</v>
      </c>
      <c r="H38">
        <v>7.0848673421582502</v>
      </c>
      <c r="I38">
        <v>-0.710620581419799</v>
      </c>
      <c r="J38">
        <f t="shared" si="0"/>
        <v>0.33919007901132808</v>
      </c>
      <c r="K38">
        <f t="shared" si="1"/>
        <v>4</v>
      </c>
      <c r="L38" cm="1">
        <f t="array" ref="L38">SUMPRODUCT(N(B38:H38*C38:I38&lt;0))</f>
        <v>4</v>
      </c>
      <c r="O38">
        <v>0.14407348342470799</v>
      </c>
      <c r="P38">
        <v>0.71104184088785904</v>
      </c>
      <c r="Q38">
        <v>0.48032554539912498</v>
      </c>
      <c r="R38">
        <v>0.47754672564760797</v>
      </c>
      <c r="S38">
        <v>0.71535603637787204</v>
      </c>
      <c r="T38">
        <v>0.155212952520938</v>
      </c>
      <c r="U38">
        <v>3.7941263872579498E-2</v>
      </c>
      <c r="V38">
        <f t="shared" si="2"/>
        <v>0.38878540687581281</v>
      </c>
      <c r="W38">
        <f t="shared" si="3"/>
        <v>22.287061540651688</v>
      </c>
    </row>
    <row r="39" spans="2:23" x14ac:dyDescent="0.45">
      <c r="B39">
        <v>-5.3045829276604293</v>
      </c>
      <c r="C39">
        <v>0</v>
      </c>
      <c r="D39">
        <v>-5.5511150768909598E-2</v>
      </c>
      <c r="E39">
        <v>1.76299013879221</v>
      </c>
      <c r="F39">
        <v>3.0462949225501701E-12</v>
      </c>
      <c r="G39">
        <v>-6.3622189013744307E-2</v>
      </c>
      <c r="H39">
        <v>7.0848673421582502</v>
      </c>
      <c r="I39">
        <v>-0.710620581419799</v>
      </c>
      <c r="J39">
        <f t="shared" si="0"/>
        <v>0.33919007901132808</v>
      </c>
      <c r="K39">
        <f t="shared" si="1"/>
        <v>4</v>
      </c>
      <c r="L39" cm="1">
        <f t="array" ref="L39">SUMPRODUCT(N(B39:H39*C39:I39&lt;0))</f>
        <v>4</v>
      </c>
      <c r="O39">
        <v>0.14407348342470799</v>
      </c>
      <c r="P39">
        <v>0.71104184088785904</v>
      </c>
      <c r="Q39">
        <v>0.48032554539912498</v>
      </c>
      <c r="R39">
        <v>0.47754672564760797</v>
      </c>
      <c r="S39">
        <v>0.71535603637787204</v>
      </c>
      <c r="T39">
        <v>0.155212952520938</v>
      </c>
      <c r="U39">
        <v>3.7941263872579498E-2</v>
      </c>
      <c r="V39">
        <f t="shared" si="2"/>
        <v>0.38878540687581281</v>
      </c>
      <c r="W39">
        <f t="shared" si="3"/>
        <v>22.287061540651688</v>
      </c>
    </row>
    <row r="40" spans="2:23" x14ac:dyDescent="0.45">
      <c r="B40">
        <v>-5.3045829276604293</v>
      </c>
      <c r="C40">
        <v>0</v>
      </c>
      <c r="D40">
        <v>-5.5511150768909598E-2</v>
      </c>
      <c r="E40">
        <v>1.76299013879221</v>
      </c>
      <c r="F40">
        <v>3.0462949225501701E-12</v>
      </c>
      <c r="G40">
        <v>-6.3622189013744307E-2</v>
      </c>
      <c r="H40">
        <v>7.0848673421582502</v>
      </c>
      <c r="I40">
        <v>-0.710620581419799</v>
      </c>
      <c r="J40">
        <f t="shared" si="0"/>
        <v>0.33919007901132808</v>
      </c>
      <c r="K40">
        <f t="shared" si="1"/>
        <v>4</v>
      </c>
      <c r="L40" cm="1">
        <f t="array" ref="L40">SUMPRODUCT(N(B40:H40*C40:I40&lt;0))</f>
        <v>4</v>
      </c>
      <c r="O40">
        <v>0.178485541067262</v>
      </c>
      <c r="P40">
        <v>0.95039780615288905</v>
      </c>
      <c r="Q40">
        <v>0.218388103778136</v>
      </c>
      <c r="R40">
        <v>0.26382173773226397</v>
      </c>
      <c r="S40">
        <v>0.155531702654604</v>
      </c>
      <c r="T40">
        <v>3.5281014266621898E-2</v>
      </c>
      <c r="U40">
        <v>1.4574396947437399E-2</v>
      </c>
      <c r="V40">
        <f t="shared" si="2"/>
        <v>0.25949718608560202</v>
      </c>
      <c r="W40">
        <f t="shared" si="3"/>
        <v>14.875634871149158</v>
      </c>
    </row>
    <row r="41" spans="2:23" x14ac:dyDescent="0.45">
      <c r="B41">
        <v>-5.3045829276604293</v>
      </c>
      <c r="C41">
        <v>0</v>
      </c>
      <c r="D41">
        <v>-5.5511150768909598E-2</v>
      </c>
      <c r="E41">
        <v>1.76299013879221</v>
      </c>
      <c r="F41">
        <v>3.0462949225501701E-12</v>
      </c>
      <c r="G41">
        <v>-6.3622189013744307E-2</v>
      </c>
      <c r="H41">
        <v>7.0848673421582502</v>
      </c>
      <c r="I41">
        <v>-0.710620581419799</v>
      </c>
      <c r="J41">
        <f t="shared" si="0"/>
        <v>0.33919007901132808</v>
      </c>
      <c r="K41">
        <f t="shared" si="1"/>
        <v>4</v>
      </c>
      <c r="L41" cm="1">
        <f t="array" ref="L41">SUMPRODUCT(N(B41:H41*C41:I41&lt;0))</f>
        <v>4</v>
      </c>
      <c r="O41">
        <v>0.14407348342470799</v>
      </c>
      <c r="P41">
        <v>0.71104184088785904</v>
      </c>
      <c r="Q41">
        <v>0.48032554539912498</v>
      </c>
      <c r="R41">
        <v>0.47754672564760797</v>
      </c>
      <c r="S41">
        <v>0.71535603637787204</v>
      </c>
      <c r="T41">
        <v>0.155212952520938</v>
      </c>
      <c r="U41">
        <v>3.7941263872579498E-2</v>
      </c>
      <c r="V41">
        <f t="shared" si="2"/>
        <v>0.38878540687581281</v>
      </c>
      <c r="W41">
        <f t="shared" si="3"/>
        <v>22.287061540651688</v>
      </c>
    </row>
    <row r="42" spans="2:23" x14ac:dyDescent="0.45">
      <c r="B42">
        <v>-5.3045829276604293</v>
      </c>
      <c r="C42">
        <v>0</v>
      </c>
      <c r="D42">
        <v>-5.5511150768909598E-2</v>
      </c>
      <c r="E42">
        <v>1.76299013879221</v>
      </c>
      <c r="F42">
        <v>3.0462949225501701E-12</v>
      </c>
      <c r="G42">
        <v>-6.3622189013744307E-2</v>
      </c>
      <c r="H42">
        <v>7.0848673421582502</v>
      </c>
      <c r="I42">
        <v>-0.710620581419799</v>
      </c>
      <c r="J42">
        <f t="shared" si="0"/>
        <v>0.33919007901132808</v>
      </c>
      <c r="K42">
        <f t="shared" si="1"/>
        <v>4</v>
      </c>
      <c r="L42" cm="1">
        <f t="array" ref="L42">SUMPRODUCT(N(B42:H42*C42:I42&lt;0))</f>
        <v>4</v>
      </c>
      <c r="O42">
        <v>0.178485541067262</v>
      </c>
      <c r="P42">
        <v>0.95039780615288905</v>
      </c>
      <c r="Q42">
        <v>0.218388103778136</v>
      </c>
      <c r="R42">
        <v>0.26382173773226397</v>
      </c>
      <c r="S42">
        <v>0.155531702654604</v>
      </c>
      <c r="T42">
        <v>3.5281014266621898E-2</v>
      </c>
      <c r="U42">
        <v>1.4574396947437399E-2</v>
      </c>
      <c r="V42">
        <f t="shared" si="2"/>
        <v>0.25949718608560202</v>
      </c>
      <c r="W42">
        <f t="shared" si="3"/>
        <v>14.875634871149158</v>
      </c>
    </row>
    <row r="43" spans="2:23" x14ac:dyDescent="0.45">
      <c r="B43">
        <v>-5.3045829276604293</v>
      </c>
      <c r="C43">
        <v>0</v>
      </c>
      <c r="D43">
        <v>-5.5511150768909598E-2</v>
      </c>
      <c r="E43">
        <v>-3.5190413837266599</v>
      </c>
      <c r="F43">
        <v>-9.2133511311535593E-11</v>
      </c>
      <c r="G43">
        <v>-3.5190413837266599</v>
      </c>
      <c r="H43">
        <v>-1.75778596836428</v>
      </c>
      <c r="I43">
        <v>-3.8911795651947499E-10</v>
      </c>
      <c r="J43">
        <f t="shared" si="0"/>
        <v>-1.7694953518410237</v>
      </c>
      <c r="K43">
        <f t="shared" si="1"/>
        <v>1</v>
      </c>
      <c r="L43" cm="1">
        <f t="array" ref="L43">SUMPRODUCT(N(B43:H43*C43:I43&lt;0))</f>
        <v>0</v>
      </c>
      <c r="O43">
        <v>0.66574245178060298</v>
      </c>
      <c r="P43">
        <v>0.50248746742424499</v>
      </c>
      <c r="Q43">
        <v>0.47140495286594802</v>
      </c>
      <c r="R43">
        <v>0.71813402686234395</v>
      </c>
      <c r="S43">
        <v>0.156805767445405</v>
      </c>
      <c r="T43">
        <v>4.1529615442077901E-2</v>
      </c>
      <c r="U43">
        <v>1.1290730436279499E-2</v>
      </c>
      <c r="V43">
        <f t="shared" si="2"/>
        <v>0.36677071603670036</v>
      </c>
      <c r="W43">
        <f t="shared" si="3"/>
        <v>21.025072893823587</v>
      </c>
    </row>
    <row r="44" spans="2:23" x14ac:dyDescent="0.45">
      <c r="B44">
        <v>-5.3045829276604293</v>
      </c>
      <c r="C44">
        <v>0</v>
      </c>
      <c r="D44">
        <v>-5.5511150768909598E-2</v>
      </c>
      <c r="E44">
        <v>-3.5190413837266599</v>
      </c>
      <c r="F44">
        <v>-1.75778596836428</v>
      </c>
      <c r="G44">
        <v>-3.8911795651947499E-10</v>
      </c>
      <c r="H44">
        <v>2.79653954007231E-4</v>
      </c>
      <c r="I44">
        <v>-3.5209268652589603</v>
      </c>
      <c r="J44">
        <f t="shared" si="0"/>
        <v>-1.7696960802767938</v>
      </c>
      <c r="K44">
        <f t="shared" si="1"/>
        <v>2</v>
      </c>
      <c r="L44" cm="1">
        <f t="array" ref="L44">SUMPRODUCT(N(B44:H44*C44:I44&lt;0))</f>
        <v>2</v>
      </c>
      <c r="O44">
        <v>0.180824974347676</v>
      </c>
      <c r="P44">
        <v>0.86748132821930302</v>
      </c>
      <c r="Q44">
        <v>2.4900412368091701E-3</v>
      </c>
      <c r="R44">
        <v>0.87470119581085204</v>
      </c>
      <c r="S44">
        <v>0.19559633122085501</v>
      </c>
      <c r="T44">
        <v>5.0296076868244E-2</v>
      </c>
      <c r="U44">
        <v>1.35433278970914E-2</v>
      </c>
      <c r="V44">
        <f t="shared" si="2"/>
        <v>0.31213332508583297</v>
      </c>
      <c r="W44">
        <f t="shared" si="3"/>
        <v>17.892993157786602</v>
      </c>
    </row>
    <row r="45" spans="2:23" x14ac:dyDescent="0.45">
      <c r="B45">
        <v>-5.3045829276604293</v>
      </c>
      <c r="C45">
        <v>0</v>
      </c>
      <c r="D45">
        <v>-5.5511150768909598E-2</v>
      </c>
      <c r="E45">
        <v>1.76299013879221</v>
      </c>
      <c r="F45">
        <v>-3.51571289302955</v>
      </c>
      <c r="G45">
        <v>-6.3622189013744307E-2</v>
      </c>
      <c r="H45">
        <v>7.0848673421582502</v>
      </c>
      <c r="I45">
        <v>-0.710620581419799</v>
      </c>
      <c r="J45">
        <f t="shared" si="0"/>
        <v>-0.10027403261774659</v>
      </c>
      <c r="K45">
        <f t="shared" si="1"/>
        <v>3</v>
      </c>
      <c r="L45" cm="1">
        <f t="array" ref="L45">SUMPRODUCT(N(B45:H45*C45:I45&lt;0))</f>
        <v>4</v>
      </c>
      <c r="O45">
        <v>0.180824974347676</v>
      </c>
      <c r="P45">
        <v>0.86748132821930302</v>
      </c>
      <c r="Q45">
        <v>2.4900412368091701E-3</v>
      </c>
      <c r="R45">
        <v>0.87470119581085204</v>
      </c>
      <c r="S45">
        <v>0.19559633122085501</v>
      </c>
      <c r="T45">
        <v>5.0296076868244E-2</v>
      </c>
      <c r="U45">
        <v>1.35433278970914E-2</v>
      </c>
      <c r="V45">
        <f t="shared" si="2"/>
        <v>0.31213332508583297</v>
      </c>
      <c r="W45">
        <f t="shared" si="3"/>
        <v>17.892993157786602</v>
      </c>
    </row>
    <row r="46" spans="2:23" x14ac:dyDescent="0.45">
      <c r="B46">
        <v>-5.3045829276604293</v>
      </c>
      <c r="C46">
        <v>0</v>
      </c>
      <c r="D46">
        <v>-5.5511150768909598E-2</v>
      </c>
      <c r="E46">
        <v>1.76299013879221</v>
      </c>
      <c r="F46">
        <v>3.0462949225501701E-12</v>
      </c>
      <c r="G46">
        <v>-6.3622189013744307E-2</v>
      </c>
      <c r="H46">
        <v>7.0848673421582502</v>
      </c>
      <c r="I46">
        <v>-0.710620581419799</v>
      </c>
      <c r="J46">
        <f t="shared" si="0"/>
        <v>0.33919007901132808</v>
      </c>
      <c r="K46">
        <f t="shared" si="1"/>
        <v>4</v>
      </c>
      <c r="L46" cm="1">
        <f t="array" ref="L46">SUMPRODUCT(N(B46:H46*C46:I46&lt;0))</f>
        <v>4</v>
      </c>
      <c r="O46">
        <v>0.14407348342470799</v>
      </c>
      <c r="P46">
        <v>0.71104184088785904</v>
      </c>
      <c r="Q46">
        <v>0.48032554539912498</v>
      </c>
      <c r="R46">
        <v>0.47754672564760797</v>
      </c>
      <c r="S46">
        <v>0.71535603637787204</v>
      </c>
      <c r="T46">
        <v>0.155212952520938</v>
      </c>
      <c r="U46">
        <v>3.7941263872579498E-2</v>
      </c>
      <c r="V46">
        <f t="shared" si="2"/>
        <v>0.38878540687581281</v>
      </c>
      <c r="W46">
        <f t="shared" si="3"/>
        <v>22.287061540651688</v>
      </c>
    </row>
    <row r="47" spans="2:23" x14ac:dyDescent="0.45">
      <c r="B47">
        <v>-5.3045829276604293</v>
      </c>
      <c r="C47">
        <v>0</v>
      </c>
      <c r="D47">
        <v>-5.5511150768909598E-2</v>
      </c>
      <c r="E47">
        <v>-3.5190413837266599</v>
      </c>
      <c r="F47">
        <v>-1.75778596836428</v>
      </c>
      <c r="G47">
        <v>-3.8911795651947499E-10</v>
      </c>
      <c r="H47">
        <v>2.79653954007231E-4</v>
      </c>
      <c r="I47">
        <v>-3.5209268652589603</v>
      </c>
      <c r="J47">
        <f t="shared" si="0"/>
        <v>-1.7696960802767938</v>
      </c>
      <c r="K47">
        <f t="shared" si="1"/>
        <v>2</v>
      </c>
      <c r="L47" cm="1">
        <f t="array" ref="L47">SUMPRODUCT(N(B47:H47*C47:I47&lt;0))</f>
        <v>2</v>
      </c>
      <c r="O47">
        <v>0.14407348342470799</v>
      </c>
      <c r="P47">
        <v>0.71104184088785904</v>
      </c>
      <c r="Q47">
        <v>0.48032554539912498</v>
      </c>
      <c r="R47">
        <v>0.47754672564760797</v>
      </c>
      <c r="S47">
        <v>0.71535603637787204</v>
      </c>
      <c r="T47">
        <v>0.155212952520938</v>
      </c>
      <c r="U47">
        <v>3.7941263872579498E-2</v>
      </c>
      <c r="V47">
        <f t="shared" si="2"/>
        <v>0.38878540687581281</v>
      </c>
      <c r="W47">
        <f t="shared" si="3"/>
        <v>22.287061540651688</v>
      </c>
    </row>
    <row r="48" spans="2:23" x14ac:dyDescent="0.45">
      <c r="B48">
        <v>-5.3045829276604293</v>
      </c>
      <c r="C48">
        <v>0</v>
      </c>
      <c r="D48">
        <v>-5.5511150768909598E-2</v>
      </c>
      <c r="E48">
        <v>1.76299013879221</v>
      </c>
      <c r="F48">
        <v>3.0462949225501701E-12</v>
      </c>
      <c r="G48">
        <v>-6.3622189013744307E-2</v>
      </c>
      <c r="H48">
        <v>7.0848673421582502</v>
      </c>
      <c r="I48">
        <v>-0.710620581419799</v>
      </c>
      <c r="J48">
        <f t="shared" si="0"/>
        <v>0.33919007901132808</v>
      </c>
      <c r="K48">
        <f t="shared" si="1"/>
        <v>4</v>
      </c>
      <c r="L48" cm="1">
        <f t="array" ref="L48">SUMPRODUCT(N(B48:H48*C48:I48&lt;0))</f>
        <v>4</v>
      </c>
      <c r="O48">
        <v>0.14407348342470799</v>
      </c>
      <c r="P48">
        <v>0.71104184088785904</v>
      </c>
      <c r="Q48">
        <v>0.48032554539912498</v>
      </c>
      <c r="R48">
        <v>0.47754672564760797</v>
      </c>
      <c r="S48">
        <v>0.71535603637787204</v>
      </c>
      <c r="T48">
        <v>0.155212952520938</v>
      </c>
      <c r="U48">
        <v>3.7941263872579498E-2</v>
      </c>
      <c r="V48">
        <f t="shared" si="2"/>
        <v>0.38878540687581281</v>
      </c>
      <c r="W48">
        <f t="shared" si="3"/>
        <v>22.287061540651688</v>
      </c>
    </row>
    <row r="49" spans="2:23" x14ac:dyDescent="0.45">
      <c r="B49">
        <v>-5.3045829276604293</v>
      </c>
      <c r="C49">
        <v>0</v>
      </c>
      <c r="D49">
        <v>-5.5511150768909598E-2</v>
      </c>
      <c r="E49">
        <v>1.76299013879221</v>
      </c>
      <c r="F49">
        <v>3.0462949225501701E-12</v>
      </c>
      <c r="G49">
        <v>-6.3622189013744307E-2</v>
      </c>
      <c r="H49">
        <v>7.0848673421582502</v>
      </c>
      <c r="I49">
        <v>-0.710620581419799</v>
      </c>
      <c r="J49">
        <f t="shared" si="0"/>
        <v>0.33919007901132808</v>
      </c>
      <c r="K49">
        <f t="shared" si="1"/>
        <v>4</v>
      </c>
      <c r="L49" cm="1">
        <f t="array" ref="L49">SUMPRODUCT(N(B49:H49*C49:I49&lt;0))</f>
        <v>4</v>
      </c>
      <c r="O49">
        <v>0.180824974347676</v>
      </c>
      <c r="P49">
        <v>0.86748132821930302</v>
      </c>
      <c r="Q49">
        <v>2.4900412368091701E-3</v>
      </c>
      <c r="R49">
        <v>0.87470119581085204</v>
      </c>
      <c r="S49">
        <v>0.19559633122085501</v>
      </c>
      <c r="T49">
        <v>5.0296076868244E-2</v>
      </c>
      <c r="U49">
        <v>1.35433278970914E-2</v>
      </c>
      <c r="V49">
        <f t="shared" si="2"/>
        <v>0.31213332508583297</v>
      </c>
      <c r="W49">
        <f t="shared" si="3"/>
        <v>17.892993157786602</v>
      </c>
    </row>
    <row r="50" spans="2:23" x14ac:dyDescent="0.45">
      <c r="B50">
        <v>-5.3045829276604293</v>
      </c>
      <c r="C50">
        <v>0</v>
      </c>
      <c r="D50">
        <v>-5.5511150768909598E-2</v>
      </c>
      <c r="E50">
        <v>-3.5190413837266599</v>
      </c>
      <c r="F50">
        <v>-9.2133511311535593E-11</v>
      </c>
      <c r="G50">
        <v>-3.5190413837266599</v>
      </c>
      <c r="H50">
        <v>-1.75778596836428</v>
      </c>
      <c r="I50">
        <v>-3.8911795651947499E-10</v>
      </c>
      <c r="J50">
        <f t="shared" si="0"/>
        <v>-1.7694953518410237</v>
      </c>
      <c r="K50">
        <f t="shared" si="1"/>
        <v>1</v>
      </c>
      <c r="L50" cm="1">
        <f t="array" ref="L50">SUMPRODUCT(N(B50:H50*C50:I50&lt;0))</f>
        <v>0</v>
      </c>
      <c r="O50">
        <v>0.14407348342470799</v>
      </c>
      <c r="P50">
        <v>0.71104184088785904</v>
      </c>
      <c r="Q50">
        <v>0.48032554539912498</v>
      </c>
      <c r="R50">
        <v>0.47754672564760797</v>
      </c>
      <c r="S50">
        <v>0.71535603637787204</v>
      </c>
      <c r="T50">
        <v>0.155212952520938</v>
      </c>
      <c r="U50">
        <v>3.7941263872579498E-2</v>
      </c>
      <c r="V50">
        <f t="shared" si="2"/>
        <v>0.38878540687581281</v>
      </c>
      <c r="W50">
        <f t="shared" si="3"/>
        <v>22.287061540651688</v>
      </c>
    </row>
    <row r="51" spans="2:23" x14ac:dyDescent="0.45">
      <c r="B51">
        <v>-5.3045829276604293</v>
      </c>
      <c r="C51">
        <v>0</v>
      </c>
      <c r="D51">
        <v>-5.5511150768909598E-2</v>
      </c>
      <c r="E51">
        <v>1.76299013879221</v>
      </c>
      <c r="F51">
        <v>3.0462949225501701E-12</v>
      </c>
      <c r="G51">
        <v>-6.3622189013744307E-2</v>
      </c>
      <c r="H51">
        <v>7.0848673421582502</v>
      </c>
      <c r="I51">
        <v>-0.710620581419799</v>
      </c>
      <c r="J51">
        <f t="shared" si="0"/>
        <v>0.33919007901132808</v>
      </c>
      <c r="K51">
        <f t="shared" si="1"/>
        <v>4</v>
      </c>
      <c r="L51" cm="1">
        <f t="array" ref="L51">SUMPRODUCT(N(B51:H51*C51:I51&lt;0))</f>
        <v>4</v>
      </c>
      <c r="O51">
        <v>0.180824974347676</v>
      </c>
      <c r="P51">
        <v>0.86748132821930302</v>
      </c>
      <c r="Q51">
        <v>2.4900412368091701E-3</v>
      </c>
      <c r="R51">
        <v>0.87470119581085204</v>
      </c>
      <c r="S51">
        <v>0.19559633122085501</v>
      </c>
      <c r="T51">
        <v>5.0296076868244E-2</v>
      </c>
      <c r="U51">
        <v>1.35433278970914E-2</v>
      </c>
      <c r="V51">
        <f t="shared" si="2"/>
        <v>0.31213332508583297</v>
      </c>
      <c r="W51">
        <f t="shared" si="3"/>
        <v>17.892993157786602</v>
      </c>
    </row>
    <row r="52" spans="2:23" x14ac:dyDescent="0.45">
      <c r="B52">
        <v>-5.3045829276604293</v>
      </c>
      <c r="C52">
        <v>0</v>
      </c>
      <c r="D52">
        <v>-5.5511150768909598E-2</v>
      </c>
      <c r="E52">
        <v>1.76299013879221</v>
      </c>
      <c r="F52">
        <v>3.0462949225501701E-12</v>
      </c>
      <c r="G52">
        <v>-6.3622189013744307E-2</v>
      </c>
      <c r="H52">
        <v>7.0848673421582502</v>
      </c>
      <c r="I52">
        <v>-0.710620581419799</v>
      </c>
      <c r="J52">
        <f t="shared" si="0"/>
        <v>0.33919007901132808</v>
      </c>
      <c r="K52">
        <f t="shared" si="1"/>
        <v>4</v>
      </c>
      <c r="L52" cm="1">
        <f t="array" ref="L52">SUMPRODUCT(N(B52:H52*C52:I52&lt;0))</f>
        <v>4</v>
      </c>
      <c r="O52">
        <v>0.14407348342470799</v>
      </c>
      <c r="P52">
        <v>0.71104184088785904</v>
      </c>
      <c r="Q52">
        <v>0.48032554539912498</v>
      </c>
      <c r="R52">
        <v>0.47754672564760797</v>
      </c>
      <c r="S52">
        <v>0.71535603637787204</v>
      </c>
      <c r="T52">
        <v>0.155212952520938</v>
      </c>
      <c r="U52">
        <v>3.7941263872579498E-2</v>
      </c>
      <c r="V52">
        <f t="shared" si="2"/>
        <v>0.38878540687581281</v>
      </c>
      <c r="W52">
        <f t="shared" si="3"/>
        <v>22.287061540651688</v>
      </c>
    </row>
    <row r="53" spans="2:23" x14ac:dyDescent="0.45">
      <c r="B53">
        <v>-5.3045829276604293</v>
      </c>
      <c r="C53">
        <v>0</v>
      </c>
      <c r="D53">
        <v>-5.5511150768909598E-2</v>
      </c>
      <c r="E53">
        <v>-3.5190413837266599</v>
      </c>
      <c r="F53">
        <v>-1.75778596836428</v>
      </c>
      <c r="G53">
        <v>-3.8911795651947499E-10</v>
      </c>
      <c r="H53">
        <v>2.79653954007231E-4</v>
      </c>
      <c r="I53">
        <v>-3.5209268652589603</v>
      </c>
      <c r="J53">
        <f t="shared" si="0"/>
        <v>-1.7696960802767938</v>
      </c>
      <c r="K53">
        <f t="shared" si="1"/>
        <v>2</v>
      </c>
      <c r="L53" cm="1">
        <f t="array" ref="L53">SUMPRODUCT(N(B53:H53*C53:I53&lt;0))</f>
        <v>2</v>
      </c>
      <c r="O53">
        <v>0.180824974347676</v>
      </c>
      <c r="P53">
        <v>0.86748132821930302</v>
      </c>
      <c r="Q53">
        <v>2.4900412368091701E-3</v>
      </c>
      <c r="R53">
        <v>0.87470119581085204</v>
      </c>
      <c r="S53">
        <v>0.19559633122085501</v>
      </c>
      <c r="T53">
        <v>5.0296076868244E-2</v>
      </c>
      <c r="U53">
        <v>1.35433278970914E-2</v>
      </c>
      <c r="V53">
        <f t="shared" si="2"/>
        <v>0.31213332508583297</v>
      </c>
      <c r="W53">
        <f t="shared" si="3"/>
        <v>17.892993157786602</v>
      </c>
    </row>
    <row r="54" spans="2:23" x14ac:dyDescent="0.45">
      <c r="B54">
        <v>-5.3045829276604293</v>
      </c>
      <c r="C54">
        <v>0</v>
      </c>
      <c r="D54">
        <v>-5.5511150768909598E-2</v>
      </c>
      <c r="E54">
        <v>-3.5190413837266599</v>
      </c>
      <c r="F54">
        <v>-1.75778596836428</v>
      </c>
      <c r="G54">
        <v>-3.8911795651947499E-10</v>
      </c>
      <c r="H54">
        <v>2.79653954007231E-4</v>
      </c>
      <c r="I54">
        <v>-3.5209268652589603</v>
      </c>
      <c r="J54">
        <f t="shared" si="0"/>
        <v>-1.7696960802767938</v>
      </c>
      <c r="K54">
        <f t="shared" si="1"/>
        <v>2</v>
      </c>
      <c r="L54" cm="1">
        <f t="array" ref="L54">SUMPRODUCT(N(B54:H54*C54:I54&lt;0))</f>
        <v>2</v>
      </c>
      <c r="O54">
        <v>0.180824974347676</v>
      </c>
      <c r="P54">
        <v>0.86748132821930302</v>
      </c>
      <c r="Q54">
        <v>2.4900412368091701E-3</v>
      </c>
      <c r="R54">
        <v>0.87470119581085204</v>
      </c>
      <c r="S54">
        <v>0.19559633122085501</v>
      </c>
      <c r="T54">
        <v>5.0296076868244E-2</v>
      </c>
      <c r="U54">
        <v>1.35433278970914E-2</v>
      </c>
      <c r="V54">
        <f t="shared" si="2"/>
        <v>0.31213332508583297</v>
      </c>
      <c r="W54">
        <f t="shared" si="3"/>
        <v>17.892993157786602</v>
      </c>
    </row>
    <row r="55" spans="2:23" x14ac:dyDescent="0.45">
      <c r="B55">
        <v>-5.3045829276604293</v>
      </c>
      <c r="C55">
        <v>0</v>
      </c>
      <c r="D55">
        <v>-5.5511150768909598E-2</v>
      </c>
      <c r="E55">
        <v>-3.5190413837266599</v>
      </c>
      <c r="F55">
        <v>-1.75778596836428</v>
      </c>
      <c r="G55">
        <v>-3.8911795651947499E-10</v>
      </c>
      <c r="H55">
        <v>2.79653954007231E-4</v>
      </c>
      <c r="I55">
        <v>-3.5209268652589603</v>
      </c>
      <c r="J55">
        <f t="shared" si="0"/>
        <v>-1.7696960802767938</v>
      </c>
      <c r="K55">
        <f t="shared" si="1"/>
        <v>2</v>
      </c>
      <c r="L55" cm="1">
        <f t="array" ref="L55">SUMPRODUCT(N(B55:H55*C55:I55&lt;0))</f>
        <v>2</v>
      </c>
      <c r="O55">
        <v>0.180824974347676</v>
      </c>
      <c r="P55">
        <v>0.86748132821930302</v>
      </c>
      <c r="Q55">
        <v>2.4900412368091701E-3</v>
      </c>
      <c r="R55">
        <v>0.87470119581085204</v>
      </c>
      <c r="S55">
        <v>0.19559633122085501</v>
      </c>
      <c r="T55">
        <v>5.0296076868244E-2</v>
      </c>
      <c r="U55">
        <v>1.35433278970914E-2</v>
      </c>
      <c r="V55">
        <f t="shared" si="2"/>
        <v>0.31213332508583297</v>
      </c>
      <c r="W55">
        <f t="shared" si="3"/>
        <v>17.892993157786602</v>
      </c>
    </row>
    <row r="56" spans="2:23" x14ac:dyDescent="0.45">
      <c r="B56">
        <v>-5.3045829276604293</v>
      </c>
      <c r="C56">
        <v>0</v>
      </c>
      <c r="D56">
        <v>-5.5511150768909598E-2</v>
      </c>
      <c r="E56">
        <v>1.76299013879221</v>
      </c>
      <c r="F56">
        <v>3.0462949225501701E-12</v>
      </c>
      <c r="G56">
        <v>-6.3622189013744307E-2</v>
      </c>
      <c r="H56">
        <v>7.0848673421582502</v>
      </c>
      <c r="I56">
        <v>-0.710620581419799</v>
      </c>
      <c r="J56">
        <f t="shared" si="0"/>
        <v>0.33919007901132808</v>
      </c>
      <c r="K56">
        <f t="shared" si="1"/>
        <v>4</v>
      </c>
      <c r="L56" cm="1">
        <f t="array" ref="L56">SUMPRODUCT(N(B56:H56*C56:I56&lt;0))</f>
        <v>4</v>
      </c>
      <c r="O56">
        <v>0.14407348342470799</v>
      </c>
      <c r="P56">
        <v>0.71104184088785904</v>
      </c>
      <c r="Q56">
        <v>0.48032554539912498</v>
      </c>
      <c r="R56">
        <v>0.47754672564760797</v>
      </c>
      <c r="S56">
        <v>0.71535603637787204</v>
      </c>
      <c r="T56">
        <v>0.155212952520938</v>
      </c>
      <c r="U56">
        <v>3.7941263872579498E-2</v>
      </c>
      <c r="V56">
        <f t="shared" si="2"/>
        <v>0.38878540687581281</v>
      </c>
      <c r="W56">
        <f t="shared" si="3"/>
        <v>22.287061540651688</v>
      </c>
    </row>
    <row r="57" spans="2:23" x14ac:dyDescent="0.45">
      <c r="B57">
        <v>-5.3045829276604293</v>
      </c>
      <c r="C57">
        <v>0</v>
      </c>
      <c r="D57">
        <v>-5.5511150768909598E-2</v>
      </c>
      <c r="E57">
        <v>-3.5190413837266599</v>
      </c>
      <c r="F57">
        <v>-1.75778596836428</v>
      </c>
      <c r="G57">
        <v>-3.8911795651947499E-10</v>
      </c>
      <c r="H57">
        <v>2.79653954007231E-4</v>
      </c>
      <c r="I57">
        <v>-3.5209268652589603</v>
      </c>
      <c r="J57">
        <f t="shared" si="0"/>
        <v>-1.7696960802767938</v>
      </c>
      <c r="K57">
        <f t="shared" si="1"/>
        <v>2</v>
      </c>
      <c r="L57" cm="1">
        <f t="array" ref="L57">SUMPRODUCT(N(B57:H57*C57:I57&lt;0))</f>
        <v>2</v>
      </c>
      <c r="O57">
        <v>0.180824974347676</v>
      </c>
      <c r="P57">
        <v>0.86748132821930302</v>
      </c>
      <c r="Q57">
        <v>2.4900412368091701E-3</v>
      </c>
      <c r="R57">
        <v>0.87470119581085204</v>
      </c>
      <c r="S57">
        <v>0.19559633122085501</v>
      </c>
      <c r="T57">
        <v>5.0296076868244E-2</v>
      </c>
      <c r="U57">
        <v>1.35433278970914E-2</v>
      </c>
      <c r="V57">
        <f t="shared" si="2"/>
        <v>0.31213332508583297</v>
      </c>
      <c r="W57">
        <f t="shared" si="3"/>
        <v>17.892993157786602</v>
      </c>
    </row>
    <row r="58" spans="2:23" x14ac:dyDescent="0.45">
      <c r="B58">
        <v>-5.3045829276604293</v>
      </c>
      <c r="C58">
        <v>0</v>
      </c>
      <c r="D58">
        <v>-5.5511150768909598E-2</v>
      </c>
      <c r="E58">
        <v>-3.5190413837266599</v>
      </c>
      <c r="F58">
        <v>-9.2133511311535593E-11</v>
      </c>
      <c r="G58">
        <v>-3.5190413837266599</v>
      </c>
      <c r="H58">
        <v>-1.75778596836428</v>
      </c>
      <c r="I58">
        <v>-3.8911795651947499E-10</v>
      </c>
      <c r="J58">
        <f t="shared" si="0"/>
        <v>-1.7694953518410237</v>
      </c>
      <c r="K58">
        <f t="shared" si="1"/>
        <v>1</v>
      </c>
      <c r="L58" cm="1">
        <f t="array" ref="L58">SUMPRODUCT(N(B58:H58*C58:I58&lt;0))</f>
        <v>0</v>
      </c>
      <c r="O58">
        <v>0.17857397463335201</v>
      </c>
      <c r="P58">
        <v>0.94161191039233505</v>
      </c>
      <c r="Q58">
        <v>0.18929621538432101</v>
      </c>
      <c r="R58">
        <v>0.76899990574864996</v>
      </c>
      <c r="S58">
        <v>1.11946296773704</v>
      </c>
      <c r="T58">
        <v>0.87178623855368798</v>
      </c>
      <c r="U58">
        <v>0.119295175775689</v>
      </c>
      <c r="V58">
        <f t="shared" si="2"/>
        <v>0.59843234117501076</v>
      </c>
      <c r="W58">
        <f t="shared" si="3"/>
        <v>34.305038666083419</v>
      </c>
    </row>
    <row r="59" spans="2:23" x14ac:dyDescent="0.45">
      <c r="B59">
        <v>-5.3045829276604293</v>
      </c>
      <c r="C59">
        <v>0</v>
      </c>
      <c r="D59">
        <v>-5.5511150768909598E-2</v>
      </c>
      <c r="E59">
        <v>1.76299013879221</v>
      </c>
      <c r="F59">
        <v>3.0462949225501701E-12</v>
      </c>
      <c r="G59">
        <v>-6.3622189013744307E-2</v>
      </c>
      <c r="H59">
        <v>7.0848673421582502</v>
      </c>
      <c r="I59">
        <v>-0.710620581419799</v>
      </c>
      <c r="J59">
        <f t="shared" si="0"/>
        <v>0.33919007901132808</v>
      </c>
      <c r="K59">
        <f t="shared" si="1"/>
        <v>4</v>
      </c>
      <c r="L59" cm="1">
        <f t="array" ref="L59">SUMPRODUCT(N(B59:H59*C59:I59&lt;0))</f>
        <v>4</v>
      </c>
      <c r="O59">
        <v>0.14407348342470799</v>
      </c>
      <c r="P59">
        <v>0.71104184088785904</v>
      </c>
      <c r="Q59">
        <v>0.48032554539912498</v>
      </c>
      <c r="R59">
        <v>0.47754672564760797</v>
      </c>
      <c r="S59">
        <v>0.71535603637787204</v>
      </c>
      <c r="T59">
        <v>0.155212952520938</v>
      </c>
      <c r="U59">
        <v>3.7941263872579498E-2</v>
      </c>
      <c r="V59">
        <f t="shared" si="2"/>
        <v>0.38878540687581281</v>
      </c>
      <c r="W59">
        <f t="shared" si="3"/>
        <v>22.287061540651688</v>
      </c>
    </row>
    <row r="60" spans="2:23" x14ac:dyDescent="0.45">
      <c r="B60">
        <v>-5.3045829276604293</v>
      </c>
      <c r="C60">
        <v>0</v>
      </c>
      <c r="D60">
        <v>-5.5511150768909598E-2</v>
      </c>
      <c r="E60">
        <v>1.76299013879221</v>
      </c>
      <c r="F60">
        <v>3.0462949225501701E-12</v>
      </c>
      <c r="G60">
        <v>-6.3622189013744307E-2</v>
      </c>
      <c r="H60">
        <v>7.0848673421582502</v>
      </c>
      <c r="I60">
        <v>-0.710620581419799</v>
      </c>
      <c r="J60">
        <f t="shared" si="0"/>
        <v>0.33919007901132808</v>
      </c>
      <c r="K60">
        <f t="shared" si="1"/>
        <v>4</v>
      </c>
      <c r="L60" cm="1">
        <f t="array" ref="L60">SUMPRODUCT(N(B60:H60*C60:I60&lt;0))</f>
        <v>4</v>
      </c>
      <c r="O60">
        <v>0.14407348342470799</v>
      </c>
      <c r="P60">
        <v>0.71104184088785904</v>
      </c>
      <c r="Q60">
        <v>0.48032554539912498</v>
      </c>
      <c r="R60">
        <v>0.47754672564760797</v>
      </c>
      <c r="S60">
        <v>0.71535603637787204</v>
      </c>
      <c r="T60">
        <v>0.155212952520938</v>
      </c>
      <c r="U60">
        <v>3.7941263872579498E-2</v>
      </c>
      <c r="V60">
        <f t="shared" si="2"/>
        <v>0.38878540687581281</v>
      </c>
      <c r="W60">
        <f t="shared" si="3"/>
        <v>22.287061540651688</v>
      </c>
    </row>
    <row r="61" spans="2:23" x14ac:dyDescent="0.45">
      <c r="B61">
        <v>-5.3045829276604293</v>
      </c>
      <c r="C61">
        <v>0</v>
      </c>
      <c r="D61">
        <v>-5.5511150768909598E-2</v>
      </c>
      <c r="E61">
        <v>-3.5190413837266599</v>
      </c>
      <c r="F61">
        <v>-1.75778596836428</v>
      </c>
      <c r="G61">
        <v>-3.8911795651947499E-10</v>
      </c>
      <c r="H61">
        <v>2.79653954007231E-4</v>
      </c>
      <c r="I61">
        <v>-3.5209268652589603</v>
      </c>
      <c r="J61">
        <f t="shared" si="0"/>
        <v>-1.7696960802767938</v>
      </c>
      <c r="K61">
        <f t="shared" si="1"/>
        <v>2</v>
      </c>
      <c r="L61" cm="1">
        <f t="array" ref="L61">SUMPRODUCT(N(B61:H61*C61:I61&lt;0))</f>
        <v>2</v>
      </c>
      <c r="O61">
        <v>0.180824974347676</v>
      </c>
      <c r="P61">
        <v>0.86748132821930302</v>
      </c>
      <c r="Q61">
        <v>2.4900412368091701E-3</v>
      </c>
      <c r="R61">
        <v>0.87470119581085204</v>
      </c>
      <c r="S61">
        <v>0.19559633122085501</v>
      </c>
      <c r="T61">
        <v>5.0296076868244E-2</v>
      </c>
      <c r="U61">
        <v>1.35433278970914E-2</v>
      </c>
      <c r="V61">
        <f t="shared" si="2"/>
        <v>0.31213332508583297</v>
      </c>
      <c r="W61">
        <f t="shared" si="3"/>
        <v>17.892993157786602</v>
      </c>
    </row>
    <row r="62" spans="2:23" x14ac:dyDescent="0.45">
      <c r="B62">
        <v>-5.3045829276604293</v>
      </c>
      <c r="C62">
        <v>0</v>
      </c>
      <c r="D62">
        <v>-5.5511150768909598E-2</v>
      </c>
      <c r="E62">
        <v>1.76299013879221</v>
      </c>
      <c r="F62">
        <v>3.0462949225501701E-12</v>
      </c>
      <c r="G62">
        <v>-6.3622189013744307E-2</v>
      </c>
      <c r="H62">
        <v>7.0848673421582502</v>
      </c>
      <c r="I62">
        <v>-0.710620581419799</v>
      </c>
      <c r="J62">
        <f t="shared" si="0"/>
        <v>0.33919007901132808</v>
      </c>
      <c r="K62">
        <f t="shared" si="1"/>
        <v>4</v>
      </c>
      <c r="L62" cm="1">
        <f t="array" ref="L62">SUMPRODUCT(N(B62:H62*C62:I62&lt;0))</f>
        <v>4</v>
      </c>
      <c r="O62">
        <v>0.14407348342470799</v>
      </c>
      <c r="P62">
        <v>0.71104184088785904</v>
      </c>
      <c r="Q62">
        <v>0.48032554539912498</v>
      </c>
      <c r="R62">
        <v>0.47754672564760797</v>
      </c>
      <c r="S62">
        <v>0.71535603637787204</v>
      </c>
      <c r="T62">
        <v>0.155212952520938</v>
      </c>
      <c r="U62">
        <v>3.7941263872579498E-2</v>
      </c>
      <c r="V62">
        <f t="shared" si="2"/>
        <v>0.38878540687581281</v>
      </c>
      <c r="W62">
        <f t="shared" si="3"/>
        <v>22.287061540651688</v>
      </c>
    </row>
    <row r="63" spans="2:23" x14ac:dyDescent="0.45">
      <c r="B63">
        <v>-5.3045829276604293</v>
      </c>
      <c r="C63">
        <v>0</v>
      </c>
      <c r="D63">
        <v>-5.5511150768909598E-2</v>
      </c>
      <c r="E63">
        <v>1.76299013879221</v>
      </c>
      <c r="F63">
        <v>3.0462949225501701E-12</v>
      </c>
      <c r="G63">
        <v>-6.3622189013744307E-2</v>
      </c>
      <c r="H63">
        <v>7.0848673421582502</v>
      </c>
      <c r="I63">
        <v>-0.710620581419799</v>
      </c>
      <c r="J63">
        <f t="shared" si="0"/>
        <v>0.33919007901132808</v>
      </c>
      <c r="K63">
        <f t="shared" si="1"/>
        <v>4</v>
      </c>
      <c r="L63" cm="1">
        <f t="array" ref="L63">SUMPRODUCT(N(B63:H63*C63:I63&lt;0))</f>
        <v>4</v>
      </c>
      <c r="O63">
        <v>0.14407348342470799</v>
      </c>
      <c r="P63">
        <v>0.71104184088785904</v>
      </c>
      <c r="Q63">
        <v>0.48032554539912498</v>
      </c>
      <c r="R63">
        <v>0.47754672564760797</v>
      </c>
      <c r="S63">
        <v>0.71535603637787204</v>
      </c>
      <c r="T63">
        <v>0.155212952520938</v>
      </c>
      <c r="U63">
        <v>3.7941263872579498E-2</v>
      </c>
      <c r="V63">
        <f t="shared" si="2"/>
        <v>0.38878540687581281</v>
      </c>
      <c r="W63">
        <f t="shared" si="3"/>
        <v>22.287061540651688</v>
      </c>
    </row>
    <row r="64" spans="2:23" x14ac:dyDescent="0.45">
      <c r="B64">
        <v>-5.3045829276604293</v>
      </c>
      <c r="C64">
        <v>0</v>
      </c>
      <c r="D64">
        <v>-5.5511150768909598E-2</v>
      </c>
      <c r="E64">
        <v>-3.5190413837266599</v>
      </c>
      <c r="F64">
        <v>-9.2133511311535593E-11</v>
      </c>
      <c r="G64">
        <v>-3.5190413837266599</v>
      </c>
      <c r="H64">
        <v>-1.75778596836428</v>
      </c>
      <c r="I64">
        <v>-3.8911795651947499E-10</v>
      </c>
      <c r="J64">
        <f t="shared" si="0"/>
        <v>-1.7694953518410237</v>
      </c>
      <c r="K64">
        <f t="shared" si="1"/>
        <v>1</v>
      </c>
      <c r="L64" cm="1">
        <f t="array" ref="L64">SUMPRODUCT(N(B64:H64*C64:I64&lt;0))</f>
        <v>0</v>
      </c>
      <c r="O64">
        <v>0.17857397463335201</v>
      </c>
      <c r="P64">
        <v>0.94161191039233505</v>
      </c>
      <c r="Q64">
        <v>0.18929621538432101</v>
      </c>
      <c r="R64">
        <v>0.76899990574864996</v>
      </c>
      <c r="S64">
        <v>1.11946296773704</v>
      </c>
      <c r="T64">
        <v>0.87178623855368798</v>
      </c>
      <c r="U64">
        <v>0.119295175775689</v>
      </c>
      <c r="V64">
        <f t="shared" si="2"/>
        <v>0.59843234117501076</v>
      </c>
      <c r="W64">
        <f t="shared" si="3"/>
        <v>34.305038666083419</v>
      </c>
    </row>
    <row r="65" spans="2:23" x14ac:dyDescent="0.45">
      <c r="B65">
        <v>-5.3045829276604293</v>
      </c>
      <c r="C65">
        <v>0</v>
      </c>
      <c r="D65">
        <v>-5.5511150768909598E-2</v>
      </c>
      <c r="E65">
        <v>-3.5190413837266599</v>
      </c>
      <c r="F65">
        <v>-9.2133511311535593E-11</v>
      </c>
      <c r="G65">
        <v>-3.5190413837266599</v>
      </c>
      <c r="H65">
        <v>-1.75778596836428</v>
      </c>
      <c r="I65">
        <v>-3.8911795651947499E-10</v>
      </c>
      <c r="J65">
        <f t="shared" si="0"/>
        <v>-1.7694953518410237</v>
      </c>
      <c r="K65">
        <f t="shared" si="1"/>
        <v>1</v>
      </c>
      <c r="L65" cm="1">
        <f t="array" ref="L65">SUMPRODUCT(N(B65:H65*C65:I65&lt;0))</f>
        <v>0</v>
      </c>
      <c r="O65">
        <v>0.17857397463335201</v>
      </c>
      <c r="P65">
        <v>0.94161191039233505</v>
      </c>
      <c r="Q65">
        <v>0.18929621538432101</v>
      </c>
      <c r="R65">
        <v>0.76899990574864996</v>
      </c>
      <c r="S65">
        <v>1.11946296773704</v>
      </c>
      <c r="T65">
        <v>0.87178623855368798</v>
      </c>
      <c r="U65">
        <v>0.119295175775689</v>
      </c>
      <c r="V65">
        <f t="shared" si="2"/>
        <v>0.59843234117501076</v>
      </c>
      <c r="W65">
        <f t="shared" si="3"/>
        <v>34.305038666083419</v>
      </c>
    </row>
    <row r="66" spans="2:23" x14ac:dyDescent="0.45">
      <c r="B66">
        <v>-5.3045829276604293</v>
      </c>
      <c r="C66">
        <v>0</v>
      </c>
      <c r="D66">
        <v>-5.5511150768909598E-2</v>
      </c>
      <c r="E66">
        <v>-3.5190413837266599</v>
      </c>
      <c r="F66">
        <v>-1.75778596836428</v>
      </c>
      <c r="G66">
        <v>-3.8911795651947499E-10</v>
      </c>
      <c r="H66">
        <v>2.79653954007231E-4</v>
      </c>
      <c r="I66">
        <v>-3.5209268652589603</v>
      </c>
      <c r="J66">
        <f t="shared" si="0"/>
        <v>-1.7696960802767938</v>
      </c>
      <c r="K66">
        <f t="shared" si="1"/>
        <v>2</v>
      </c>
      <c r="L66" cm="1">
        <f t="array" ref="L66">SUMPRODUCT(N(B66:H66*C66:I66&lt;0))</f>
        <v>2</v>
      </c>
      <c r="O66">
        <v>0.180824974347676</v>
      </c>
      <c r="P66">
        <v>0.86748132821930302</v>
      </c>
      <c r="Q66">
        <v>2.4900412368091701E-3</v>
      </c>
      <c r="R66">
        <v>0.87470119581085204</v>
      </c>
      <c r="S66">
        <v>0.19559633122085501</v>
      </c>
      <c r="T66">
        <v>5.0296076868244E-2</v>
      </c>
      <c r="U66">
        <v>1.35433278970914E-2</v>
      </c>
      <c r="V66">
        <f t="shared" si="2"/>
        <v>0.31213332508583297</v>
      </c>
      <c r="W66">
        <f t="shared" si="3"/>
        <v>17.892993157786602</v>
      </c>
    </row>
    <row r="67" spans="2:23" x14ac:dyDescent="0.45">
      <c r="B67">
        <v>-5.3045829276604293</v>
      </c>
      <c r="C67">
        <v>0</v>
      </c>
      <c r="D67">
        <v>-5.5511150768909598E-2</v>
      </c>
      <c r="E67">
        <v>1.76299013879221</v>
      </c>
      <c r="F67">
        <v>3.0462949225501701E-12</v>
      </c>
      <c r="G67">
        <v>-6.3622189013744307E-2</v>
      </c>
      <c r="H67">
        <v>7.0848673421582502</v>
      </c>
      <c r="I67">
        <v>-0.710620581419799</v>
      </c>
      <c r="J67">
        <f t="shared" ref="J67:J101" si="4">AVERAGE(B67:I67)</f>
        <v>0.33919007901132808</v>
      </c>
      <c r="K67">
        <f t="shared" ref="K67:K101" si="5">COUNTIF(B67:I67,"&gt;=0")</f>
        <v>4</v>
      </c>
      <c r="L67" cm="1">
        <f t="array" ref="L67">SUMPRODUCT(N(B67:H67*C67:I67&lt;0))</f>
        <v>4</v>
      </c>
      <c r="O67">
        <v>0.14407348342470799</v>
      </c>
      <c r="P67">
        <v>0.71104184088785904</v>
      </c>
      <c r="Q67">
        <v>0.48032554539912498</v>
      </c>
      <c r="R67">
        <v>0.47754672564760797</v>
      </c>
      <c r="S67">
        <v>0.71535603637787204</v>
      </c>
      <c r="T67">
        <v>0.155212952520938</v>
      </c>
      <c r="U67">
        <v>3.7941263872579498E-2</v>
      </c>
      <c r="V67">
        <f t="shared" ref="V67:V101" si="6">AVERAGE(O67:U67)</f>
        <v>0.38878540687581281</v>
      </c>
      <c r="W67">
        <f t="shared" ref="W67:W101" si="7">V67*360/(3.14*2)</f>
        <v>22.287061540651688</v>
      </c>
    </row>
    <row r="68" spans="2:23" x14ac:dyDescent="0.45">
      <c r="B68">
        <v>-5.3045829276604293</v>
      </c>
      <c r="C68">
        <v>0</v>
      </c>
      <c r="D68">
        <v>-5.5511150768909598E-2</v>
      </c>
      <c r="E68">
        <v>1.76299013879221</v>
      </c>
      <c r="F68">
        <v>3.0462949225501701E-12</v>
      </c>
      <c r="G68">
        <v>-6.3622189013744307E-2</v>
      </c>
      <c r="H68">
        <v>7.0848673421582502</v>
      </c>
      <c r="I68">
        <v>-0.710620581419799</v>
      </c>
      <c r="J68">
        <f t="shared" si="4"/>
        <v>0.33919007901132808</v>
      </c>
      <c r="K68">
        <f t="shared" si="5"/>
        <v>4</v>
      </c>
      <c r="L68" cm="1">
        <f t="array" ref="L68">SUMPRODUCT(N(B68:H68*C68:I68&lt;0))</f>
        <v>4</v>
      </c>
      <c r="O68">
        <v>0.14407348342470799</v>
      </c>
      <c r="P68">
        <v>0.71104184088785904</v>
      </c>
      <c r="Q68">
        <v>0.48032554539912498</v>
      </c>
      <c r="R68">
        <v>0.47754672564760797</v>
      </c>
      <c r="S68">
        <v>0.71535603637787204</v>
      </c>
      <c r="T68">
        <v>0.155212952520938</v>
      </c>
      <c r="U68">
        <v>3.7941263872579498E-2</v>
      </c>
      <c r="V68">
        <f t="shared" si="6"/>
        <v>0.38878540687581281</v>
      </c>
      <c r="W68">
        <f t="shared" si="7"/>
        <v>22.287061540651688</v>
      </c>
    </row>
    <row r="69" spans="2:23" x14ac:dyDescent="0.45">
      <c r="B69">
        <v>-5.3045829276604293</v>
      </c>
      <c r="C69">
        <v>0</v>
      </c>
      <c r="D69">
        <v>-5.5511150768909598E-2</v>
      </c>
      <c r="E69">
        <v>1.76299013879221</v>
      </c>
      <c r="F69">
        <v>3.0462949225501701E-12</v>
      </c>
      <c r="G69">
        <v>-6.3622189013744307E-2</v>
      </c>
      <c r="H69">
        <v>7.0848673421582502</v>
      </c>
      <c r="I69">
        <v>-0.710620581419799</v>
      </c>
      <c r="J69">
        <f t="shared" si="4"/>
        <v>0.33919007901132808</v>
      </c>
      <c r="K69">
        <f t="shared" si="5"/>
        <v>4</v>
      </c>
      <c r="L69" cm="1">
        <f t="array" ref="L69">SUMPRODUCT(N(B69:H69*C69:I69&lt;0))</f>
        <v>4</v>
      </c>
      <c r="O69">
        <v>0.14407348342470799</v>
      </c>
      <c r="P69">
        <v>0.71104184088785904</v>
      </c>
      <c r="Q69">
        <v>0.48032554539912498</v>
      </c>
      <c r="R69">
        <v>0.47754672564760797</v>
      </c>
      <c r="S69">
        <v>0.71535603637787204</v>
      </c>
      <c r="T69">
        <v>0.155212952520938</v>
      </c>
      <c r="U69">
        <v>3.7941263872579498E-2</v>
      </c>
      <c r="V69">
        <f t="shared" si="6"/>
        <v>0.38878540687581281</v>
      </c>
      <c r="W69">
        <f t="shared" si="7"/>
        <v>22.287061540651688</v>
      </c>
    </row>
    <row r="70" spans="2:23" x14ac:dyDescent="0.45">
      <c r="B70">
        <v>-5.3045829276604293</v>
      </c>
      <c r="C70">
        <v>0</v>
      </c>
      <c r="D70">
        <v>-5.5511150768909598E-2</v>
      </c>
      <c r="E70">
        <v>-3.5190413837266599</v>
      </c>
      <c r="F70">
        <v>-9.2133511311535593E-11</v>
      </c>
      <c r="G70">
        <v>-3.5190413837266599</v>
      </c>
      <c r="H70">
        <v>-1.75778596836428</v>
      </c>
      <c r="I70">
        <v>-3.8911795651947499E-10</v>
      </c>
      <c r="J70">
        <f t="shared" si="4"/>
        <v>-1.7694953518410237</v>
      </c>
      <c r="K70">
        <f t="shared" si="5"/>
        <v>1</v>
      </c>
      <c r="L70" cm="1">
        <f t="array" ref="L70">SUMPRODUCT(N(B70:H70*C70:I70&lt;0))</f>
        <v>0</v>
      </c>
      <c r="O70">
        <v>0.17857397463335201</v>
      </c>
      <c r="P70">
        <v>0.94161191039233505</v>
      </c>
      <c r="Q70">
        <v>0.18929621538432101</v>
      </c>
      <c r="R70">
        <v>0.76899990574864996</v>
      </c>
      <c r="S70">
        <v>1.11946296773704</v>
      </c>
      <c r="T70">
        <v>0.87178623855368798</v>
      </c>
      <c r="U70">
        <v>0.119295175775689</v>
      </c>
      <c r="V70">
        <f t="shared" si="6"/>
        <v>0.59843234117501076</v>
      </c>
      <c r="W70">
        <f t="shared" si="7"/>
        <v>34.305038666083419</v>
      </c>
    </row>
    <row r="71" spans="2:23" x14ac:dyDescent="0.45">
      <c r="B71">
        <v>-5.3045829276604293</v>
      </c>
      <c r="C71">
        <v>0</v>
      </c>
      <c r="D71">
        <v>-5.5511150768909598E-2</v>
      </c>
      <c r="E71">
        <v>-3.5190413837266599</v>
      </c>
      <c r="F71">
        <v>-1.75778596836428</v>
      </c>
      <c r="G71">
        <v>-3.8911795651947499E-10</v>
      </c>
      <c r="H71">
        <v>2.79653954007231E-4</v>
      </c>
      <c r="I71">
        <v>-3.5209268652589603</v>
      </c>
      <c r="J71">
        <f t="shared" si="4"/>
        <v>-1.7696960802767938</v>
      </c>
      <c r="K71">
        <f t="shared" si="5"/>
        <v>2</v>
      </c>
      <c r="L71" cm="1">
        <f t="array" ref="L71">SUMPRODUCT(N(B71:H71*C71:I71&lt;0))</f>
        <v>2</v>
      </c>
      <c r="O71">
        <v>0.180824974347676</v>
      </c>
      <c r="P71">
        <v>0.86748132821930302</v>
      </c>
      <c r="Q71">
        <v>2.4900412368091701E-3</v>
      </c>
      <c r="R71">
        <v>0.87470119581085204</v>
      </c>
      <c r="S71">
        <v>0.19559633122085501</v>
      </c>
      <c r="T71">
        <v>5.0296076868244E-2</v>
      </c>
      <c r="U71">
        <v>1.35433278970914E-2</v>
      </c>
      <c r="V71">
        <f t="shared" si="6"/>
        <v>0.31213332508583297</v>
      </c>
      <c r="W71">
        <f t="shared" si="7"/>
        <v>17.892993157786602</v>
      </c>
    </row>
    <row r="72" spans="2:23" x14ac:dyDescent="0.45">
      <c r="B72">
        <v>-5.3045829276604293</v>
      </c>
      <c r="C72">
        <v>0</v>
      </c>
      <c r="D72">
        <v>-5.5511150768909598E-2</v>
      </c>
      <c r="E72">
        <v>1.76299013879221</v>
      </c>
      <c r="F72">
        <v>3.0462949225501701E-12</v>
      </c>
      <c r="G72">
        <v>-6.3622189013744307E-2</v>
      </c>
      <c r="H72">
        <v>7.0848673421582502</v>
      </c>
      <c r="I72">
        <v>-0.710620581419799</v>
      </c>
      <c r="J72">
        <f t="shared" si="4"/>
        <v>0.33919007901132808</v>
      </c>
      <c r="K72">
        <f t="shared" si="5"/>
        <v>4</v>
      </c>
      <c r="L72" cm="1">
        <f t="array" ref="L72">SUMPRODUCT(N(B72:H72*C72:I72&lt;0))</f>
        <v>4</v>
      </c>
      <c r="O72">
        <v>0.14407348342470799</v>
      </c>
      <c r="P72">
        <v>0.71104184088785904</v>
      </c>
      <c r="Q72">
        <v>0.48032554539912498</v>
      </c>
      <c r="R72">
        <v>0.47754672564760797</v>
      </c>
      <c r="S72">
        <v>0.71535603637787204</v>
      </c>
      <c r="T72">
        <v>0.155212952520938</v>
      </c>
      <c r="U72">
        <v>3.7941263872579498E-2</v>
      </c>
      <c r="V72">
        <f t="shared" si="6"/>
        <v>0.38878540687581281</v>
      </c>
      <c r="W72">
        <f t="shared" si="7"/>
        <v>22.287061540651688</v>
      </c>
    </row>
    <row r="73" spans="2:23" x14ac:dyDescent="0.45">
      <c r="B73">
        <v>-5.3045829276604293</v>
      </c>
      <c r="C73">
        <v>0</v>
      </c>
      <c r="D73">
        <v>-5.5511150768909598E-2</v>
      </c>
      <c r="E73">
        <v>1.76299013879221</v>
      </c>
      <c r="F73">
        <v>3.0462949225501701E-12</v>
      </c>
      <c r="G73">
        <v>-6.3622189013744307E-2</v>
      </c>
      <c r="H73">
        <v>7.0848673421582502</v>
      </c>
      <c r="I73">
        <v>-0.710620581419799</v>
      </c>
      <c r="J73">
        <f t="shared" si="4"/>
        <v>0.33919007901132808</v>
      </c>
      <c r="K73">
        <f t="shared" si="5"/>
        <v>4</v>
      </c>
      <c r="L73" cm="1">
        <f t="array" ref="L73">SUMPRODUCT(N(B73:H73*C73:I73&lt;0))</f>
        <v>4</v>
      </c>
      <c r="O73">
        <v>0.14407348342470799</v>
      </c>
      <c r="P73">
        <v>0.71104184088785904</v>
      </c>
      <c r="Q73">
        <v>0.48032554539912498</v>
      </c>
      <c r="R73">
        <v>0.47754672564760797</v>
      </c>
      <c r="S73">
        <v>0.71535603637787204</v>
      </c>
      <c r="T73">
        <v>0.155212952520938</v>
      </c>
      <c r="U73">
        <v>3.7941263872579498E-2</v>
      </c>
      <c r="V73">
        <f t="shared" si="6"/>
        <v>0.38878540687581281</v>
      </c>
      <c r="W73">
        <f t="shared" si="7"/>
        <v>22.287061540651688</v>
      </c>
    </row>
    <row r="74" spans="2:23" x14ac:dyDescent="0.45">
      <c r="B74">
        <v>-5.3045829276604293</v>
      </c>
      <c r="C74">
        <v>0</v>
      </c>
      <c r="D74">
        <v>-5.5511150768909598E-2</v>
      </c>
      <c r="E74">
        <v>-3.5190413837266599</v>
      </c>
      <c r="F74">
        <v>-9.2133511311535593E-11</v>
      </c>
      <c r="G74">
        <v>-3.5190413837266599</v>
      </c>
      <c r="H74">
        <v>-9.2133511311535593E-11</v>
      </c>
      <c r="I74">
        <v>-3.5190413837266599</v>
      </c>
      <c r="J74">
        <f t="shared" si="4"/>
        <v>-1.9896522787241984</v>
      </c>
      <c r="K74">
        <f t="shared" si="5"/>
        <v>1</v>
      </c>
      <c r="L74" cm="1">
        <f t="array" ref="L74">SUMPRODUCT(N(B74:H74*C74:I74&lt;0))</f>
        <v>0</v>
      </c>
      <c r="O74">
        <v>0.178485541067262</v>
      </c>
      <c r="P74">
        <v>0.95039780615288905</v>
      </c>
      <c r="Q74">
        <v>0.218388103778136</v>
      </c>
      <c r="R74">
        <v>0.26382173773226397</v>
      </c>
      <c r="S74">
        <v>0.155531702654604</v>
      </c>
      <c r="T74">
        <v>3.5281014266621898E-2</v>
      </c>
      <c r="U74">
        <v>1.4574396947437399E-2</v>
      </c>
      <c r="V74">
        <f t="shared" si="6"/>
        <v>0.25949718608560202</v>
      </c>
      <c r="W74">
        <f t="shared" si="7"/>
        <v>14.875634871149158</v>
      </c>
    </row>
    <row r="75" spans="2:23" x14ac:dyDescent="0.45">
      <c r="B75">
        <v>-5.3045829276604293</v>
      </c>
      <c r="C75">
        <v>0</v>
      </c>
      <c r="D75">
        <v>-5.5511150768909598E-2</v>
      </c>
      <c r="E75">
        <v>1.76299013879221</v>
      </c>
      <c r="F75">
        <v>3.0462949225501701E-12</v>
      </c>
      <c r="G75">
        <v>-6.3622189013744307E-2</v>
      </c>
      <c r="H75">
        <v>7.0848673421582502</v>
      </c>
      <c r="I75">
        <v>-0.710620581419799</v>
      </c>
      <c r="J75">
        <f t="shared" si="4"/>
        <v>0.33919007901132808</v>
      </c>
      <c r="K75">
        <f t="shared" si="5"/>
        <v>4</v>
      </c>
      <c r="L75" cm="1">
        <f t="array" ref="L75">SUMPRODUCT(N(B75:H75*C75:I75&lt;0))</f>
        <v>4</v>
      </c>
      <c r="O75">
        <v>0.14407348342470799</v>
      </c>
      <c r="P75">
        <v>0.71104184088785904</v>
      </c>
      <c r="Q75">
        <v>0.48032554539912498</v>
      </c>
      <c r="R75">
        <v>0.47754672564760797</v>
      </c>
      <c r="S75">
        <v>0.71535603637787204</v>
      </c>
      <c r="T75">
        <v>0.155212952520938</v>
      </c>
      <c r="U75">
        <v>3.7941263872579498E-2</v>
      </c>
      <c r="V75">
        <f t="shared" si="6"/>
        <v>0.38878540687581281</v>
      </c>
      <c r="W75">
        <f t="shared" si="7"/>
        <v>22.287061540651688</v>
      </c>
    </row>
    <row r="76" spans="2:23" x14ac:dyDescent="0.45">
      <c r="B76">
        <v>-5.3045829276604293</v>
      </c>
      <c r="C76">
        <v>0</v>
      </c>
      <c r="D76">
        <v>-5.5511150768909598E-2</v>
      </c>
      <c r="E76">
        <v>1.76299013879221</v>
      </c>
      <c r="F76">
        <v>3.0462949225501701E-12</v>
      </c>
      <c r="G76">
        <v>-6.3622189013744307E-2</v>
      </c>
      <c r="H76">
        <v>7.0848673421582502</v>
      </c>
      <c r="I76">
        <v>-0.710620581419799</v>
      </c>
      <c r="J76">
        <f t="shared" si="4"/>
        <v>0.33919007901132808</v>
      </c>
      <c r="K76">
        <f t="shared" si="5"/>
        <v>4</v>
      </c>
      <c r="L76" cm="1">
        <f t="array" ref="L76">SUMPRODUCT(N(B76:H76*C76:I76&lt;0))</f>
        <v>4</v>
      </c>
      <c r="O76">
        <v>0.14407348342470799</v>
      </c>
      <c r="P76">
        <v>0.71104184088785904</v>
      </c>
      <c r="Q76">
        <v>0.48032554539912498</v>
      </c>
      <c r="R76">
        <v>0.47754672564760797</v>
      </c>
      <c r="S76">
        <v>0.71535603637787204</v>
      </c>
      <c r="T76">
        <v>0.155212952520938</v>
      </c>
      <c r="U76">
        <v>3.7941263872579498E-2</v>
      </c>
      <c r="V76">
        <f t="shared" si="6"/>
        <v>0.38878540687581281</v>
      </c>
      <c r="W76">
        <f t="shared" si="7"/>
        <v>22.287061540651688</v>
      </c>
    </row>
    <row r="77" spans="2:23" x14ac:dyDescent="0.45">
      <c r="B77">
        <v>-5.3045829276604293</v>
      </c>
      <c r="C77">
        <v>0</v>
      </c>
      <c r="D77">
        <v>-5.5511150768909598E-2</v>
      </c>
      <c r="E77">
        <v>1.76299013879221</v>
      </c>
      <c r="F77">
        <v>3.0462949225501701E-12</v>
      </c>
      <c r="G77">
        <v>-6.3622189013744307E-2</v>
      </c>
      <c r="H77">
        <v>7.0848673421582502</v>
      </c>
      <c r="I77">
        <v>-0.710620581419799</v>
      </c>
      <c r="J77">
        <f t="shared" si="4"/>
        <v>0.33919007901132808</v>
      </c>
      <c r="K77">
        <f t="shared" si="5"/>
        <v>4</v>
      </c>
      <c r="L77" cm="1">
        <f t="array" ref="L77">SUMPRODUCT(N(B77:H77*C77:I77&lt;0))</f>
        <v>4</v>
      </c>
      <c r="O77">
        <v>0.14407348342470799</v>
      </c>
      <c r="P77">
        <v>0.71104184088785904</v>
      </c>
      <c r="Q77">
        <v>0.48032554539912498</v>
      </c>
      <c r="R77">
        <v>0.47754672564760797</v>
      </c>
      <c r="S77">
        <v>0.71535603637787204</v>
      </c>
      <c r="T77">
        <v>0.155212952520938</v>
      </c>
      <c r="U77">
        <v>3.7941263872579498E-2</v>
      </c>
      <c r="V77">
        <f t="shared" si="6"/>
        <v>0.38878540687581281</v>
      </c>
      <c r="W77">
        <f t="shared" si="7"/>
        <v>22.287061540651688</v>
      </c>
    </row>
    <row r="78" spans="2:23" x14ac:dyDescent="0.45">
      <c r="B78">
        <v>-5.3045829276604293</v>
      </c>
      <c r="C78">
        <v>0</v>
      </c>
      <c r="D78">
        <v>-5.5511150768909598E-2</v>
      </c>
      <c r="E78">
        <v>1.76299013879221</v>
      </c>
      <c r="F78">
        <v>3.0462949225501701E-12</v>
      </c>
      <c r="G78">
        <v>-6.3622189013744307E-2</v>
      </c>
      <c r="H78">
        <v>7.0848673421582502</v>
      </c>
      <c r="I78">
        <v>-0.710620581419799</v>
      </c>
      <c r="J78">
        <f t="shared" si="4"/>
        <v>0.33919007901132808</v>
      </c>
      <c r="K78">
        <f t="shared" si="5"/>
        <v>4</v>
      </c>
      <c r="L78" cm="1">
        <f t="array" ref="L78">SUMPRODUCT(N(B78:H78*C78:I78&lt;0))</f>
        <v>4</v>
      </c>
      <c r="O78">
        <v>0.14407348342470799</v>
      </c>
      <c r="P78">
        <v>0.71104184088785904</v>
      </c>
      <c r="Q78">
        <v>0.48032554539912498</v>
      </c>
      <c r="R78">
        <v>0.47754672564760797</v>
      </c>
      <c r="S78">
        <v>0.71535603637787204</v>
      </c>
      <c r="T78">
        <v>0.155212952520938</v>
      </c>
      <c r="U78">
        <v>3.7941263872579498E-2</v>
      </c>
      <c r="V78">
        <f t="shared" si="6"/>
        <v>0.38878540687581281</v>
      </c>
      <c r="W78">
        <f t="shared" si="7"/>
        <v>22.287061540651688</v>
      </c>
    </row>
    <row r="79" spans="2:23" x14ac:dyDescent="0.45">
      <c r="B79">
        <v>-5.3045829276604293</v>
      </c>
      <c r="C79">
        <v>0</v>
      </c>
      <c r="D79">
        <v>-5.5511150768909598E-2</v>
      </c>
      <c r="E79">
        <v>1.76299013879221</v>
      </c>
      <c r="F79">
        <v>3.0462949225501701E-12</v>
      </c>
      <c r="G79">
        <v>-6.3622189013744307E-2</v>
      </c>
      <c r="H79">
        <v>7.0848673421582502</v>
      </c>
      <c r="I79">
        <v>-0.710620581419799</v>
      </c>
      <c r="J79">
        <f t="shared" si="4"/>
        <v>0.33919007901132808</v>
      </c>
      <c r="K79">
        <f t="shared" si="5"/>
        <v>4</v>
      </c>
      <c r="L79" cm="1">
        <f t="array" ref="L79">SUMPRODUCT(N(B79:H79*C79:I79&lt;0))</f>
        <v>4</v>
      </c>
      <c r="O79">
        <v>0.14407348342470799</v>
      </c>
      <c r="P79">
        <v>0.71104184088785904</v>
      </c>
      <c r="Q79">
        <v>0.48032554539912498</v>
      </c>
      <c r="R79">
        <v>0.47754672564760797</v>
      </c>
      <c r="S79">
        <v>0.71535603637787204</v>
      </c>
      <c r="T79">
        <v>0.155212952520938</v>
      </c>
      <c r="U79">
        <v>3.7941263872579498E-2</v>
      </c>
      <c r="V79">
        <f t="shared" si="6"/>
        <v>0.38878540687581281</v>
      </c>
      <c r="W79">
        <f t="shared" si="7"/>
        <v>22.287061540651688</v>
      </c>
    </row>
    <row r="80" spans="2:23" x14ac:dyDescent="0.45">
      <c r="B80">
        <v>-5.3045829276604293</v>
      </c>
      <c r="C80">
        <v>0</v>
      </c>
      <c r="D80">
        <v>-5.5511150768909598E-2</v>
      </c>
      <c r="E80">
        <v>1.76299013879221</v>
      </c>
      <c r="F80">
        <v>3.0462949225501701E-12</v>
      </c>
      <c r="G80">
        <v>-6.3622189013744307E-2</v>
      </c>
      <c r="H80">
        <v>7.0848673421582502</v>
      </c>
      <c r="I80">
        <v>-0.710620581419799</v>
      </c>
      <c r="J80">
        <f t="shared" si="4"/>
        <v>0.33919007901132808</v>
      </c>
      <c r="K80">
        <f t="shared" si="5"/>
        <v>4</v>
      </c>
      <c r="L80" cm="1">
        <f t="array" ref="L80">SUMPRODUCT(N(B80:H80*C80:I80&lt;0))</f>
        <v>4</v>
      </c>
      <c r="O80">
        <v>0.14407348342470799</v>
      </c>
      <c r="P80">
        <v>0.71104184088785904</v>
      </c>
      <c r="Q80">
        <v>0.48032554539912498</v>
      </c>
      <c r="R80">
        <v>0.47754672564760797</v>
      </c>
      <c r="S80">
        <v>0.71535603637787204</v>
      </c>
      <c r="T80">
        <v>0.155212952520938</v>
      </c>
      <c r="U80">
        <v>3.7941263872579498E-2</v>
      </c>
      <c r="V80">
        <f t="shared" si="6"/>
        <v>0.38878540687581281</v>
      </c>
      <c r="W80">
        <f t="shared" si="7"/>
        <v>22.287061540651688</v>
      </c>
    </row>
    <row r="81" spans="2:23" x14ac:dyDescent="0.45">
      <c r="B81">
        <v>-5.3045829276604293</v>
      </c>
      <c r="C81">
        <v>0</v>
      </c>
      <c r="D81">
        <v>-5.5511150768909598E-2</v>
      </c>
      <c r="E81">
        <v>1.76299013879221</v>
      </c>
      <c r="F81">
        <v>3.0462949225501701E-12</v>
      </c>
      <c r="G81">
        <v>-6.3622189013744307E-2</v>
      </c>
      <c r="H81">
        <v>7.0848673421582502</v>
      </c>
      <c r="I81">
        <v>-0.710620581419799</v>
      </c>
      <c r="J81">
        <f t="shared" si="4"/>
        <v>0.33919007901132808</v>
      </c>
      <c r="K81">
        <f t="shared" si="5"/>
        <v>4</v>
      </c>
      <c r="L81" cm="1">
        <f t="array" ref="L81">SUMPRODUCT(N(B81:H81*C81:I81&lt;0))</f>
        <v>4</v>
      </c>
      <c r="O81">
        <v>0.14407348342470799</v>
      </c>
      <c r="P81">
        <v>0.71104184088785904</v>
      </c>
      <c r="Q81">
        <v>0.48032554539912498</v>
      </c>
      <c r="R81">
        <v>0.47754672564760797</v>
      </c>
      <c r="S81">
        <v>0.71535603637787204</v>
      </c>
      <c r="T81">
        <v>0.155212952520938</v>
      </c>
      <c r="U81">
        <v>3.7941263872579498E-2</v>
      </c>
      <c r="V81">
        <f t="shared" si="6"/>
        <v>0.38878540687581281</v>
      </c>
      <c r="W81">
        <f t="shared" si="7"/>
        <v>22.287061540651688</v>
      </c>
    </row>
    <row r="82" spans="2:23" x14ac:dyDescent="0.45">
      <c r="B82">
        <v>-5.3045829276604293</v>
      </c>
      <c r="C82">
        <v>0</v>
      </c>
      <c r="D82">
        <v>-5.5511150768909598E-2</v>
      </c>
      <c r="E82">
        <v>1.76299013879221</v>
      </c>
      <c r="F82">
        <v>3.0462949225501701E-12</v>
      </c>
      <c r="G82">
        <v>-6.3622189013744307E-2</v>
      </c>
      <c r="H82">
        <v>7.0848673421582502</v>
      </c>
      <c r="I82">
        <v>-0.710620581419799</v>
      </c>
      <c r="J82">
        <f t="shared" si="4"/>
        <v>0.33919007901132808</v>
      </c>
      <c r="K82">
        <f t="shared" si="5"/>
        <v>4</v>
      </c>
      <c r="L82" cm="1">
        <f t="array" ref="L82">SUMPRODUCT(N(B82:H82*C82:I82&lt;0))</f>
        <v>4</v>
      </c>
      <c r="O82">
        <v>0.14407348342470799</v>
      </c>
      <c r="P82">
        <v>0.71104184088785904</v>
      </c>
      <c r="Q82">
        <v>0.48032554539912498</v>
      </c>
      <c r="R82">
        <v>0.47754672564760797</v>
      </c>
      <c r="S82">
        <v>0.71535603637787204</v>
      </c>
      <c r="T82">
        <v>0.155212952520938</v>
      </c>
      <c r="U82">
        <v>3.7941263872579498E-2</v>
      </c>
      <c r="V82">
        <f t="shared" si="6"/>
        <v>0.38878540687581281</v>
      </c>
      <c r="W82">
        <f t="shared" si="7"/>
        <v>22.287061540651688</v>
      </c>
    </row>
    <row r="83" spans="2:23" x14ac:dyDescent="0.45">
      <c r="B83">
        <v>-5.3045829276604293</v>
      </c>
      <c r="C83">
        <v>0</v>
      </c>
      <c r="D83">
        <v>-5.5511150768909598E-2</v>
      </c>
      <c r="E83">
        <v>-3.5190413837266599</v>
      </c>
      <c r="F83">
        <v>-9.2133511311535593E-11</v>
      </c>
      <c r="G83">
        <v>-3.5190413837266599</v>
      </c>
      <c r="H83">
        <v>-9.2133511311535593E-11</v>
      </c>
      <c r="I83">
        <v>-3.5190413837266599</v>
      </c>
      <c r="J83">
        <f t="shared" si="4"/>
        <v>-1.9896522787241984</v>
      </c>
      <c r="K83">
        <f t="shared" si="5"/>
        <v>1</v>
      </c>
      <c r="L83" cm="1">
        <f t="array" ref="L83">SUMPRODUCT(N(B83:H83*C83:I83&lt;0))</f>
        <v>0</v>
      </c>
      <c r="O83">
        <v>0.178485541067262</v>
      </c>
      <c r="P83">
        <v>0.95039780615288905</v>
      </c>
      <c r="Q83">
        <v>0.218388103778136</v>
      </c>
      <c r="R83">
        <v>0.26382173773226397</v>
      </c>
      <c r="S83">
        <v>0.155531702654604</v>
      </c>
      <c r="T83">
        <v>3.5281014266621898E-2</v>
      </c>
      <c r="U83">
        <v>1.4574396947437399E-2</v>
      </c>
      <c r="V83">
        <f t="shared" si="6"/>
        <v>0.25949718608560202</v>
      </c>
      <c r="W83">
        <f t="shared" si="7"/>
        <v>14.875634871149158</v>
      </c>
    </row>
    <row r="84" spans="2:23" x14ac:dyDescent="0.45">
      <c r="B84">
        <v>-5.3045829276604293</v>
      </c>
      <c r="C84">
        <v>0</v>
      </c>
      <c r="D84">
        <v>-5.5511150768909598E-2</v>
      </c>
      <c r="E84">
        <v>1.76299013879221</v>
      </c>
      <c r="F84">
        <v>3.0462949225501701E-12</v>
      </c>
      <c r="G84">
        <v>-6.3622189013744307E-2</v>
      </c>
      <c r="H84">
        <v>7.0848673421582502</v>
      </c>
      <c r="I84">
        <v>-0.710620581419799</v>
      </c>
      <c r="J84">
        <f t="shared" si="4"/>
        <v>0.33919007901132808</v>
      </c>
      <c r="K84">
        <f t="shared" si="5"/>
        <v>4</v>
      </c>
      <c r="L84" cm="1">
        <f t="array" ref="L84">SUMPRODUCT(N(B84:H84*C84:I84&lt;0))</f>
        <v>4</v>
      </c>
      <c r="O84">
        <v>0.14407348342470799</v>
      </c>
      <c r="P84">
        <v>0.71104184088785904</v>
      </c>
      <c r="Q84">
        <v>0.48032554539912498</v>
      </c>
      <c r="R84">
        <v>0.47754672564760797</v>
      </c>
      <c r="S84">
        <v>0.71535603637787204</v>
      </c>
      <c r="T84">
        <v>0.155212952520938</v>
      </c>
      <c r="U84">
        <v>3.7941263872579498E-2</v>
      </c>
      <c r="V84">
        <f t="shared" si="6"/>
        <v>0.38878540687581281</v>
      </c>
      <c r="W84">
        <f t="shared" si="7"/>
        <v>22.287061540651688</v>
      </c>
    </row>
    <row r="85" spans="2:23" x14ac:dyDescent="0.45">
      <c r="B85">
        <v>-5.3045829276604293</v>
      </c>
      <c r="C85">
        <v>0</v>
      </c>
      <c r="D85">
        <v>-5.5511150768909598E-2</v>
      </c>
      <c r="E85">
        <v>1.76299013879221</v>
      </c>
      <c r="F85">
        <v>3.0462949225501701E-12</v>
      </c>
      <c r="G85">
        <v>-6.3622189013744307E-2</v>
      </c>
      <c r="H85">
        <v>7.0848673421582502</v>
      </c>
      <c r="I85">
        <v>-0.710620581419799</v>
      </c>
      <c r="J85">
        <f t="shared" si="4"/>
        <v>0.33919007901132808</v>
      </c>
      <c r="K85">
        <f t="shared" si="5"/>
        <v>4</v>
      </c>
      <c r="L85" cm="1">
        <f t="array" ref="L85">SUMPRODUCT(N(B85:H85*C85:I85&lt;0))</f>
        <v>4</v>
      </c>
      <c r="O85">
        <v>0.14407348342470799</v>
      </c>
      <c r="P85">
        <v>0.71104184088785904</v>
      </c>
      <c r="Q85">
        <v>0.48032554539912498</v>
      </c>
      <c r="R85">
        <v>0.47754672564760797</v>
      </c>
      <c r="S85">
        <v>0.71535603637787204</v>
      </c>
      <c r="T85">
        <v>0.155212952520938</v>
      </c>
      <c r="U85">
        <v>3.7941263872579498E-2</v>
      </c>
      <c r="V85">
        <f t="shared" si="6"/>
        <v>0.38878540687581281</v>
      </c>
      <c r="W85">
        <f t="shared" si="7"/>
        <v>22.287061540651688</v>
      </c>
    </row>
    <row r="86" spans="2:23" x14ac:dyDescent="0.45">
      <c r="B86">
        <v>-5.3045829276604293</v>
      </c>
      <c r="C86">
        <v>0</v>
      </c>
      <c r="D86">
        <v>-5.5511150768909598E-2</v>
      </c>
      <c r="E86">
        <v>1.76299013879221</v>
      </c>
      <c r="F86">
        <v>3.0462949225501701E-12</v>
      </c>
      <c r="G86">
        <v>-6.3622189013744307E-2</v>
      </c>
      <c r="H86">
        <v>7.0848673421582502</v>
      </c>
      <c r="I86">
        <v>-0.710620581419799</v>
      </c>
      <c r="J86">
        <f t="shared" si="4"/>
        <v>0.33919007901132808</v>
      </c>
      <c r="K86">
        <f t="shared" si="5"/>
        <v>4</v>
      </c>
      <c r="L86" cm="1">
        <f t="array" ref="L86">SUMPRODUCT(N(B86:H86*C86:I86&lt;0))</f>
        <v>4</v>
      </c>
      <c r="O86">
        <v>0.14407348342470799</v>
      </c>
      <c r="P86">
        <v>0.71104184088785904</v>
      </c>
      <c r="Q86">
        <v>0.48032554539912498</v>
      </c>
      <c r="R86">
        <v>0.47754672564760797</v>
      </c>
      <c r="S86">
        <v>0.71535603637787204</v>
      </c>
      <c r="T86">
        <v>0.155212952520938</v>
      </c>
      <c r="U86">
        <v>3.7941263872579498E-2</v>
      </c>
      <c r="V86">
        <f t="shared" si="6"/>
        <v>0.38878540687581281</v>
      </c>
      <c r="W86">
        <f t="shared" si="7"/>
        <v>22.287061540651688</v>
      </c>
    </row>
    <row r="87" spans="2:23" x14ac:dyDescent="0.45">
      <c r="B87">
        <v>-5.3045829276604293</v>
      </c>
      <c r="C87">
        <v>0</v>
      </c>
      <c r="D87">
        <v>-5.5511150768909598E-2</v>
      </c>
      <c r="E87">
        <v>-3.5190413837266599</v>
      </c>
      <c r="F87">
        <v>-1.75778596836428</v>
      </c>
      <c r="G87">
        <v>-3.8911795651947499E-10</v>
      </c>
      <c r="H87">
        <v>2.79653954007231E-4</v>
      </c>
      <c r="I87">
        <v>-3.5209268652589603</v>
      </c>
      <c r="J87">
        <f t="shared" si="4"/>
        <v>-1.7696960802767938</v>
      </c>
      <c r="K87">
        <f t="shared" si="5"/>
        <v>2</v>
      </c>
      <c r="L87" cm="1">
        <f t="array" ref="L87">SUMPRODUCT(N(B87:H87*C87:I87&lt;0))</f>
        <v>2</v>
      </c>
      <c r="O87">
        <v>0.180824974347676</v>
      </c>
      <c r="P87">
        <v>0.86748132821930302</v>
      </c>
      <c r="Q87">
        <v>2.4900412368091701E-3</v>
      </c>
      <c r="R87">
        <v>0.87470119581085204</v>
      </c>
      <c r="S87">
        <v>0.19559633122085501</v>
      </c>
      <c r="T87">
        <v>5.0296076868244E-2</v>
      </c>
      <c r="U87">
        <v>1.35433278970914E-2</v>
      </c>
      <c r="V87">
        <f t="shared" si="6"/>
        <v>0.31213332508583297</v>
      </c>
      <c r="W87">
        <f t="shared" si="7"/>
        <v>17.892993157786602</v>
      </c>
    </row>
    <row r="88" spans="2:23" x14ac:dyDescent="0.45">
      <c r="B88">
        <v>-5.3045829276604293</v>
      </c>
      <c r="C88">
        <v>0</v>
      </c>
      <c r="D88">
        <v>-5.5511150768909598E-2</v>
      </c>
      <c r="E88">
        <v>1.76299013879221</v>
      </c>
      <c r="F88">
        <v>3.0462949225501701E-12</v>
      </c>
      <c r="G88">
        <v>-6.3622189013744307E-2</v>
      </c>
      <c r="H88">
        <v>7.0848673421582502</v>
      </c>
      <c r="I88">
        <v>-0.710620581419799</v>
      </c>
      <c r="J88">
        <f t="shared" si="4"/>
        <v>0.33919007901132808</v>
      </c>
      <c r="K88">
        <f t="shared" si="5"/>
        <v>4</v>
      </c>
      <c r="L88" cm="1">
        <f t="array" ref="L88">SUMPRODUCT(N(B88:H88*C88:I88&lt;0))</f>
        <v>4</v>
      </c>
      <c r="O88">
        <v>0.14407348342470799</v>
      </c>
      <c r="P88">
        <v>0.71104184088785904</v>
      </c>
      <c r="Q88">
        <v>0.48032554539912498</v>
      </c>
      <c r="R88">
        <v>0.47754672564760797</v>
      </c>
      <c r="S88">
        <v>0.71535603637787204</v>
      </c>
      <c r="T88">
        <v>0.155212952520938</v>
      </c>
      <c r="U88">
        <v>3.7941263872579498E-2</v>
      </c>
      <c r="V88">
        <f t="shared" si="6"/>
        <v>0.38878540687581281</v>
      </c>
      <c r="W88">
        <f t="shared" si="7"/>
        <v>22.287061540651688</v>
      </c>
    </row>
    <row r="89" spans="2:23" x14ac:dyDescent="0.45">
      <c r="B89">
        <v>-5.3045829276604293</v>
      </c>
      <c r="C89">
        <v>0</v>
      </c>
      <c r="D89">
        <v>-5.5511150768909598E-2</v>
      </c>
      <c r="E89">
        <v>-3.5190413837266599</v>
      </c>
      <c r="F89">
        <v>-1.75778596836428</v>
      </c>
      <c r="G89">
        <v>-3.8911795651947499E-10</v>
      </c>
      <c r="H89">
        <v>2.79653954007231E-4</v>
      </c>
      <c r="I89">
        <v>-3.5209268652589603</v>
      </c>
      <c r="J89">
        <f t="shared" si="4"/>
        <v>-1.7696960802767938</v>
      </c>
      <c r="K89">
        <f t="shared" si="5"/>
        <v>2</v>
      </c>
      <c r="L89" cm="1">
        <f t="array" ref="L89">SUMPRODUCT(N(B89:H89*C89:I89&lt;0))</f>
        <v>2</v>
      </c>
      <c r="O89">
        <v>0.180824974347676</v>
      </c>
      <c r="P89">
        <v>0.86748132821930302</v>
      </c>
      <c r="Q89">
        <v>2.4900412368091701E-3</v>
      </c>
      <c r="R89">
        <v>0.87470119581085204</v>
      </c>
      <c r="S89">
        <v>0.19559633122085501</v>
      </c>
      <c r="T89">
        <v>5.0296076868244E-2</v>
      </c>
      <c r="U89">
        <v>1.35433278970914E-2</v>
      </c>
      <c r="V89">
        <f t="shared" si="6"/>
        <v>0.31213332508583297</v>
      </c>
      <c r="W89">
        <f t="shared" si="7"/>
        <v>17.892993157786602</v>
      </c>
    </row>
    <row r="90" spans="2:23" x14ac:dyDescent="0.45">
      <c r="B90">
        <v>-5.3045829276604293</v>
      </c>
      <c r="C90">
        <v>0</v>
      </c>
      <c r="D90">
        <v>-5.5511150768909598E-2</v>
      </c>
      <c r="E90">
        <v>1.76299013879221</v>
      </c>
      <c r="F90">
        <v>3.0462949225501701E-12</v>
      </c>
      <c r="G90">
        <v>-6.3622189013744307E-2</v>
      </c>
      <c r="H90">
        <v>7.0848673421582502</v>
      </c>
      <c r="I90">
        <v>-0.710620581419799</v>
      </c>
      <c r="J90">
        <f t="shared" si="4"/>
        <v>0.33919007901132808</v>
      </c>
      <c r="K90">
        <f t="shared" si="5"/>
        <v>4</v>
      </c>
      <c r="L90" cm="1">
        <f t="array" ref="L90">SUMPRODUCT(N(B90:H90*C90:I90&lt;0))</f>
        <v>4</v>
      </c>
      <c r="O90">
        <v>0.14407348342470799</v>
      </c>
      <c r="P90">
        <v>0.71104184088785904</v>
      </c>
      <c r="Q90">
        <v>0.48032554539912498</v>
      </c>
      <c r="R90">
        <v>0.47754672564760797</v>
      </c>
      <c r="S90">
        <v>0.71535603637787204</v>
      </c>
      <c r="T90">
        <v>0.155212952520938</v>
      </c>
      <c r="U90">
        <v>3.7941263872579498E-2</v>
      </c>
      <c r="V90">
        <f t="shared" si="6"/>
        <v>0.38878540687581281</v>
      </c>
      <c r="W90">
        <f t="shared" si="7"/>
        <v>22.287061540651688</v>
      </c>
    </row>
    <row r="91" spans="2:23" x14ac:dyDescent="0.45">
      <c r="B91">
        <v>-5.3045829276604293</v>
      </c>
      <c r="C91">
        <v>0</v>
      </c>
      <c r="D91">
        <v>-5.5511150768909598E-2</v>
      </c>
      <c r="E91">
        <v>-3.5190413837266599</v>
      </c>
      <c r="F91">
        <v>-9.2133511311535593E-11</v>
      </c>
      <c r="G91">
        <v>-3.5190413837266599</v>
      </c>
      <c r="H91">
        <v>-1.75778596836428</v>
      </c>
      <c r="I91">
        <v>-3.8911795651947499E-10</v>
      </c>
      <c r="J91">
        <f t="shared" si="4"/>
        <v>-1.7694953518410237</v>
      </c>
      <c r="K91">
        <f t="shared" si="5"/>
        <v>1</v>
      </c>
      <c r="L91" cm="1">
        <f t="array" ref="L91">SUMPRODUCT(N(B91:H91*C91:I91&lt;0))</f>
        <v>0</v>
      </c>
      <c r="O91">
        <v>0.17857397463335201</v>
      </c>
      <c r="P91">
        <v>0.94161191039233505</v>
      </c>
      <c r="Q91">
        <v>0.18929621538432101</v>
      </c>
      <c r="R91">
        <v>0.76899990574864996</v>
      </c>
      <c r="S91">
        <v>1.11946296773704</v>
      </c>
      <c r="T91">
        <v>0.87178623855368798</v>
      </c>
      <c r="U91">
        <v>0.119295175775689</v>
      </c>
      <c r="V91">
        <f t="shared" si="6"/>
        <v>0.59843234117501076</v>
      </c>
      <c r="W91">
        <f t="shared" si="7"/>
        <v>34.305038666083419</v>
      </c>
    </row>
    <row r="92" spans="2:23" x14ac:dyDescent="0.45">
      <c r="B92">
        <v>-5.3045829276604293</v>
      </c>
      <c r="C92">
        <v>0</v>
      </c>
      <c r="D92">
        <v>-5.5511150768909598E-2</v>
      </c>
      <c r="E92">
        <v>1.76299013879221</v>
      </c>
      <c r="F92">
        <v>3.0462949225501701E-12</v>
      </c>
      <c r="G92">
        <v>-6.3622189013744307E-2</v>
      </c>
      <c r="H92">
        <v>7.0848673421582502</v>
      </c>
      <c r="I92">
        <v>-0.710620581419799</v>
      </c>
      <c r="J92">
        <f t="shared" si="4"/>
        <v>0.33919007901132808</v>
      </c>
      <c r="K92">
        <f t="shared" si="5"/>
        <v>4</v>
      </c>
      <c r="L92" cm="1">
        <f t="array" ref="L92">SUMPRODUCT(N(B92:H92*C92:I92&lt;0))</f>
        <v>4</v>
      </c>
      <c r="O92">
        <v>0.14407348342470799</v>
      </c>
      <c r="P92">
        <v>0.71104184088785904</v>
      </c>
      <c r="Q92">
        <v>0.48032554539912498</v>
      </c>
      <c r="R92">
        <v>0.47754672564760797</v>
      </c>
      <c r="S92">
        <v>0.71535603637787204</v>
      </c>
      <c r="T92">
        <v>0.155212952520938</v>
      </c>
      <c r="U92">
        <v>3.7941263872579498E-2</v>
      </c>
      <c r="V92">
        <f t="shared" si="6"/>
        <v>0.38878540687581281</v>
      </c>
      <c r="W92">
        <f t="shared" si="7"/>
        <v>22.287061540651688</v>
      </c>
    </row>
    <row r="93" spans="2:23" x14ac:dyDescent="0.45">
      <c r="B93">
        <v>-5.3045829276604293</v>
      </c>
      <c r="C93">
        <v>0</v>
      </c>
      <c r="D93">
        <v>-5.5511150768909598E-2</v>
      </c>
      <c r="E93">
        <v>1.76299013879221</v>
      </c>
      <c r="F93">
        <v>3.0462949225501701E-12</v>
      </c>
      <c r="G93">
        <v>-6.3622189013744307E-2</v>
      </c>
      <c r="H93">
        <v>7.0848673421582502</v>
      </c>
      <c r="I93">
        <v>-0.710620581419799</v>
      </c>
      <c r="J93">
        <f t="shared" si="4"/>
        <v>0.33919007901132808</v>
      </c>
      <c r="K93">
        <f t="shared" si="5"/>
        <v>4</v>
      </c>
      <c r="L93" cm="1">
        <f t="array" ref="L93">SUMPRODUCT(N(B93:H93*C93:I93&lt;0))</f>
        <v>4</v>
      </c>
      <c r="O93">
        <v>0.14407348342470799</v>
      </c>
      <c r="P93">
        <v>0.71104184088785904</v>
      </c>
      <c r="Q93">
        <v>0.48032554539912498</v>
      </c>
      <c r="R93">
        <v>0.47754672564760797</v>
      </c>
      <c r="S93">
        <v>0.71535603637787204</v>
      </c>
      <c r="T93">
        <v>0.155212952520938</v>
      </c>
      <c r="U93">
        <v>3.7941263872579498E-2</v>
      </c>
      <c r="V93">
        <f t="shared" si="6"/>
        <v>0.38878540687581281</v>
      </c>
      <c r="W93">
        <f t="shared" si="7"/>
        <v>22.287061540651688</v>
      </c>
    </row>
    <row r="94" spans="2:23" x14ac:dyDescent="0.45">
      <c r="B94">
        <v>-5.3045829276604293</v>
      </c>
      <c r="C94">
        <v>0</v>
      </c>
      <c r="D94">
        <v>-5.5511150768909598E-2</v>
      </c>
      <c r="E94">
        <v>1.76299013879221</v>
      </c>
      <c r="F94">
        <v>3.0462949225501701E-12</v>
      </c>
      <c r="G94">
        <v>-6.3622189013744307E-2</v>
      </c>
      <c r="H94">
        <v>7.0848673421582502</v>
      </c>
      <c r="I94">
        <v>-0.710620581419799</v>
      </c>
      <c r="J94">
        <f t="shared" si="4"/>
        <v>0.33919007901132808</v>
      </c>
      <c r="K94">
        <f t="shared" si="5"/>
        <v>4</v>
      </c>
      <c r="L94" cm="1">
        <f t="array" ref="L94">SUMPRODUCT(N(B94:H94*C94:I94&lt;0))</f>
        <v>4</v>
      </c>
      <c r="O94">
        <v>0.14407348342470799</v>
      </c>
      <c r="P94">
        <v>0.71104184088785904</v>
      </c>
      <c r="Q94">
        <v>0.48032554539912498</v>
      </c>
      <c r="R94">
        <v>0.47754672564760797</v>
      </c>
      <c r="S94">
        <v>0.71535603637787204</v>
      </c>
      <c r="T94">
        <v>0.155212952520938</v>
      </c>
      <c r="U94">
        <v>3.7941263872579498E-2</v>
      </c>
      <c r="V94">
        <f t="shared" si="6"/>
        <v>0.38878540687581281</v>
      </c>
      <c r="W94">
        <f t="shared" si="7"/>
        <v>22.287061540651688</v>
      </c>
    </row>
    <row r="95" spans="2:23" x14ac:dyDescent="0.45">
      <c r="B95">
        <v>-5.3045829276604293</v>
      </c>
      <c r="C95">
        <v>0</v>
      </c>
      <c r="D95">
        <v>-5.5511150768909598E-2</v>
      </c>
      <c r="E95">
        <v>1.76299013879221</v>
      </c>
      <c r="F95">
        <v>3.0462949225501701E-12</v>
      </c>
      <c r="G95">
        <v>-6.3622189013744307E-2</v>
      </c>
      <c r="H95">
        <v>7.0848673421582502</v>
      </c>
      <c r="I95">
        <v>-0.710620581419799</v>
      </c>
      <c r="J95">
        <f t="shared" si="4"/>
        <v>0.33919007901132808</v>
      </c>
      <c r="K95">
        <f t="shared" si="5"/>
        <v>4</v>
      </c>
      <c r="L95" cm="1">
        <f t="array" ref="L95">SUMPRODUCT(N(B95:H95*C95:I95&lt;0))</f>
        <v>4</v>
      </c>
      <c r="O95">
        <v>0.14407348342470799</v>
      </c>
      <c r="P95">
        <v>0.71104184088785904</v>
      </c>
      <c r="Q95">
        <v>0.48032554539912498</v>
      </c>
      <c r="R95">
        <v>0.47754672564760797</v>
      </c>
      <c r="S95">
        <v>0.71535603637787204</v>
      </c>
      <c r="T95">
        <v>0.155212952520938</v>
      </c>
      <c r="U95">
        <v>3.7941263872579498E-2</v>
      </c>
      <c r="V95">
        <f t="shared" si="6"/>
        <v>0.38878540687581281</v>
      </c>
      <c r="W95">
        <f t="shared" si="7"/>
        <v>22.287061540651688</v>
      </c>
    </row>
    <row r="96" spans="2:23" x14ac:dyDescent="0.45">
      <c r="B96">
        <v>-5.3045829276604293</v>
      </c>
      <c r="C96">
        <v>0</v>
      </c>
      <c r="D96">
        <v>-5.5511150768909598E-2</v>
      </c>
      <c r="E96">
        <v>1.76299013879221</v>
      </c>
      <c r="F96">
        <v>3.0462949225501701E-12</v>
      </c>
      <c r="G96">
        <v>-6.3622189013744307E-2</v>
      </c>
      <c r="H96">
        <v>7.0848673421582502</v>
      </c>
      <c r="I96">
        <v>-0.710620581419799</v>
      </c>
      <c r="J96">
        <f t="shared" si="4"/>
        <v>0.33919007901132808</v>
      </c>
      <c r="K96">
        <f t="shared" si="5"/>
        <v>4</v>
      </c>
      <c r="L96" cm="1">
        <f t="array" ref="L96">SUMPRODUCT(N(B96:H96*C96:I96&lt;0))</f>
        <v>4</v>
      </c>
      <c r="O96">
        <v>0.14407348342470799</v>
      </c>
      <c r="P96">
        <v>0.71104184088785904</v>
      </c>
      <c r="Q96">
        <v>0.48032554539912498</v>
      </c>
      <c r="R96">
        <v>0.47754672564760797</v>
      </c>
      <c r="S96">
        <v>0.71535603637787204</v>
      </c>
      <c r="T96">
        <v>0.155212952520938</v>
      </c>
      <c r="U96">
        <v>3.7941263872579498E-2</v>
      </c>
      <c r="V96">
        <f t="shared" si="6"/>
        <v>0.38878540687581281</v>
      </c>
      <c r="W96">
        <f t="shared" si="7"/>
        <v>22.287061540651688</v>
      </c>
    </row>
    <row r="97" spans="2:23" x14ac:dyDescent="0.45">
      <c r="B97">
        <v>-5.3045829276604293</v>
      </c>
      <c r="C97">
        <v>0</v>
      </c>
      <c r="D97">
        <v>-5.5511150768909598E-2</v>
      </c>
      <c r="E97">
        <v>1.76299013879221</v>
      </c>
      <c r="F97">
        <v>3.0462949225501701E-12</v>
      </c>
      <c r="G97">
        <v>-6.3622189013744307E-2</v>
      </c>
      <c r="H97">
        <v>7.0848673421582502</v>
      </c>
      <c r="I97">
        <v>-0.710620581419799</v>
      </c>
      <c r="J97">
        <f t="shared" si="4"/>
        <v>0.33919007901132808</v>
      </c>
      <c r="K97">
        <f t="shared" si="5"/>
        <v>4</v>
      </c>
      <c r="L97" cm="1">
        <f t="array" ref="L97">SUMPRODUCT(N(B97:H97*C97:I97&lt;0))</f>
        <v>4</v>
      </c>
      <c r="O97">
        <v>0.14407348342470799</v>
      </c>
      <c r="P97">
        <v>0.71104184088785904</v>
      </c>
      <c r="Q97">
        <v>0.48032554539912498</v>
      </c>
      <c r="R97">
        <v>0.47754672564760797</v>
      </c>
      <c r="S97">
        <v>0.71535603637787204</v>
      </c>
      <c r="T97">
        <v>0.155212952520938</v>
      </c>
      <c r="U97">
        <v>3.7941263872579498E-2</v>
      </c>
      <c r="V97">
        <f t="shared" si="6"/>
        <v>0.38878540687581281</v>
      </c>
      <c r="W97">
        <f t="shared" si="7"/>
        <v>22.287061540651688</v>
      </c>
    </row>
    <row r="98" spans="2:23" x14ac:dyDescent="0.45">
      <c r="B98">
        <v>-5.3045829276604293</v>
      </c>
      <c r="C98">
        <v>0</v>
      </c>
      <c r="D98">
        <v>-5.5511150768909598E-2</v>
      </c>
      <c r="E98">
        <v>1.76299013879221</v>
      </c>
      <c r="F98">
        <v>3.0462949225501701E-12</v>
      </c>
      <c r="G98">
        <v>-6.3622189013744307E-2</v>
      </c>
      <c r="H98">
        <v>7.0848673421582502</v>
      </c>
      <c r="I98">
        <v>-0.710620581419799</v>
      </c>
      <c r="J98">
        <f t="shared" si="4"/>
        <v>0.33919007901132808</v>
      </c>
      <c r="K98">
        <f t="shared" si="5"/>
        <v>4</v>
      </c>
      <c r="L98" cm="1">
        <f t="array" ref="L98">SUMPRODUCT(N(B98:H98*C98:I98&lt;0))</f>
        <v>4</v>
      </c>
      <c r="O98">
        <v>0.14407348342470799</v>
      </c>
      <c r="P98">
        <v>0.71104184088785904</v>
      </c>
      <c r="Q98">
        <v>0.48032554539912498</v>
      </c>
      <c r="R98">
        <v>0.47754672564760797</v>
      </c>
      <c r="S98">
        <v>0.71535603637787204</v>
      </c>
      <c r="T98">
        <v>0.155212952520938</v>
      </c>
      <c r="U98">
        <v>3.7941263872579498E-2</v>
      </c>
      <c r="V98">
        <f t="shared" si="6"/>
        <v>0.38878540687581281</v>
      </c>
      <c r="W98">
        <f t="shared" si="7"/>
        <v>22.287061540651688</v>
      </c>
    </row>
    <row r="99" spans="2:23" x14ac:dyDescent="0.45">
      <c r="B99">
        <v>-5.3045829276604293</v>
      </c>
      <c r="C99">
        <v>0</v>
      </c>
      <c r="D99">
        <v>-5.5511150768909598E-2</v>
      </c>
      <c r="E99">
        <v>-3.5190413837266599</v>
      </c>
      <c r="F99">
        <v>-1.75778596836428</v>
      </c>
      <c r="G99">
        <v>-3.8911795651947499E-10</v>
      </c>
      <c r="H99">
        <v>2.79653954007231E-4</v>
      </c>
      <c r="I99">
        <v>-3.5209268652589603</v>
      </c>
      <c r="J99">
        <f t="shared" si="4"/>
        <v>-1.7696960802767938</v>
      </c>
      <c r="K99">
        <f t="shared" si="5"/>
        <v>2</v>
      </c>
      <c r="L99" cm="1">
        <f t="array" ref="L99">SUMPRODUCT(N(B99:H99*C99:I99&lt;0))</f>
        <v>2</v>
      </c>
      <c r="O99">
        <v>0.180824974347676</v>
      </c>
      <c r="P99">
        <v>0.86748132821930302</v>
      </c>
      <c r="Q99">
        <v>2.4900412368091701E-3</v>
      </c>
      <c r="R99">
        <v>0.87470119581085204</v>
      </c>
      <c r="S99">
        <v>0.19559633122085501</v>
      </c>
      <c r="T99">
        <v>5.0296076868244E-2</v>
      </c>
      <c r="U99">
        <v>1.35433278970914E-2</v>
      </c>
      <c r="V99">
        <f t="shared" si="6"/>
        <v>0.31213332508583297</v>
      </c>
      <c r="W99">
        <f t="shared" si="7"/>
        <v>17.892993157786602</v>
      </c>
    </row>
    <row r="100" spans="2:23" x14ac:dyDescent="0.45">
      <c r="B100">
        <v>-5.3045829276604293</v>
      </c>
      <c r="C100">
        <v>0</v>
      </c>
      <c r="D100">
        <v>-5.5511150768909598E-2</v>
      </c>
      <c r="E100">
        <v>-3.5190413837266599</v>
      </c>
      <c r="F100">
        <v>-9.2133511311535593E-11</v>
      </c>
      <c r="G100">
        <v>-3.5190413837266599</v>
      </c>
      <c r="H100">
        <v>-9.2133511311535593E-11</v>
      </c>
      <c r="I100">
        <v>-3.5190413837266599</v>
      </c>
      <c r="J100">
        <f t="shared" si="4"/>
        <v>-1.9896522787241984</v>
      </c>
      <c r="K100">
        <f t="shared" si="5"/>
        <v>1</v>
      </c>
      <c r="L100" cm="1">
        <f t="array" ref="L100">SUMPRODUCT(N(B100:H100*C100:I100&lt;0))</f>
        <v>0</v>
      </c>
      <c r="O100">
        <v>0.178485541067262</v>
      </c>
      <c r="P100">
        <v>0.95039780615288905</v>
      </c>
      <c r="Q100">
        <v>0.218388103778136</v>
      </c>
      <c r="R100">
        <v>0.26382173773226397</v>
      </c>
      <c r="S100">
        <v>0.155531702654604</v>
      </c>
      <c r="T100">
        <v>3.5281014266621898E-2</v>
      </c>
      <c r="U100">
        <v>1.4574396947437399E-2</v>
      </c>
      <c r="V100">
        <f t="shared" si="6"/>
        <v>0.25949718608560202</v>
      </c>
      <c r="W100">
        <f t="shared" si="7"/>
        <v>14.875634871149158</v>
      </c>
    </row>
    <row r="101" spans="2:23" x14ac:dyDescent="0.45">
      <c r="B101">
        <v>-5.3045829276604293</v>
      </c>
      <c r="C101">
        <v>0</v>
      </c>
      <c r="D101">
        <v>-5.5511150768909598E-2</v>
      </c>
      <c r="E101">
        <v>-3.5190413837266599</v>
      </c>
      <c r="F101">
        <v>-9.2133511311535593E-11</v>
      </c>
      <c r="G101">
        <v>-3.5190413837266599</v>
      </c>
      <c r="H101">
        <v>-1.75778596836428</v>
      </c>
      <c r="I101">
        <v>-3.8911795651947499E-10</v>
      </c>
      <c r="J101">
        <f t="shared" si="4"/>
        <v>-1.7694953518410237</v>
      </c>
      <c r="K101">
        <f t="shared" si="5"/>
        <v>1</v>
      </c>
      <c r="L101" cm="1">
        <f t="array" ref="L101">SUMPRODUCT(N(B101:H101*C101:I101&lt;0))</f>
        <v>0</v>
      </c>
      <c r="O101">
        <v>0.17857397463335201</v>
      </c>
      <c r="P101">
        <v>0.94161191039233505</v>
      </c>
      <c r="Q101">
        <v>0.18929621538432101</v>
      </c>
      <c r="R101">
        <v>0.76899990574864996</v>
      </c>
      <c r="S101">
        <v>1.11946296773704</v>
      </c>
      <c r="T101">
        <v>0.87178623855368798</v>
      </c>
      <c r="U101">
        <v>0.119295175775689</v>
      </c>
      <c r="V101">
        <f t="shared" si="6"/>
        <v>0.59843234117501076</v>
      </c>
      <c r="W101">
        <f t="shared" si="7"/>
        <v>34.305038666083419</v>
      </c>
    </row>
    <row r="104" spans="2:23" x14ac:dyDescent="0.45">
      <c r="I104" t="s">
        <v>1</v>
      </c>
      <c r="J104">
        <f>AVERAGE(J2:J101)</f>
        <v>-0.4696505551844592</v>
      </c>
      <c r="K104">
        <f t="shared" ref="K104:L104" si="8">AVERAGE(K2:K101)</f>
        <v>3.02</v>
      </c>
      <c r="L104">
        <f t="shared" si="8"/>
        <v>2.84</v>
      </c>
      <c r="V104">
        <f>AVERAGE(V2:V101)</f>
        <v>0.3795004726184496</v>
      </c>
      <c r="W104">
        <f>AVERAGE(W2:W101)</f>
        <v>21.754804162841069</v>
      </c>
    </row>
    <row r="105" spans="2:23" x14ac:dyDescent="0.45">
      <c r="I105" t="s">
        <v>7</v>
      </c>
      <c r="J105">
        <f>_xlfn.VAR.S(J2:J101)</f>
        <v>1.0760786750234861</v>
      </c>
      <c r="K105">
        <f t="shared" ref="K105:L105" si="9">_xlfn.VAR.S(K2:K101)</f>
        <v>1.6157575757575762</v>
      </c>
      <c r="L105">
        <f t="shared" si="9"/>
        <v>2.6812121212121216</v>
      </c>
      <c r="W105">
        <f>_xlfn.VAR.S(W2:W101)</f>
        <v>22.146215929133692</v>
      </c>
    </row>
    <row r="106" spans="2:23" x14ac:dyDescent="0.45">
      <c r="I106" t="s">
        <v>8</v>
      </c>
      <c r="J106">
        <f>J105/(50^(1/2))</f>
        <v>0.15218050563986843</v>
      </c>
      <c r="K106">
        <f t="shared" ref="K106:L106" si="10">K105/(50^(1/2))</f>
        <v>0.22850262771434376</v>
      </c>
      <c r="L106">
        <f t="shared" si="10"/>
        <v>0.37918065454173172</v>
      </c>
      <c r="W106">
        <f>W105/(50^(1/2))</f>
        <v>3.131947892222394</v>
      </c>
    </row>
    <row r="107" spans="2:23" x14ac:dyDescent="0.45">
      <c r="K107">
        <f>COUNTIF(K2:K101,"&lt;=2")</f>
        <v>37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2F6C-C8A4-4733-941D-B4C1FB7AD534}">
  <dimension ref="A1:AD107"/>
  <sheetViews>
    <sheetView topLeftCell="C1" workbookViewId="0">
      <pane ySplit="1" topLeftCell="A92" activePane="bottomLeft" state="frozen"/>
      <selection pane="bottomLeft" activeCell="N104" sqref="N104"/>
    </sheetView>
  </sheetViews>
  <sheetFormatPr defaultRowHeight="18" x14ac:dyDescent="0.45"/>
  <cols>
    <col min="2" max="2" width="9.09765625" bestFit="1" customWidth="1"/>
    <col min="3" max="3" width="10.5" bestFit="1" customWidth="1"/>
    <col min="4" max="4" width="10.3984375" bestFit="1" customWidth="1"/>
    <col min="5" max="5" width="9.5" bestFit="1" customWidth="1"/>
    <col min="6" max="6" width="10.5" bestFit="1" customWidth="1"/>
    <col min="7" max="7" width="9.5" bestFit="1" customWidth="1"/>
    <col min="8" max="8" width="10.5" bestFit="1" customWidth="1"/>
    <col min="9" max="9" width="10.3984375" bestFit="1" customWidth="1"/>
    <col min="10" max="10" width="12.59765625" bestFit="1" customWidth="1"/>
    <col min="22" max="22" width="12.69921875" bestFit="1" customWidth="1"/>
    <col min="30" max="30" width="9.5" bestFit="1" customWidth="1"/>
  </cols>
  <sheetData>
    <row r="1" spans="1:30" x14ac:dyDescent="0.4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 t="s">
        <v>1</v>
      </c>
      <c r="K1" t="s">
        <v>2</v>
      </c>
      <c r="L1" t="s">
        <v>3</v>
      </c>
      <c r="N1" t="s">
        <v>4</v>
      </c>
      <c r="O1">
        <v>1.5</v>
      </c>
      <c r="P1">
        <v>2.5</v>
      </c>
      <c r="Q1">
        <v>3.5</v>
      </c>
      <c r="R1">
        <v>4.5</v>
      </c>
      <c r="S1">
        <v>5.5</v>
      </c>
      <c r="T1">
        <v>6.5</v>
      </c>
      <c r="U1">
        <v>7.5</v>
      </c>
      <c r="V1" t="s">
        <v>1</v>
      </c>
      <c r="W1" t="s">
        <v>6</v>
      </c>
      <c r="AD1" t="s">
        <v>5</v>
      </c>
    </row>
    <row r="2" spans="1:30" x14ac:dyDescent="0.45">
      <c r="B2">
        <v>-5.3045829276604293</v>
      </c>
      <c r="C2">
        <v>0</v>
      </c>
      <c r="D2">
        <v>-5.5511150768909598E-2</v>
      </c>
      <c r="E2">
        <v>-3.5190413837266599</v>
      </c>
      <c r="F2">
        <v>-1.75778596836428</v>
      </c>
      <c r="G2">
        <v>-3.8911795651947499E-10</v>
      </c>
      <c r="H2">
        <v>2.79653954007231E-4</v>
      </c>
      <c r="I2">
        <v>-3.5209268652589603</v>
      </c>
      <c r="J2">
        <f>AVERAGE(B2:I2)</f>
        <v>-1.7696960802767938</v>
      </c>
      <c r="K2">
        <f>COUNTIF(B2:I2,"&gt;=0")</f>
        <v>2</v>
      </c>
      <c r="L2" cm="1">
        <f t="array" ref="L2">SUMPRODUCT(N(B2:H2*C2:I2&lt;0))</f>
        <v>2</v>
      </c>
      <c r="O2">
        <v>0.14407348342470799</v>
      </c>
      <c r="P2">
        <v>0.71104184088785904</v>
      </c>
      <c r="Q2">
        <v>0.48032554539912498</v>
      </c>
      <c r="R2">
        <v>0.47754672564760797</v>
      </c>
      <c r="S2">
        <v>0.71535603637787204</v>
      </c>
      <c r="T2">
        <v>0.155212952520938</v>
      </c>
      <c r="U2">
        <v>3.7941263872579498E-2</v>
      </c>
      <c r="V2">
        <f>AVERAGE(O2:U2)</f>
        <v>0.38878540687581281</v>
      </c>
      <c r="W2">
        <f>V2*360/(3.14*2)</f>
        <v>22.287061540651688</v>
      </c>
    </row>
    <row r="3" spans="1:30" x14ac:dyDescent="0.45">
      <c r="B3">
        <v>-5.3045829276604293</v>
      </c>
      <c r="C3">
        <v>0</v>
      </c>
      <c r="D3">
        <v>-5.5511150768909598E-2</v>
      </c>
      <c r="E3">
        <v>1.76299013879221</v>
      </c>
      <c r="F3">
        <v>3.0462949225501701E-12</v>
      </c>
      <c r="G3">
        <v>-6.3622189013744307E-2</v>
      </c>
      <c r="H3">
        <v>7.0848673421582502</v>
      </c>
      <c r="I3">
        <v>-0.710620581419799</v>
      </c>
      <c r="J3">
        <f t="shared" ref="J3:J66" si="0">AVERAGE(B3:I3)</f>
        <v>0.33919007901132808</v>
      </c>
      <c r="K3">
        <f t="shared" ref="K3:K66" si="1">COUNTIF(B3:I3,"&gt;=0")</f>
        <v>4</v>
      </c>
      <c r="L3" cm="1">
        <f t="array" ref="L3">SUMPRODUCT(N(B3:H3*C3:I3&lt;0))</f>
        <v>4</v>
      </c>
      <c r="O3">
        <v>0.14407348342470799</v>
      </c>
      <c r="P3">
        <v>0.71104184088785904</v>
      </c>
      <c r="Q3">
        <v>0.48032554539912498</v>
      </c>
      <c r="R3">
        <v>0.47754672564760797</v>
      </c>
      <c r="S3">
        <v>0.71535603637787204</v>
      </c>
      <c r="T3">
        <v>0.155212952520938</v>
      </c>
      <c r="U3">
        <v>3.7941263872579498E-2</v>
      </c>
      <c r="V3">
        <f t="shared" ref="V3:V66" si="2">AVERAGE(O3:U3)</f>
        <v>0.38878540687581281</v>
      </c>
      <c r="W3">
        <f t="shared" ref="W3:W66" si="3">V3*360/(3.14*2)</f>
        <v>22.287061540651688</v>
      </c>
    </row>
    <row r="4" spans="1:30" x14ac:dyDescent="0.45">
      <c r="B4">
        <v>-5.3045829276604293</v>
      </c>
      <c r="C4">
        <v>0</v>
      </c>
      <c r="D4">
        <v>-5.5511150768909598E-2</v>
      </c>
      <c r="E4">
        <v>-3.5190413837266599</v>
      </c>
      <c r="F4">
        <v>-9.2133511311535593E-11</v>
      </c>
      <c r="G4">
        <v>-3.5190413837266599</v>
      </c>
      <c r="H4">
        <v>-1.75778596836428</v>
      </c>
      <c r="I4">
        <v>-3.8911795651947499E-10</v>
      </c>
      <c r="J4">
        <f t="shared" si="0"/>
        <v>-1.7694953518410237</v>
      </c>
      <c r="K4">
        <f t="shared" si="1"/>
        <v>1</v>
      </c>
      <c r="L4" cm="1">
        <f t="array" ref="L4">SUMPRODUCT(N(B4:H4*C4:I4&lt;0))</f>
        <v>0</v>
      </c>
      <c r="O4">
        <v>0.17857397463335201</v>
      </c>
      <c r="P4">
        <v>0.94161191039233505</v>
      </c>
      <c r="Q4">
        <v>0.18929621538432101</v>
      </c>
      <c r="R4">
        <v>0.76899990574864996</v>
      </c>
      <c r="S4">
        <v>1.11946296773704</v>
      </c>
      <c r="T4">
        <v>0.87178623855368798</v>
      </c>
      <c r="U4">
        <v>0.119295175775689</v>
      </c>
      <c r="V4">
        <f t="shared" si="2"/>
        <v>0.59843234117501076</v>
      </c>
      <c r="W4">
        <f t="shared" si="3"/>
        <v>34.305038666083419</v>
      </c>
    </row>
    <row r="5" spans="1:30" x14ac:dyDescent="0.45">
      <c r="B5">
        <v>-5.3045829276604293</v>
      </c>
      <c r="C5">
        <v>0</v>
      </c>
      <c r="D5">
        <v>-5.5511150768909598E-2</v>
      </c>
      <c r="E5">
        <v>-3.5190413837266599</v>
      </c>
      <c r="F5">
        <v>-9.2133511311535593E-11</v>
      </c>
      <c r="G5">
        <v>-3.5190413837266599</v>
      </c>
      <c r="H5">
        <v>-1.75778596836428</v>
      </c>
      <c r="I5">
        <v>-3.8911795651947499E-10</v>
      </c>
      <c r="J5">
        <f t="shared" si="0"/>
        <v>-1.7694953518410237</v>
      </c>
      <c r="K5">
        <f t="shared" si="1"/>
        <v>1</v>
      </c>
      <c r="L5" cm="1">
        <f t="array" ref="L5">SUMPRODUCT(N(B5:H5*C5:I5&lt;0))</f>
        <v>0</v>
      </c>
      <c r="O5">
        <v>0.180824974347676</v>
      </c>
      <c r="P5">
        <v>0.86748132821930302</v>
      </c>
      <c r="Q5">
        <v>2.4900412368091701E-3</v>
      </c>
      <c r="R5">
        <v>0.87470119581085204</v>
      </c>
      <c r="S5">
        <v>0.19559633122085501</v>
      </c>
      <c r="T5">
        <v>5.0296076868244E-2</v>
      </c>
      <c r="U5">
        <v>1.35433278970914E-2</v>
      </c>
      <c r="V5">
        <f t="shared" si="2"/>
        <v>0.31213332508583297</v>
      </c>
      <c r="W5">
        <f t="shared" si="3"/>
        <v>17.892993157786602</v>
      </c>
    </row>
    <row r="6" spans="1:30" x14ac:dyDescent="0.45">
      <c r="B6">
        <v>-5.3045829276604293</v>
      </c>
      <c r="C6">
        <v>0</v>
      </c>
      <c r="D6">
        <v>-5.5511150768909598E-2</v>
      </c>
      <c r="E6">
        <v>1.76299013879221</v>
      </c>
      <c r="F6">
        <v>3.0462949225501701E-12</v>
      </c>
      <c r="G6">
        <v>-6.3622189013744307E-2</v>
      </c>
      <c r="H6">
        <v>7.0848673421582502</v>
      </c>
      <c r="I6">
        <v>-0.710620581419799</v>
      </c>
      <c r="J6">
        <f t="shared" si="0"/>
        <v>0.33919007901132808</v>
      </c>
      <c r="K6">
        <f t="shared" si="1"/>
        <v>4</v>
      </c>
      <c r="L6" cm="1">
        <f t="array" ref="L6">SUMPRODUCT(N(B6:H6*C6:I6&lt;0))</f>
        <v>4</v>
      </c>
      <c r="O6">
        <v>0.178485541067262</v>
      </c>
      <c r="P6">
        <v>0.95039780615288905</v>
      </c>
      <c r="Q6">
        <v>0.218388103778136</v>
      </c>
      <c r="R6">
        <v>0.26382173773226397</v>
      </c>
      <c r="S6">
        <v>0.155531702654604</v>
      </c>
      <c r="T6">
        <v>3.5281014266621898E-2</v>
      </c>
      <c r="U6">
        <v>1.4574396947437399E-2</v>
      </c>
      <c r="V6">
        <f t="shared" si="2"/>
        <v>0.25949718608560202</v>
      </c>
      <c r="W6">
        <f t="shared" si="3"/>
        <v>14.875634871149158</v>
      </c>
    </row>
    <row r="7" spans="1:30" x14ac:dyDescent="0.45">
      <c r="B7">
        <v>-5.3045829276604293</v>
      </c>
      <c r="C7">
        <v>0</v>
      </c>
      <c r="D7">
        <v>-5.5511150768909598E-2</v>
      </c>
      <c r="E7">
        <v>-3.5190413837266599</v>
      </c>
      <c r="F7">
        <v>-1.75778596836428</v>
      </c>
      <c r="G7">
        <v>-3.8911795651947499E-10</v>
      </c>
      <c r="H7">
        <v>2.79653954007231E-4</v>
      </c>
      <c r="I7">
        <v>-3.5209268652589603</v>
      </c>
      <c r="J7">
        <f t="shared" si="0"/>
        <v>-1.7696960802767938</v>
      </c>
      <c r="K7">
        <f t="shared" si="1"/>
        <v>2</v>
      </c>
      <c r="L7" cm="1">
        <f t="array" ref="L7">SUMPRODUCT(N(B7:H7*C7:I7&lt;0))</f>
        <v>2</v>
      </c>
      <c r="O7">
        <v>0.180824974347676</v>
      </c>
      <c r="P7">
        <v>0.86748132821930302</v>
      </c>
      <c r="Q7">
        <v>2.4900412368091701E-3</v>
      </c>
      <c r="R7">
        <v>0.87470119581085204</v>
      </c>
      <c r="S7">
        <v>0.19559633122085501</v>
      </c>
      <c r="T7">
        <v>5.0296076868244E-2</v>
      </c>
      <c r="U7">
        <v>1.35433278970914E-2</v>
      </c>
      <c r="V7">
        <f t="shared" si="2"/>
        <v>0.31213332508583297</v>
      </c>
      <c r="W7">
        <f t="shared" si="3"/>
        <v>17.892993157786602</v>
      </c>
    </row>
    <row r="8" spans="1:30" x14ac:dyDescent="0.45">
      <c r="B8">
        <v>-5.3045829276604293</v>
      </c>
      <c r="C8">
        <v>0</v>
      </c>
      <c r="D8">
        <v>-5.5511150768909598E-2</v>
      </c>
      <c r="E8">
        <v>-3.5190413837266599</v>
      </c>
      <c r="F8">
        <v>-1.75778596836428</v>
      </c>
      <c r="G8">
        <v>-3.8911795651947499E-10</v>
      </c>
      <c r="H8">
        <v>2.79653954007231E-4</v>
      </c>
      <c r="I8">
        <v>-3.5209268652589603</v>
      </c>
      <c r="J8">
        <f t="shared" si="0"/>
        <v>-1.7696960802767938</v>
      </c>
      <c r="K8">
        <f t="shared" si="1"/>
        <v>2</v>
      </c>
      <c r="L8" cm="1">
        <f t="array" ref="L8">SUMPRODUCT(N(B8:H8*C8:I8&lt;0))</f>
        <v>2</v>
      </c>
      <c r="O8">
        <v>0.14407348342470799</v>
      </c>
      <c r="P8">
        <v>0.71104184088785904</v>
      </c>
      <c r="Q8">
        <v>0.48032554539912498</v>
      </c>
      <c r="R8">
        <v>0.47754672564760797</v>
      </c>
      <c r="S8">
        <v>0.71535603637787204</v>
      </c>
      <c r="T8">
        <v>0.155212952520938</v>
      </c>
      <c r="U8">
        <v>3.7941263872579498E-2</v>
      </c>
      <c r="V8">
        <f t="shared" si="2"/>
        <v>0.38878540687581281</v>
      </c>
      <c r="W8">
        <f t="shared" si="3"/>
        <v>22.287061540651688</v>
      </c>
    </row>
    <row r="9" spans="1:30" x14ac:dyDescent="0.45">
      <c r="B9">
        <v>-5.3045829276604293</v>
      </c>
      <c r="C9">
        <v>0</v>
      </c>
      <c r="D9">
        <v>-5.5511150768909598E-2</v>
      </c>
      <c r="E9">
        <v>1.76299013879221</v>
      </c>
      <c r="F9">
        <v>3.0462949225501701E-12</v>
      </c>
      <c r="G9">
        <v>-6.3622189013744307E-2</v>
      </c>
      <c r="H9">
        <v>7.0848673421582502</v>
      </c>
      <c r="I9">
        <v>-0.710620581419799</v>
      </c>
      <c r="J9">
        <f t="shared" si="0"/>
        <v>0.33919007901132808</v>
      </c>
      <c r="K9">
        <f t="shared" si="1"/>
        <v>4</v>
      </c>
      <c r="L9" cm="1">
        <f t="array" ref="L9">SUMPRODUCT(N(B9:H9*C9:I9&lt;0))</f>
        <v>4</v>
      </c>
      <c r="O9">
        <v>0.14407348342470799</v>
      </c>
      <c r="P9">
        <v>0.71104184088785904</v>
      </c>
      <c r="Q9">
        <v>0.48032554539912498</v>
      </c>
      <c r="R9">
        <v>0.47754672564760797</v>
      </c>
      <c r="S9">
        <v>0.71535603637787204</v>
      </c>
      <c r="T9">
        <v>0.155212952520938</v>
      </c>
      <c r="U9">
        <v>3.7941263872579498E-2</v>
      </c>
      <c r="V9">
        <f t="shared" si="2"/>
        <v>0.38878540687581281</v>
      </c>
      <c r="W9">
        <f t="shared" si="3"/>
        <v>22.287061540651688</v>
      </c>
    </row>
    <row r="10" spans="1:30" x14ac:dyDescent="0.45">
      <c r="B10">
        <v>-5.3045829276604293</v>
      </c>
      <c r="C10">
        <v>0</v>
      </c>
      <c r="D10">
        <v>-5.5511150768909598E-2</v>
      </c>
      <c r="E10">
        <v>-3.5190413837266599</v>
      </c>
      <c r="F10">
        <v>-1.75778596836428</v>
      </c>
      <c r="G10">
        <v>-3.8911795651947499E-10</v>
      </c>
      <c r="H10">
        <v>2.79653954007231E-4</v>
      </c>
      <c r="I10">
        <v>-3.5209268652589603</v>
      </c>
      <c r="J10">
        <f t="shared" si="0"/>
        <v>-1.7696960802767938</v>
      </c>
      <c r="K10">
        <f t="shared" si="1"/>
        <v>2</v>
      </c>
      <c r="L10" cm="1">
        <f t="array" ref="L10">SUMPRODUCT(N(B10:H10*C10:I10&lt;0))</f>
        <v>2</v>
      </c>
      <c r="O10">
        <v>0.14407348342470799</v>
      </c>
      <c r="P10">
        <v>0.71104184088785904</v>
      </c>
      <c r="Q10">
        <v>0.48032554539912498</v>
      </c>
      <c r="R10">
        <v>0.47754672564760797</v>
      </c>
      <c r="S10">
        <v>0.71535603637787204</v>
      </c>
      <c r="T10">
        <v>0.155212952520938</v>
      </c>
      <c r="U10">
        <v>3.7941263872579498E-2</v>
      </c>
      <c r="V10">
        <f t="shared" si="2"/>
        <v>0.38878540687581281</v>
      </c>
      <c r="W10">
        <f t="shared" si="3"/>
        <v>22.287061540651688</v>
      </c>
    </row>
    <row r="11" spans="1:30" x14ac:dyDescent="0.45">
      <c r="B11">
        <v>-5.3045829276604293</v>
      </c>
      <c r="C11">
        <v>0</v>
      </c>
      <c r="D11">
        <v>-5.5511150768909598E-2</v>
      </c>
      <c r="E11">
        <v>1.76299013879221</v>
      </c>
      <c r="F11">
        <v>3.0462949225501701E-12</v>
      </c>
      <c r="G11">
        <v>-6.3622189013744307E-2</v>
      </c>
      <c r="H11">
        <v>7.0848673421582502</v>
      </c>
      <c r="I11">
        <v>-0.710620581419799</v>
      </c>
      <c r="J11">
        <f t="shared" si="0"/>
        <v>0.33919007901132808</v>
      </c>
      <c r="K11">
        <f t="shared" si="1"/>
        <v>4</v>
      </c>
      <c r="L11" cm="1">
        <f t="array" ref="L11">SUMPRODUCT(N(B11:H11*C11:I11&lt;0))</f>
        <v>4</v>
      </c>
      <c r="O11">
        <v>0.14407348342470799</v>
      </c>
      <c r="P11">
        <v>0.71104184088785904</v>
      </c>
      <c r="Q11">
        <v>0.48032554539912498</v>
      </c>
      <c r="R11">
        <v>0.47754672564760797</v>
      </c>
      <c r="S11">
        <v>0.71535603637787204</v>
      </c>
      <c r="T11">
        <v>0.155212952520938</v>
      </c>
      <c r="U11">
        <v>3.7941263872579498E-2</v>
      </c>
      <c r="V11">
        <f t="shared" si="2"/>
        <v>0.38878540687581281</v>
      </c>
      <c r="W11">
        <f t="shared" si="3"/>
        <v>22.287061540651688</v>
      </c>
    </row>
    <row r="12" spans="1:30" x14ac:dyDescent="0.45">
      <c r="B12">
        <v>-5.3045829276604293</v>
      </c>
      <c r="C12">
        <v>0</v>
      </c>
      <c r="D12">
        <v>-5.5511150768909598E-2</v>
      </c>
      <c r="E12">
        <v>1.76299013879221</v>
      </c>
      <c r="F12">
        <v>3.0462949225501701E-12</v>
      </c>
      <c r="G12">
        <v>-6.3622189013744307E-2</v>
      </c>
      <c r="H12">
        <v>7.0848673421582502</v>
      </c>
      <c r="I12">
        <v>-0.710620581419799</v>
      </c>
      <c r="J12">
        <f t="shared" si="0"/>
        <v>0.33919007901132808</v>
      </c>
      <c r="K12">
        <f t="shared" si="1"/>
        <v>4</v>
      </c>
      <c r="L12" cm="1">
        <f t="array" ref="L12">SUMPRODUCT(N(B12:H12*C12:I12&lt;0))</f>
        <v>4</v>
      </c>
      <c r="O12">
        <v>0.180824974347676</v>
      </c>
      <c r="P12">
        <v>0.86748132821930302</v>
      </c>
      <c r="Q12">
        <v>2.4900412368091701E-3</v>
      </c>
      <c r="R12">
        <v>0.87470119581085204</v>
      </c>
      <c r="S12">
        <v>0.19559633122085501</v>
      </c>
      <c r="T12">
        <v>5.0296076868244E-2</v>
      </c>
      <c r="U12">
        <v>1.35433278970914E-2</v>
      </c>
      <c r="V12">
        <f t="shared" si="2"/>
        <v>0.31213332508583297</v>
      </c>
      <c r="W12">
        <f t="shared" si="3"/>
        <v>17.892993157786602</v>
      </c>
    </row>
    <row r="13" spans="1:30" x14ac:dyDescent="0.45">
      <c r="B13">
        <v>-5.3045829276604293</v>
      </c>
      <c r="C13">
        <v>0</v>
      </c>
      <c r="D13">
        <v>-5.5511150768909598E-2</v>
      </c>
      <c r="E13">
        <v>-3.5190413837266599</v>
      </c>
      <c r="F13">
        <v>-1.75778596836428</v>
      </c>
      <c r="G13">
        <v>-3.8911795651947499E-10</v>
      </c>
      <c r="H13">
        <v>2.79653954007231E-4</v>
      </c>
      <c r="I13">
        <v>-3.5209268652589603</v>
      </c>
      <c r="J13">
        <f t="shared" si="0"/>
        <v>-1.7696960802767938</v>
      </c>
      <c r="K13">
        <f t="shared" si="1"/>
        <v>2</v>
      </c>
      <c r="L13" cm="1">
        <f t="array" ref="L13">SUMPRODUCT(N(B13:H13*C13:I13&lt;0))</f>
        <v>2</v>
      </c>
      <c r="O13">
        <v>0.14407348342470799</v>
      </c>
      <c r="P13">
        <v>0.71104184088785904</v>
      </c>
      <c r="Q13">
        <v>0.48032554539912498</v>
      </c>
      <c r="R13">
        <v>0.47754672564760797</v>
      </c>
      <c r="S13">
        <v>0.71535603637787204</v>
      </c>
      <c r="T13">
        <v>0.155212952520938</v>
      </c>
      <c r="U13">
        <v>3.7941263872579498E-2</v>
      </c>
      <c r="V13">
        <f t="shared" si="2"/>
        <v>0.38878540687581281</v>
      </c>
      <c r="W13">
        <f t="shared" si="3"/>
        <v>22.287061540651688</v>
      </c>
    </row>
    <row r="14" spans="1:30" x14ac:dyDescent="0.45">
      <c r="B14">
        <v>-5.3045829276604293</v>
      </c>
      <c r="C14">
        <v>0</v>
      </c>
      <c r="D14">
        <v>-5.5511150768909598E-2</v>
      </c>
      <c r="E14">
        <v>1.76299013879221</v>
      </c>
      <c r="F14">
        <v>3.0462949225501701E-12</v>
      </c>
      <c r="G14">
        <v>-6.3622189013744307E-2</v>
      </c>
      <c r="H14">
        <v>7.0848673421582502</v>
      </c>
      <c r="I14">
        <v>-0.710620581419799</v>
      </c>
      <c r="J14">
        <f t="shared" si="0"/>
        <v>0.33919007901132808</v>
      </c>
      <c r="K14">
        <f t="shared" si="1"/>
        <v>4</v>
      </c>
      <c r="L14" cm="1">
        <f t="array" ref="L14">SUMPRODUCT(N(B14:H14*C14:I14&lt;0))</f>
        <v>4</v>
      </c>
      <c r="O14">
        <v>0.178485541067262</v>
      </c>
      <c r="P14">
        <v>0.95039780615288905</v>
      </c>
      <c r="Q14">
        <v>0.218388103778136</v>
      </c>
      <c r="R14">
        <v>0.26382173773226397</v>
      </c>
      <c r="S14">
        <v>0.155531702654604</v>
      </c>
      <c r="T14">
        <v>3.5281014266621898E-2</v>
      </c>
      <c r="U14">
        <v>1.4574396947437399E-2</v>
      </c>
      <c r="V14">
        <f t="shared" si="2"/>
        <v>0.25949718608560202</v>
      </c>
      <c r="W14">
        <f t="shared" si="3"/>
        <v>14.875634871149158</v>
      </c>
    </row>
    <row r="15" spans="1:30" x14ac:dyDescent="0.45">
      <c r="B15">
        <v>-5.3045829276604293</v>
      </c>
      <c r="C15">
        <v>0</v>
      </c>
      <c r="D15">
        <v>-5.5511150768909598E-2</v>
      </c>
      <c r="E15">
        <v>-3.5190413837266599</v>
      </c>
      <c r="F15">
        <v>-1.75778596836428</v>
      </c>
      <c r="G15">
        <v>-3.8911795651947499E-10</v>
      </c>
      <c r="H15">
        <v>2.79653954007231E-4</v>
      </c>
      <c r="I15">
        <v>-3.5209268652589603</v>
      </c>
      <c r="J15">
        <f t="shared" si="0"/>
        <v>-1.7696960802767938</v>
      </c>
      <c r="K15">
        <f t="shared" si="1"/>
        <v>2</v>
      </c>
      <c r="L15" cm="1">
        <f t="array" ref="L15">SUMPRODUCT(N(B15:H15*C15:I15&lt;0))</f>
        <v>2</v>
      </c>
      <c r="O15">
        <v>0.17857397463335201</v>
      </c>
      <c r="P15">
        <v>0.94161191039233505</v>
      </c>
      <c r="Q15">
        <v>0.18929621538432101</v>
      </c>
      <c r="R15">
        <v>0.76899990574864996</v>
      </c>
      <c r="S15">
        <v>1.11946296773704</v>
      </c>
      <c r="T15">
        <v>0.87178623855368798</v>
      </c>
      <c r="U15">
        <v>0.119295175775689</v>
      </c>
      <c r="V15">
        <f t="shared" si="2"/>
        <v>0.59843234117501076</v>
      </c>
      <c r="W15">
        <f t="shared" si="3"/>
        <v>34.305038666083419</v>
      </c>
    </row>
    <row r="16" spans="1:30" x14ac:dyDescent="0.45">
      <c r="B16">
        <v>-5.3045829276604293</v>
      </c>
      <c r="C16">
        <v>0</v>
      </c>
      <c r="D16">
        <v>-5.5511150768909598E-2</v>
      </c>
      <c r="E16">
        <v>-3.5190413837266599</v>
      </c>
      <c r="F16">
        <v>-1.75778596836428</v>
      </c>
      <c r="G16">
        <v>-3.8911795651947499E-10</v>
      </c>
      <c r="H16">
        <v>2.79653954007231E-4</v>
      </c>
      <c r="I16">
        <v>-3.5209268652589603</v>
      </c>
      <c r="J16">
        <f t="shared" si="0"/>
        <v>-1.7696960802767938</v>
      </c>
      <c r="K16">
        <f t="shared" si="1"/>
        <v>2</v>
      </c>
      <c r="L16" cm="1">
        <f t="array" ref="L16">SUMPRODUCT(N(B16:H16*C16:I16&lt;0))</f>
        <v>2</v>
      </c>
      <c r="O16">
        <v>0.14407348342470799</v>
      </c>
      <c r="P16">
        <v>0.71104184088785904</v>
      </c>
      <c r="Q16">
        <v>0.48032554539912498</v>
      </c>
      <c r="R16">
        <v>0.47754672564760797</v>
      </c>
      <c r="S16">
        <v>0.71535603637787204</v>
      </c>
      <c r="T16">
        <v>0.155212952520938</v>
      </c>
      <c r="U16">
        <v>3.7941263872579498E-2</v>
      </c>
      <c r="V16">
        <f t="shared" si="2"/>
        <v>0.38878540687581281</v>
      </c>
      <c r="W16">
        <f t="shared" si="3"/>
        <v>22.287061540651688</v>
      </c>
    </row>
    <row r="17" spans="2:23" x14ac:dyDescent="0.45">
      <c r="B17">
        <v>-5.3045829276604293</v>
      </c>
      <c r="C17">
        <v>0</v>
      </c>
      <c r="D17">
        <v>-5.5511150768909598E-2</v>
      </c>
      <c r="E17">
        <v>1.76299013879221</v>
      </c>
      <c r="F17">
        <v>3.0462949225501701E-12</v>
      </c>
      <c r="G17">
        <v>-6.3622189013744307E-2</v>
      </c>
      <c r="H17">
        <v>7.0848673421582502</v>
      </c>
      <c r="I17">
        <v>-0.710620581419799</v>
      </c>
      <c r="J17">
        <f t="shared" si="0"/>
        <v>0.33919007901132808</v>
      </c>
      <c r="K17">
        <f t="shared" si="1"/>
        <v>4</v>
      </c>
      <c r="L17" cm="1">
        <f t="array" ref="L17">SUMPRODUCT(N(B17:H17*C17:I17&lt;0))</f>
        <v>4</v>
      </c>
      <c r="O17">
        <v>0.14407348342470799</v>
      </c>
      <c r="P17">
        <v>0.71104184088785904</v>
      </c>
      <c r="Q17">
        <v>0.48032554539912498</v>
      </c>
      <c r="R17">
        <v>0.47754672564760797</v>
      </c>
      <c r="S17">
        <v>0.71535603637787204</v>
      </c>
      <c r="T17">
        <v>0.155212952520938</v>
      </c>
      <c r="U17">
        <v>3.7941263872579498E-2</v>
      </c>
      <c r="V17">
        <f t="shared" si="2"/>
        <v>0.38878540687581281</v>
      </c>
      <c r="W17">
        <f t="shared" si="3"/>
        <v>22.287061540651688</v>
      </c>
    </row>
    <row r="18" spans="2:23" x14ac:dyDescent="0.45">
      <c r="B18">
        <v>-5.3045829276604293</v>
      </c>
      <c r="C18">
        <v>0</v>
      </c>
      <c r="D18">
        <v>-5.5511150768909598E-2</v>
      </c>
      <c r="E18">
        <v>1.76299013879221</v>
      </c>
      <c r="F18">
        <v>3.0462949225501701E-12</v>
      </c>
      <c r="G18">
        <v>-6.3622189013744307E-2</v>
      </c>
      <c r="H18">
        <v>7.0848673421582502</v>
      </c>
      <c r="I18">
        <v>-0.710620581419799</v>
      </c>
      <c r="J18">
        <f t="shared" si="0"/>
        <v>0.33919007901132808</v>
      </c>
      <c r="K18">
        <f t="shared" si="1"/>
        <v>4</v>
      </c>
      <c r="L18" cm="1">
        <f t="array" ref="L18">SUMPRODUCT(N(B18:H18*C18:I18&lt;0))</f>
        <v>4</v>
      </c>
      <c r="O18">
        <v>0.17857397463335201</v>
      </c>
      <c r="P18">
        <v>0.94161191039233505</v>
      </c>
      <c r="Q18">
        <v>0.18929621538432101</v>
      </c>
      <c r="R18">
        <v>0.76899990574864996</v>
      </c>
      <c r="S18">
        <v>1.11946296773704</v>
      </c>
      <c r="T18">
        <v>0.87178623855368798</v>
      </c>
      <c r="U18">
        <v>0.119295175775689</v>
      </c>
      <c r="V18">
        <f t="shared" si="2"/>
        <v>0.59843234117501076</v>
      </c>
      <c r="W18">
        <f t="shared" si="3"/>
        <v>34.305038666083419</v>
      </c>
    </row>
    <row r="19" spans="2:23" x14ac:dyDescent="0.45">
      <c r="B19">
        <v>-5.3045829276604293</v>
      </c>
      <c r="C19">
        <v>0</v>
      </c>
      <c r="D19">
        <v>-5.5511150768909598E-2</v>
      </c>
      <c r="E19">
        <v>-3.5190413837266599</v>
      </c>
      <c r="F19">
        <v>-9.2133511311535593E-11</v>
      </c>
      <c r="G19">
        <v>-3.5190413837266599</v>
      </c>
      <c r="H19">
        <v>-1.75778596836428</v>
      </c>
      <c r="I19">
        <v>-3.8911795651947499E-10</v>
      </c>
      <c r="J19">
        <f t="shared" si="0"/>
        <v>-1.7694953518410237</v>
      </c>
      <c r="K19">
        <f t="shared" si="1"/>
        <v>1</v>
      </c>
      <c r="L19" cm="1">
        <f t="array" ref="L19">SUMPRODUCT(N(B19:H19*C19:I19&lt;0))</f>
        <v>0</v>
      </c>
      <c r="O19">
        <v>0.14407348342470799</v>
      </c>
      <c r="P19">
        <v>0.71104184088785904</v>
      </c>
      <c r="Q19">
        <v>0.48032554539912498</v>
      </c>
      <c r="R19">
        <v>0.47754672564760797</v>
      </c>
      <c r="S19">
        <v>0.71535603637787204</v>
      </c>
      <c r="T19">
        <v>0.155212952520938</v>
      </c>
      <c r="U19">
        <v>3.7941263872579498E-2</v>
      </c>
      <c r="V19">
        <f t="shared" si="2"/>
        <v>0.38878540687581281</v>
      </c>
      <c r="W19">
        <f t="shared" si="3"/>
        <v>22.287061540651688</v>
      </c>
    </row>
    <row r="20" spans="2:23" x14ac:dyDescent="0.45">
      <c r="B20">
        <v>-5.3045829276604293</v>
      </c>
      <c r="C20">
        <v>0</v>
      </c>
      <c r="D20">
        <v>-5.5511150768909598E-2</v>
      </c>
      <c r="E20">
        <v>1.76299013879221</v>
      </c>
      <c r="F20">
        <v>3.0462949225501701E-12</v>
      </c>
      <c r="G20">
        <v>-6.3622189013744307E-2</v>
      </c>
      <c r="H20">
        <v>7.0848673421582502</v>
      </c>
      <c r="I20">
        <v>-0.710620581419799</v>
      </c>
      <c r="J20">
        <f t="shared" si="0"/>
        <v>0.33919007901132808</v>
      </c>
      <c r="K20">
        <f t="shared" si="1"/>
        <v>4</v>
      </c>
      <c r="L20" cm="1">
        <f t="array" ref="L20">SUMPRODUCT(N(B20:H20*C20:I20&lt;0))</f>
        <v>4</v>
      </c>
      <c r="O20">
        <v>0.14407348342470799</v>
      </c>
      <c r="P20">
        <v>0.71104184088785904</v>
      </c>
      <c r="Q20">
        <v>0.48032554539912498</v>
      </c>
      <c r="R20">
        <v>0.47754672564760797</v>
      </c>
      <c r="S20">
        <v>0.71535603637787204</v>
      </c>
      <c r="T20">
        <v>0.155212952520938</v>
      </c>
      <c r="U20">
        <v>3.7941263872579498E-2</v>
      </c>
      <c r="V20">
        <f t="shared" si="2"/>
        <v>0.38878540687581281</v>
      </c>
      <c r="W20">
        <f t="shared" si="3"/>
        <v>22.287061540651688</v>
      </c>
    </row>
    <row r="21" spans="2:23" x14ac:dyDescent="0.45">
      <c r="B21">
        <v>-5.3045829276604293</v>
      </c>
      <c r="C21">
        <v>0</v>
      </c>
      <c r="D21">
        <v>-5.5511150768909598E-2</v>
      </c>
      <c r="E21">
        <v>1.76299013879221</v>
      </c>
      <c r="F21">
        <v>3.0462949225501701E-12</v>
      </c>
      <c r="G21">
        <v>-6.3622189013744307E-2</v>
      </c>
      <c r="H21">
        <v>7.0848673421582502</v>
      </c>
      <c r="I21">
        <v>-0.710620581419799</v>
      </c>
      <c r="J21">
        <f t="shared" si="0"/>
        <v>0.33919007901132808</v>
      </c>
      <c r="K21">
        <f t="shared" si="1"/>
        <v>4</v>
      </c>
      <c r="L21" cm="1">
        <f t="array" ref="L21">SUMPRODUCT(N(B21:H21*C21:I21&lt;0))</f>
        <v>4</v>
      </c>
      <c r="O21">
        <v>0.178485541067262</v>
      </c>
      <c r="P21">
        <v>0.95039780615288905</v>
      </c>
      <c r="Q21">
        <v>0.218388103778136</v>
      </c>
      <c r="R21">
        <v>0.26382173773226397</v>
      </c>
      <c r="S21">
        <v>0.155531702654604</v>
      </c>
      <c r="T21">
        <v>3.5281014266621898E-2</v>
      </c>
      <c r="U21">
        <v>1.4574396947437399E-2</v>
      </c>
      <c r="V21">
        <f t="shared" si="2"/>
        <v>0.25949718608560202</v>
      </c>
      <c r="W21">
        <f t="shared" si="3"/>
        <v>14.875634871149158</v>
      </c>
    </row>
    <row r="22" spans="2:23" x14ac:dyDescent="0.45">
      <c r="B22">
        <v>-5.3045829276604293</v>
      </c>
      <c r="C22">
        <v>0</v>
      </c>
      <c r="D22">
        <v>-5.5511150768909598E-2</v>
      </c>
      <c r="E22">
        <v>1.76299013879221</v>
      </c>
      <c r="F22">
        <v>3.0462949225501701E-12</v>
      </c>
      <c r="G22">
        <v>-6.3622189013744307E-2</v>
      </c>
      <c r="H22">
        <v>7.0848673421582502</v>
      </c>
      <c r="I22">
        <v>-0.710620581419799</v>
      </c>
      <c r="J22">
        <f t="shared" si="0"/>
        <v>0.33919007901132808</v>
      </c>
      <c r="K22">
        <f t="shared" si="1"/>
        <v>4</v>
      </c>
      <c r="L22" cm="1">
        <f t="array" ref="L22">SUMPRODUCT(N(B22:H22*C22:I22&lt;0))</f>
        <v>4</v>
      </c>
      <c r="O22">
        <v>0.180824974347676</v>
      </c>
      <c r="P22">
        <v>0.86748132821930302</v>
      </c>
      <c r="Q22">
        <v>2.4900412368091701E-3</v>
      </c>
      <c r="R22">
        <v>0.87470119581085204</v>
      </c>
      <c r="S22">
        <v>0.19559633122085501</v>
      </c>
      <c r="T22">
        <v>5.0296076868244E-2</v>
      </c>
      <c r="U22">
        <v>1.35433278970914E-2</v>
      </c>
      <c r="V22">
        <f t="shared" si="2"/>
        <v>0.31213332508583297</v>
      </c>
      <c r="W22">
        <f t="shared" si="3"/>
        <v>17.892993157786602</v>
      </c>
    </row>
    <row r="23" spans="2:23" x14ac:dyDescent="0.45">
      <c r="B23">
        <v>-5.3045829276604293</v>
      </c>
      <c r="C23">
        <v>0</v>
      </c>
      <c r="D23">
        <v>-5.5511150768909598E-2</v>
      </c>
      <c r="E23">
        <v>-3.5190413837266599</v>
      </c>
      <c r="F23">
        <v>-1.75778596836428</v>
      </c>
      <c r="G23">
        <v>-3.8911795651947499E-10</v>
      </c>
      <c r="H23">
        <v>2.79653954007231E-4</v>
      </c>
      <c r="I23">
        <v>-3.5209268652589603</v>
      </c>
      <c r="J23">
        <f t="shared" si="0"/>
        <v>-1.7696960802767938</v>
      </c>
      <c r="K23">
        <f t="shared" si="1"/>
        <v>2</v>
      </c>
      <c r="L23" cm="1">
        <f t="array" ref="L23">SUMPRODUCT(N(B23:H23*C23:I23&lt;0))</f>
        <v>2</v>
      </c>
      <c r="O23">
        <v>0.14407348342470799</v>
      </c>
      <c r="P23">
        <v>0.71104184088785904</v>
      </c>
      <c r="Q23">
        <v>0.48032554539912498</v>
      </c>
      <c r="R23">
        <v>0.47754672564760797</v>
      </c>
      <c r="S23">
        <v>0.71535603637787204</v>
      </c>
      <c r="T23">
        <v>0.155212952520938</v>
      </c>
      <c r="U23">
        <v>3.7941263872579498E-2</v>
      </c>
      <c r="V23">
        <f t="shared" si="2"/>
        <v>0.38878540687581281</v>
      </c>
      <c r="W23">
        <f t="shared" si="3"/>
        <v>22.287061540651688</v>
      </c>
    </row>
    <row r="24" spans="2:23" x14ac:dyDescent="0.45">
      <c r="B24">
        <v>-5.3045829276604293</v>
      </c>
      <c r="C24">
        <v>0</v>
      </c>
      <c r="D24">
        <v>-5.5511150768909598E-2</v>
      </c>
      <c r="E24">
        <v>-3.5190413837266599</v>
      </c>
      <c r="F24">
        <v>-9.2133511311535593E-11</v>
      </c>
      <c r="G24">
        <v>-3.5190413837266599</v>
      </c>
      <c r="H24">
        <v>-1.75778596836428</v>
      </c>
      <c r="I24">
        <v>-3.8911795651947499E-10</v>
      </c>
      <c r="J24">
        <f t="shared" si="0"/>
        <v>-1.7694953518410237</v>
      </c>
      <c r="K24">
        <f t="shared" si="1"/>
        <v>1</v>
      </c>
      <c r="L24" cm="1">
        <f t="array" ref="L24">SUMPRODUCT(N(B24:H24*C24:I24&lt;0))</f>
        <v>0</v>
      </c>
      <c r="O24">
        <v>0.14407348342470799</v>
      </c>
      <c r="P24">
        <v>0.71104184088785904</v>
      </c>
      <c r="Q24">
        <v>0.48032554539912498</v>
      </c>
      <c r="R24">
        <v>0.47754672564760797</v>
      </c>
      <c r="S24">
        <v>0.71535603637787204</v>
      </c>
      <c r="T24">
        <v>0.155212952520938</v>
      </c>
      <c r="U24">
        <v>3.7941263872579498E-2</v>
      </c>
      <c r="V24">
        <f t="shared" si="2"/>
        <v>0.38878540687581281</v>
      </c>
      <c r="W24">
        <f t="shared" si="3"/>
        <v>22.287061540651688</v>
      </c>
    </row>
    <row r="25" spans="2:23" x14ac:dyDescent="0.45">
      <c r="B25">
        <v>-5.3045829276604293</v>
      </c>
      <c r="C25">
        <v>0</v>
      </c>
      <c r="D25">
        <v>-5.5511150768909598E-2</v>
      </c>
      <c r="E25">
        <v>1.76299013879221</v>
      </c>
      <c r="F25">
        <v>3.0462949225501701E-12</v>
      </c>
      <c r="G25">
        <v>-6.3622189013744307E-2</v>
      </c>
      <c r="H25">
        <v>7.0848673421582502</v>
      </c>
      <c r="I25">
        <v>-0.710620581419799</v>
      </c>
      <c r="J25">
        <f t="shared" si="0"/>
        <v>0.33919007901132808</v>
      </c>
      <c r="K25">
        <f t="shared" si="1"/>
        <v>4</v>
      </c>
      <c r="L25" cm="1">
        <f t="array" ref="L25">SUMPRODUCT(N(B25:H25*C25:I25&lt;0))</f>
        <v>4</v>
      </c>
      <c r="O25">
        <v>0.180824974347676</v>
      </c>
      <c r="P25">
        <v>0.86748132821930302</v>
      </c>
      <c r="Q25">
        <v>2.4900412368091701E-3</v>
      </c>
      <c r="R25">
        <v>0.87470119581085204</v>
      </c>
      <c r="S25">
        <v>0.19559633122085501</v>
      </c>
      <c r="T25">
        <v>5.0296076868244E-2</v>
      </c>
      <c r="U25">
        <v>1.35433278970914E-2</v>
      </c>
      <c r="V25">
        <f t="shared" si="2"/>
        <v>0.31213332508583297</v>
      </c>
      <c r="W25">
        <f t="shared" si="3"/>
        <v>17.892993157786602</v>
      </c>
    </row>
    <row r="26" spans="2:23" x14ac:dyDescent="0.45">
      <c r="B26">
        <v>-5.3045829276604293</v>
      </c>
      <c r="C26">
        <v>0</v>
      </c>
      <c r="D26">
        <v>-5.5511150768909598E-2</v>
      </c>
      <c r="E26">
        <v>-3.5190413837266599</v>
      </c>
      <c r="F26">
        <v>-1.75778596836428</v>
      </c>
      <c r="G26">
        <v>-3.8911795651947499E-10</v>
      </c>
      <c r="H26">
        <v>2.79653954007231E-4</v>
      </c>
      <c r="I26">
        <v>-3.5209268652589603</v>
      </c>
      <c r="J26">
        <f t="shared" si="0"/>
        <v>-1.7696960802767938</v>
      </c>
      <c r="K26">
        <f t="shared" si="1"/>
        <v>2</v>
      </c>
      <c r="L26" cm="1">
        <f t="array" ref="L26">SUMPRODUCT(N(B26:H26*C26:I26&lt;0))</f>
        <v>2</v>
      </c>
      <c r="O26">
        <v>0.14407348342470799</v>
      </c>
      <c r="P26">
        <v>0.71104184088785904</v>
      </c>
      <c r="Q26">
        <v>0.48032554539912498</v>
      </c>
      <c r="R26">
        <v>0.47754672564760797</v>
      </c>
      <c r="S26">
        <v>0.71535603637787204</v>
      </c>
      <c r="T26">
        <v>0.155212952520938</v>
      </c>
      <c r="U26">
        <v>3.7941263872579498E-2</v>
      </c>
      <c r="V26">
        <f t="shared" si="2"/>
        <v>0.38878540687581281</v>
      </c>
      <c r="W26">
        <f t="shared" si="3"/>
        <v>22.287061540651688</v>
      </c>
    </row>
    <row r="27" spans="2:23" x14ac:dyDescent="0.45">
      <c r="B27">
        <v>-5.3045829276604293</v>
      </c>
      <c r="C27">
        <v>0</v>
      </c>
      <c r="D27">
        <v>-5.5511150768909598E-2</v>
      </c>
      <c r="E27">
        <v>1.76299013879221</v>
      </c>
      <c r="F27">
        <v>3.0462949225501701E-12</v>
      </c>
      <c r="G27">
        <v>-6.3622189013744307E-2</v>
      </c>
      <c r="H27">
        <v>7.0848673421582502</v>
      </c>
      <c r="I27">
        <v>-0.710620581419799</v>
      </c>
      <c r="J27">
        <f t="shared" si="0"/>
        <v>0.33919007901132808</v>
      </c>
      <c r="K27">
        <f t="shared" si="1"/>
        <v>4</v>
      </c>
      <c r="L27" cm="1">
        <f t="array" ref="L27">SUMPRODUCT(N(B27:H27*C27:I27&lt;0))</f>
        <v>4</v>
      </c>
      <c r="O27">
        <v>0.178485541067262</v>
      </c>
      <c r="P27">
        <v>0.95039780615288905</v>
      </c>
      <c r="Q27">
        <v>0.218388103778136</v>
      </c>
      <c r="R27">
        <v>0.26382173773226397</v>
      </c>
      <c r="S27">
        <v>0.155531702654604</v>
      </c>
      <c r="T27">
        <v>3.5281014266621898E-2</v>
      </c>
      <c r="U27">
        <v>1.4574396947437399E-2</v>
      </c>
      <c r="V27">
        <f t="shared" si="2"/>
        <v>0.25949718608560202</v>
      </c>
      <c r="W27">
        <f t="shared" si="3"/>
        <v>14.875634871149158</v>
      </c>
    </row>
    <row r="28" spans="2:23" x14ac:dyDescent="0.45">
      <c r="B28">
        <v>-5.3045829276604293</v>
      </c>
      <c r="C28">
        <v>0</v>
      </c>
      <c r="D28">
        <v>-5.5511150768909598E-2</v>
      </c>
      <c r="E28">
        <v>-3.5190413837266599</v>
      </c>
      <c r="F28">
        <v>-9.2133511311535593E-11</v>
      </c>
      <c r="G28">
        <v>-3.5190413837266599</v>
      </c>
      <c r="H28">
        <v>-1.75778596836428</v>
      </c>
      <c r="I28">
        <v>-3.8911795651947499E-10</v>
      </c>
      <c r="J28">
        <f t="shared" si="0"/>
        <v>-1.7694953518410237</v>
      </c>
      <c r="K28">
        <f t="shared" si="1"/>
        <v>1</v>
      </c>
      <c r="L28" cm="1">
        <f t="array" ref="L28">SUMPRODUCT(N(B28:H28*C28:I28&lt;0))</f>
        <v>0</v>
      </c>
      <c r="O28">
        <v>0.180824974347676</v>
      </c>
      <c r="P28">
        <v>0.86748132821930302</v>
      </c>
      <c r="Q28">
        <v>2.4900412368091701E-3</v>
      </c>
      <c r="R28">
        <v>0.87470119581085204</v>
      </c>
      <c r="S28">
        <v>0.19559633122085501</v>
      </c>
      <c r="T28">
        <v>5.0296076868244E-2</v>
      </c>
      <c r="U28">
        <v>1.35433278970914E-2</v>
      </c>
      <c r="V28">
        <f t="shared" si="2"/>
        <v>0.31213332508583297</v>
      </c>
      <c r="W28">
        <f t="shared" si="3"/>
        <v>17.892993157786602</v>
      </c>
    </row>
    <row r="29" spans="2:23" x14ac:dyDescent="0.45">
      <c r="B29">
        <v>-5.3045829276604293</v>
      </c>
      <c r="C29">
        <v>0</v>
      </c>
      <c r="D29">
        <v>-5.5511150768909598E-2</v>
      </c>
      <c r="E29">
        <v>-3.5190413837266599</v>
      </c>
      <c r="F29">
        <v>-1.75778596836428</v>
      </c>
      <c r="G29">
        <v>-3.8911795651947499E-10</v>
      </c>
      <c r="H29">
        <v>2.79653954007231E-4</v>
      </c>
      <c r="I29">
        <v>-3.5209268652589603</v>
      </c>
      <c r="J29">
        <f t="shared" si="0"/>
        <v>-1.7696960802767938</v>
      </c>
      <c r="K29">
        <f t="shared" si="1"/>
        <v>2</v>
      </c>
      <c r="L29" cm="1">
        <f t="array" ref="L29">SUMPRODUCT(N(B29:H29*C29:I29&lt;0))</f>
        <v>2</v>
      </c>
      <c r="O29">
        <v>0.14407348342470799</v>
      </c>
      <c r="P29">
        <v>0.71104184088785904</v>
      </c>
      <c r="Q29">
        <v>0.48032554539912498</v>
      </c>
      <c r="R29">
        <v>0.47754672564760797</v>
      </c>
      <c r="S29">
        <v>0.71535603637787204</v>
      </c>
      <c r="T29">
        <v>0.155212952520938</v>
      </c>
      <c r="U29">
        <v>3.7941263872579498E-2</v>
      </c>
      <c r="V29">
        <f t="shared" si="2"/>
        <v>0.38878540687581281</v>
      </c>
      <c r="W29">
        <f t="shared" si="3"/>
        <v>22.287061540651688</v>
      </c>
    </row>
    <row r="30" spans="2:23" x14ac:dyDescent="0.45">
      <c r="B30">
        <v>-5.3045829276604293</v>
      </c>
      <c r="C30">
        <v>0</v>
      </c>
      <c r="D30">
        <v>-5.5511150768909598E-2</v>
      </c>
      <c r="E30">
        <v>-3.5190413837266599</v>
      </c>
      <c r="F30">
        <v>-9.2133511311535593E-11</v>
      </c>
      <c r="G30">
        <v>-3.5190413837266599</v>
      </c>
      <c r="H30">
        <v>-1.75778596836428</v>
      </c>
      <c r="I30">
        <v>-3.8911795651947499E-10</v>
      </c>
      <c r="J30">
        <f t="shared" si="0"/>
        <v>-1.7694953518410237</v>
      </c>
      <c r="K30">
        <f t="shared" si="1"/>
        <v>1</v>
      </c>
      <c r="L30" cm="1">
        <f t="array" ref="L30">SUMPRODUCT(N(B30:H30*C30:I30&lt;0))</f>
        <v>0</v>
      </c>
      <c r="O30">
        <v>0.17857397463335201</v>
      </c>
      <c r="P30">
        <v>0.94161191039233505</v>
      </c>
      <c r="Q30">
        <v>0.18929621538432101</v>
      </c>
      <c r="R30">
        <v>0.76899990574864996</v>
      </c>
      <c r="S30">
        <v>1.11946296773704</v>
      </c>
      <c r="T30">
        <v>0.87178623855368798</v>
      </c>
      <c r="U30">
        <v>0.119295175775689</v>
      </c>
      <c r="V30">
        <f t="shared" si="2"/>
        <v>0.59843234117501076</v>
      </c>
      <c r="W30">
        <f t="shared" si="3"/>
        <v>34.305038666083419</v>
      </c>
    </row>
    <row r="31" spans="2:23" x14ac:dyDescent="0.45">
      <c r="B31">
        <v>-5.3045829276604293</v>
      </c>
      <c r="C31">
        <v>0</v>
      </c>
      <c r="D31">
        <v>-5.5511150768909598E-2</v>
      </c>
      <c r="E31">
        <v>1.76299013879221</v>
      </c>
      <c r="F31">
        <v>3.0462949225501701E-12</v>
      </c>
      <c r="G31">
        <v>-6.3622189013744307E-2</v>
      </c>
      <c r="H31">
        <v>7.0848673421582502</v>
      </c>
      <c r="I31">
        <v>-0.710620581419799</v>
      </c>
      <c r="J31">
        <f t="shared" si="0"/>
        <v>0.33919007901132808</v>
      </c>
      <c r="K31">
        <f t="shared" si="1"/>
        <v>4</v>
      </c>
      <c r="L31" cm="1">
        <f t="array" ref="L31">SUMPRODUCT(N(B31:H31*C31:I31&lt;0))</f>
        <v>4</v>
      </c>
      <c r="O31">
        <v>0.17857397463335201</v>
      </c>
      <c r="P31">
        <v>0.94161191039233505</v>
      </c>
      <c r="Q31">
        <v>0.18929621538432101</v>
      </c>
      <c r="R31">
        <v>0.76899990574864996</v>
      </c>
      <c r="S31">
        <v>1.11946296773704</v>
      </c>
      <c r="T31">
        <v>0.87178623855368798</v>
      </c>
      <c r="U31">
        <v>0.119295175775689</v>
      </c>
      <c r="V31">
        <f t="shared" si="2"/>
        <v>0.59843234117501076</v>
      </c>
      <c r="W31">
        <f t="shared" si="3"/>
        <v>34.305038666083419</v>
      </c>
    </row>
    <row r="32" spans="2:23" x14ac:dyDescent="0.45">
      <c r="B32">
        <v>-5.3045829276604293</v>
      </c>
      <c r="C32">
        <v>0</v>
      </c>
      <c r="D32">
        <v>-5.5511150768909598E-2</v>
      </c>
      <c r="E32">
        <v>1.76299013879221</v>
      </c>
      <c r="F32">
        <v>3.0462949225501701E-12</v>
      </c>
      <c r="G32">
        <v>-6.3622189013744307E-2</v>
      </c>
      <c r="H32">
        <v>7.0848673421582502</v>
      </c>
      <c r="I32">
        <v>-0.710620581419799</v>
      </c>
      <c r="J32">
        <f t="shared" si="0"/>
        <v>0.33919007901132808</v>
      </c>
      <c r="K32">
        <f t="shared" si="1"/>
        <v>4</v>
      </c>
      <c r="L32" cm="1">
        <f t="array" ref="L32">SUMPRODUCT(N(B32:H32*C32:I32&lt;0))</f>
        <v>4</v>
      </c>
      <c r="O32">
        <v>0.14407348342470799</v>
      </c>
      <c r="P32">
        <v>0.71104184088785904</v>
      </c>
      <c r="Q32">
        <v>0.48032554539912498</v>
      </c>
      <c r="R32">
        <v>0.47754672564760797</v>
      </c>
      <c r="S32">
        <v>0.71535603637787204</v>
      </c>
      <c r="T32">
        <v>0.155212952520938</v>
      </c>
      <c r="U32">
        <v>3.7941263872579498E-2</v>
      </c>
      <c r="V32">
        <f t="shared" si="2"/>
        <v>0.38878540687581281</v>
      </c>
      <c r="W32">
        <f t="shared" si="3"/>
        <v>22.287061540651688</v>
      </c>
    </row>
    <row r="33" spans="2:23" x14ac:dyDescent="0.45">
      <c r="B33">
        <v>-5.3045829276604293</v>
      </c>
      <c r="C33">
        <v>0</v>
      </c>
      <c r="D33">
        <v>-5.5511150768909598E-2</v>
      </c>
      <c r="E33">
        <v>-3.5190413837266599</v>
      </c>
      <c r="F33">
        <v>-1.75778596836428</v>
      </c>
      <c r="G33">
        <v>-3.8911795651947499E-10</v>
      </c>
      <c r="H33">
        <v>2.79653954007231E-4</v>
      </c>
      <c r="I33">
        <v>-3.5209268652589603</v>
      </c>
      <c r="J33">
        <f t="shared" si="0"/>
        <v>-1.7696960802767938</v>
      </c>
      <c r="K33">
        <f t="shared" si="1"/>
        <v>2</v>
      </c>
      <c r="L33" cm="1">
        <f t="array" ref="L33">SUMPRODUCT(N(B33:H33*C33:I33&lt;0))</f>
        <v>2</v>
      </c>
      <c r="O33">
        <v>0.14407348342470799</v>
      </c>
      <c r="P33">
        <v>0.71104184088785904</v>
      </c>
      <c r="Q33">
        <v>0.48032554539912498</v>
      </c>
      <c r="R33">
        <v>0.47754672564760797</v>
      </c>
      <c r="S33">
        <v>0.71535603637787204</v>
      </c>
      <c r="T33">
        <v>0.155212952520938</v>
      </c>
      <c r="U33">
        <v>3.7941263872579498E-2</v>
      </c>
      <c r="V33">
        <f t="shared" si="2"/>
        <v>0.38878540687581281</v>
      </c>
      <c r="W33">
        <f t="shared" si="3"/>
        <v>22.287061540651688</v>
      </c>
    </row>
    <row r="34" spans="2:23" x14ac:dyDescent="0.45">
      <c r="B34">
        <v>-5.3045829276604293</v>
      </c>
      <c r="C34">
        <v>0</v>
      </c>
      <c r="D34">
        <v>-5.5511150768909598E-2</v>
      </c>
      <c r="E34">
        <v>1.76299013879221</v>
      </c>
      <c r="F34">
        <v>3.0462949225501701E-12</v>
      </c>
      <c r="G34">
        <v>-6.3622189013744307E-2</v>
      </c>
      <c r="H34">
        <v>7.0848673421582502</v>
      </c>
      <c r="I34">
        <v>-0.710620581419799</v>
      </c>
      <c r="J34">
        <f t="shared" si="0"/>
        <v>0.33919007901132808</v>
      </c>
      <c r="K34">
        <f t="shared" si="1"/>
        <v>4</v>
      </c>
      <c r="L34" cm="1">
        <f t="array" ref="L34">SUMPRODUCT(N(B34:H34*C34:I34&lt;0))</f>
        <v>4</v>
      </c>
      <c r="O34">
        <v>0.180824974347676</v>
      </c>
      <c r="P34">
        <v>0.86748132821930302</v>
      </c>
      <c r="Q34">
        <v>2.4900412368091701E-3</v>
      </c>
      <c r="R34">
        <v>0.87470119581085204</v>
      </c>
      <c r="S34">
        <v>0.19559633122085501</v>
      </c>
      <c r="T34">
        <v>5.0296076868244E-2</v>
      </c>
      <c r="U34">
        <v>1.35433278970914E-2</v>
      </c>
      <c r="V34">
        <f t="shared" si="2"/>
        <v>0.31213332508583297</v>
      </c>
      <c r="W34">
        <f t="shared" si="3"/>
        <v>17.892993157786602</v>
      </c>
    </row>
    <row r="35" spans="2:23" x14ac:dyDescent="0.45">
      <c r="B35">
        <v>-5.3045829276604293</v>
      </c>
      <c r="C35">
        <v>0</v>
      </c>
      <c r="D35">
        <v>-5.5511150768909598E-2</v>
      </c>
      <c r="E35">
        <v>1.76299013879221</v>
      </c>
      <c r="F35">
        <v>3.0462949225501701E-12</v>
      </c>
      <c r="G35">
        <v>-6.3622189013744307E-2</v>
      </c>
      <c r="H35">
        <v>7.0848673421582502</v>
      </c>
      <c r="I35">
        <v>-0.710620581419799</v>
      </c>
      <c r="J35">
        <f t="shared" si="0"/>
        <v>0.33919007901132808</v>
      </c>
      <c r="K35">
        <f t="shared" si="1"/>
        <v>4</v>
      </c>
      <c r="L35" cm="1">
        <f t="array" ref="L35">SUMPRODUCT(N(B35:H35*C35:I35&lt;0))</f>
        <v>4</v>
      </c>
      <c r="O35">
        <v>0.14407348342470799</v>
      </c>
      <c r="P35">
        <v>0.71104184088785904</v>
      </c>
      <c r="Q35">
        <v>0.48032554539912498</v>
      </c>
      <c r="R35">
        <v>0.47754672564760797</v>
      </c>
      <c r="S35">
        <v>0.71535603637787204</v>
      </c>
      <c r="T35">
        <v>0.155212952520938</v>
      </c>
      <c r="U35">
        <v>3.7941263872579498E-2</v>
      </c>
      <c r="V35">
        <f t="shared" si="2"/>
        <v>0.38878540687581281</v>
      </c>
      <c r="W35">
        <f t="shared" si="3"/>
        <v>22.287061540651688</v>
      </c>
    </row>
    <row r="36" spans="2:23" x14ac:dyDescent="0.45">
      <c r="B36">
        <v>-5.3045829276604293</v>
      </c>
      <c r="C36">
        <v>0</v>
      </c>
      <c r="D36">
        <v>-5.5511150768909598E-2</v>
      </c>
      <c r="E36">
        <v>1.76299013879221</v>
      </c>
      <c r="F36">
        <v>3.0462949225501701E-12</v>
      </c>
      <c r="G36">
        <v>-6.3622189013744307E-2</v>
      </c>
      <c r="H36">
        <v>7.0848673421582502</v>
      </c>
      <c r="I36">
        <v>-0.710620581419799</v>
      </c>
      <c r="J36">
        <f t="shared" si="0"/>
        <v>0.33919007901132808</v>
      </c>
      <c r="K36">
        <f t="shared" si="1"/>
        <v>4</v>
      </c>
      <c r="L36" cm="1">
        <f t="array" ref="L36">SUMPRODUCT(N(B36:H36*C36:I36&lt;0))</f>
        <v>4</v>
      </c>
      <c r="O36">
        <v>0.17857397463335201</v>
      </c>
      <c r="P36">
        <v>0.94161191039233505</v>
      </c>
      <c r="Q36">
        <v>0.18929621538432101</v>
      </c>
      <c r="R36">
        <v>0.76899990574864996</v>
      </c>
      <c r="S36">
        <v>1.11946296773704</v>
      </c>
      <c r="T36">
        <v>0.87178623855368798</v>
      </c>
      <c r="U36">
        <v>0.119295175775689</v>
      </c>
      <c r="V36">
        <f t="shared" si="2"/>
        <v>0.59843234117501076</v>
      </c>
      <c r="W36">
        <f t="shared" si="3"/>
        <v>34.305038666083419</v>
      </c>
    </row>
    <row r="37" spans="2:23" x14ac:dyDescent="0.45">
      <c r="B37">
        <v>-5.3045829276604293</v>
      </c>
      <c r="C37">
        <v>0</v>
      </c>
      <c r="D37">
        <v>-5.5511150768909598E-2</v>
      </c>
      <c r="E37">
        <v>-3.5190413837266599</v>
      </c>
      <c r="F37">
        <v>-1.75778596836428</v>
      </c>
      <c r="G37">
        <v>-3.8911795651947499E-10</v>
      </c>
      <c r="H37">
        <v>2.79653954007231E-4</v>
      </c>
      <c r="I37">
        <v>-3.5209268652589603</v>
      </c>
      <c r="J37">
        <f t="shared" si="0"/>
        <v>-1.7696960802767938</v>
      </c>
      <c r="K37">
        <f t="shared" si="1"/>
        <v>2</v>
      </c>
      <c r="L37" cm="1">
        <f t="array" ref="L37">SUMPRODUCT(N(B37:H37*C37:I37&lt;0))</f>
        <v>2</v>
      </c>
      <c r="O37">
        <v>0.14407348342470799</v>
      </c>
      <c r="P37">
        <v>0.71104184088785904</v>
      </c>
      <c r="Q37">
        <v>0.48032554539912498</v>
      </c>
      <c r="R37">
        <v>0.47754672564760797</v>
      </c>
      <c r="S37">
        <v>0.71535603637787204</v>
      </c>
      <c r="T37">
        <v>0.155212952520938</v>
      </c>
      <c r="U37">
        <v>3.7941263872579498E-2</v>
      </c>
      <c r="V37">
        <f t="shared" si="2"/>
        <v>0.38878540687581281</v>
      </c>
      <c r="W37">
        <f t="shared" si="3"/>
        <v>22.287061540651688</v>
      </c>
    </row>
    <row r="38" spans="2:23" x14ac:dyDescent="0.45">
      <c r="B38">
        <v>-5.3045829276604293</v>
      </c>
      <c r="C38">
        <v>0</v>
      </c>
      <c r="D38">
        <v>-5.5511150768909598E-2</v>
      </c>
      <c r="E38">
        <v>-3.5190413837266599</v>
      </c>
      <c r="F38">
        <v>-1.75778596836428</v>
      </c>
      <c r="G38">
        <v>-3.8911795651947499E-10</v>
      </c>
      <c r="H38">
        <v>2.79653954007231E-4</v>
      </c>
      <c r="I38">
        <v>-3.5209268652589603</v>
      </c>
      <c r="J38">
        <f t="shared" si="0"/>
        <v>-1.7696960802767938</v>
      </c>
      <c r="K38">
        <f t="shared" si="1"/>
        <v>2</v>
      </c>
      <c r="L38" cm="1">
        <f t="array" ref="L38">SUMPRODUCT(N(B38:H38*C38:I38&lt;0))</f>
        <v>2</v>
      </c>
      <c r="O38">
        <v>0.180824974347676</v>
      </c>
      <c r="P38">
        <v>0.86748132821930302</v>
      </c>
      <c r="Q38">
        <v>2.4900412368091701E-3</v>
      </c>
      <c r="R38">
        <v>0.87470119581085204</v>
      </c>
      <c r="S38">
        <v>0.19559633122085501</v>
      </c>
      <c r="T38">
        <v>5.0296076868244E-2</v>
      </c>
      <c r="U38">
        <v>1.35433278970914E-2</v>
      </c>
      <c r="V38">
        <f t="shared" si="2"/>
        <v>0.31213332508583297</v>
      </c>
      <c r="W38">
        <f t="shared" si="3"/>
        <v>17.892993157786602</v>
      </c>
    </row>
    <row r="39" spans="2:23" x14ac:dyDescent="0.45">
      <c r="B39">
        <v>-5.3045829276604293</v>
      </c>
      <c r="C39">
        <v>0</v>
      </c>
      <c r="D39">
        <v>-5.5511150768909598E-2</v>
      </c>
      <c r="E39">
        <v>-3.5190413837266599</v>
      </c>
      <c r="F39">
        <v>-1.75778596836428</v>
      </c>
      <c r="G39">
        <v>-3.8911795651947499E-10</v>
      </c>
      <c r="H39">
        <v>2.79653954007231E-4</v>
      </c>
      <c r="I39">
        <v>-3.5209268652589603</v>
      </c>
      <c r="J39">
        <f t="shared" si="0"/>
        <v>-1.7696960802767938</v>
      </c>
      <c r="K39">
        <f t="shared" si="1"/>
        <v>2</v>
      </c>
      <c r="L39" cm="1">
        <f t="array" ref="L39">SUMPRODUCT(N(B39:H39*C39:I39&lt;0))</f>
        <v>2</v>
      </c>
      <c r="O39">
        <v>0.180824974347676</v>
      </c>
      <c r="P39">
        <v>0.86748132821930302</v>
      </c>
      <c r="Q39">
        <v>2.4900412368091701E-3</v>
      </c>
      <c r="R39">
        <v>0.87470119581085204</v>
      </c>
      <c r="S39">
        <v>0.19559633122085501</v>
      </c>
      <c r="T39">
        <v>5.0296076868244E-2</v>
      </c>
      <c r="U39">
        <v>1.35433278970914E-2</v>
      </c>
      <c r="V39">
        <f t="shared" si="2"/>
        <v>0.31213332508583297</v>
      </c>
      <c r="W39">
        <f t="shared" si="3"/>
        <v>17.892993157786602</v>
      </c>
    </row>
    <row r="40" spans="2:23" x14ac:dyDescent="0.45">
      <c r="B40">
        <v>-5.3045829276604293</v>
      </c>
      <c r="C40">
        <v>0</v>
      </c>
      <c r="D40">
        <v>-5.5511150768909598E-2</v>
      </c>
      <c r="E40">
        <v>1.76299013879221</v>
      </c>
      <c r="F40">
        <v>3.0462949225501701E-12</v>
      </c>
      <c r="G40">
        <v>-6.3622189013744307E-2</v>
      </c>
      <c r="H40">
        <v>7.0848673421582502</v>
      </c>
      <c r="I40">
        <v>-0.710620581419799</v>
      </c>
      <c r="J40">
        <f t="shared" si="0"/>
        <v>0.33919007901132808</v>
      </c>
      <c r="K40">
        <f t="shared" si="1"/>
        <v>4</v>
      </c>
      <c r="L40" cm="1">
        <f t="array" ref="L40">SUMPRODUCT(N(B40:H40*C40:I40&lt;0))</f>
        <v>4</v>
      </c>
      <c r="O40">
        <v>0.14407348342470799</v>
      </c>
      <c r="P40">
        <v>0.71104184088785904</v>
      </c>
      <c r="Q40">
        <v>0.48032554539912498</v>
      </c>
      <c r="R40">
        <v>0.47754672564760797</v>
      </c>
      <c r="S40">
        <v>0.71535603637787204</v>
      </c>
      <c r="T40">
        <v>0.155212952520938</v>
      </c>
      <c r="U40">
        <v>3.7941263872579498E-2</v>
      </c>
      <c r="V40">
        <f t="shared" si="2"/>
        <v>0.38878540687581281</v>
      </c>
      <c r="W40">
        <f t="shared" si="3"/>
        <v>22.287061540651688</v>
      </c>
    </row>
    <row r="41" spans="2:23" x14ac:dyDescent="0.45">
      <c r="B41">
        <v>-5.3045829276604293</v>
      </c>
      <c r="C41">
        <v>0</v>
      </c>
      <c r="D41">
        <v>-5.5511150768909598E-2</v>
      </c>
      <c r="E41">
        <v>1.76299013879221</v>
      </c>
      <c r="F41">
        <v>3.0462949225501701E-12</v>
      </c>
      <c r="G41">
        <v>-6.3622189013744307E-2</v>
      </c>
      <c r="H41">
        <v>7.0848673421582502</v>
      </c>
      <c r="I41">
        <v>-0.710620581419799</v>
      </c>
      <c r="J41">
        <f t="shared" si="0"/>
        <v>0.33919007901132808</v>
      </c>
      <c r="K41">
        <f t="shared" si="1"/>
        <v>4</v>
      </c>
      <c r="L41" cm="1">
        <f t="array" ref="L41">SUMPRODUCT(N(B41:H41*C41:I41&lt;0))</f>
        <v>4</v>
      </c>
      <c r="O41">
        <v>0.14407348342470799</v>
      </c>
      <c r="P41">
        <v>0.71104184088785904</v>
      </c>
      <c r="Q41">
        <v>0.48032554539912498</v>
      </c>
      <c r="R41">
        <v>0.47754672564760797</v>
      </c>
      <c r="S41">
        <v>0.71535603637787204</v>
      </c>
      <c r="T41">
        <v>0.155212952520938</v>
      </c>
      <c r="U41">
        <v>3.7941263872579498E-2</v>
      </c>
      <c r="V41">
        <f t="shared" si="2"/>
        <v>0.38878540687581281</v>
      </c>
      <c r="W41">
        <f t="shared" si="3"/>
        <v>22.287061540651688</v>
      </c>
    </row>
    <row r="42" spans="2:23" x14ac:dyDescent="0.45">
      <c r="B42">
        <v>-5.3045829276604293</v>
      </c>
      <c r="C42">
        <v>0</v>
      </c>
      <c r="D42">
        <v>-5.5511150768909598E-2</v>
      </c>
      <c r="E42">
        <v>1.76299013879221</v>
      </c>
      <c r="F42">
        <v>3.0462949225501701E-12</v>
      </c>
      <c r="G42">
        <v>-6.3622189013744307E-2</v>
      </c>
      <c r="H42">
        <v>7.0848673421582502</v>
      </c>
      <c r="I42">
        <v>-0.710620581419799</v>
      </c>
      <c r="J42">
        <f t="shared" si="0"/>
        <v>0.33919007901132808</v>
      </c>
      <c r="K42">
        <f t="shared" si="1"/>
        <v>4</v>
      </c>
      <c r="L42" cm="1">
        <f t="array" ref="L42">SUMPRODUCT(N(B42:H42*C42:I42&lt;0))</f>
        <v>4</v>
      </c>
      <c r="O42">
        <v>0.180824974347676</v>
      </c>
      <c r="P42">
        <v>0.86748132821930302</v>
      </c>
      <c r="Q42">
        <v>2.4900412368091701E-3</v>
      </c>
      <c r="R42">
        <v>0.87470119581085204</v>
      </c>
      <c r="S42">
        <v>0.19559633122085501</v>
      </c>
      <c r="T42">
        <v>5.0296076868244E-2</v>
      </c>
      <c r="U42">
        <v>1.35433278970914E-2</v>
      </c>
      <c r="V42">
        <f t="shared" si="2"/>
        <v>0.31213332508583297</v>
      </c>
      <c r="W42">
        <f t="shared" si="3"/>
        <v>17.892993157786602</v>
      </c>
    </row>
    <row r="43" spans="2:23" x14ac:dyDescent="0.45">
      <c r="B43">
        <v>-5.3045829276604293</v>
      </c>
      <c r="C43">
        <v>0</v>
      </c>
      <c r="D43">
        <v>-5.5511150768909598E-2</v>
      </c>
      <c r="E43">
        <v>-3.5190413837266599</v>
      </c>
      <c r="F43">
        <v>-1.75778596836428</v>
      </c>
      <c r="G43">
        <v>-3.8911795651947499E-10</v>
      </c>
      <c r="H43">
        <v>2.79653954007231E-4</v>
      </c>
      <c r="I43">
        <v>-3.5209268652589603</v>
      </c>
      <c r="J43">
        <f t="shared" si="0"/>
        <v>-1.7696960802767938</v>
      </c>
      <c r="K43">
        <f t="shared" si="1"/>
        <v>2</v>
      </c>
      <c r="L43" cm="1">
        <f t="array" ref="L43">SUMPRODUCT(N(B43:H43*C43:I43&lt;0))</f>
        <v>2</v>
      </c>
      <c r="O43">
        <v>0.14407348342470799</v>
      </c>
      <c r="P43">
        <v>0.71104184088785904</v>
      </c>
      <c r="Q43">
        <v>0.48032554539912498</v>
      </c>
      <c r="R43">
        <v>0.47754672564760797</v>
      </c>
      <c r="S43">
        <v>0.71535603637787204</v>
      </c>
      <c r="T43">
        <v>0.155212952520938</v>
      </c>
      <c r="U43">
        <v>3.7941263872579498E-2</v>
      </c>
      <c r="V43">
        <f t="shared" si="2"/>
        <v>0.38878540687581281</v>
      </c>
      <c r="W43">
        <f t="shared" si="3"/>
        <v>22.287061540651688</v>
      </c>
    </row>
    <row r="44" spans="2:23" x14ac:dyDescent="0.45">
      <c r="B44">
        <v>-5.3045829276604293</v>
      </c>
      <c r="C44">
        <v>0</v>
      </c>
      <c r="D44">
        <v>-5.5511150768909598E-2</v>
      </c>
      <c r="E44">
        <v>-3.5190413837266599</v>
      </c>
      <c r="F44">
        <v>-9.2133511311535593E-11</v>
      </c>
      <c r="G44">
        <v>-3.5190413837266599</v>
      </c>
      <c r="H44">
        <v>-1.75778596836428</v>
      </c>
      <c r="I44">
        <v>-3.8911795651947499E-10</v>
      </c>
      <c r="J44">
        <f t="shared" si="0"/>
        <v>-1.7694953518410237</v>
      </c>
      <c r="K44">
        <f t="shared" si="1"/>
        <v>1</v>
      </c>
      <c r="L44" cm="1">
        <f t="array" ref="L44">SUMPRODUCT(N(B44:H44*C44:I44&lt;0))</f>
        <v>0</v>
      </c>
      <c r="O44">
        <v>0.17857397463335201</v>
      </c>
      <c r="P44">
        <v>0.94161191039233505</v>
      </c>
      <c r="Q44">
        <v>0.18929621538432101</v>
      </c>
      <c r="R44">
        <v>0.76899990574864996</v>
      </c>
      <c r="S44">
        <v>1.11946296773704</v>
      </c>
      <c r="T44">
        <v>0.87178623855368798</v>
      </c>
      <c r="U44">
        <v>0.119295175775689</v>
      </c>
      <c r="V44">
        <f t="shared" si="2"/>
        <v>0.59843234117501076</v>
      </c>
      <c r="W44">
        <f t="shared" si="3"/>
        <v>34.305038666083419</v>
      </c>
    </row>
    <row r="45" spans="2:23" x14ac:dyDescent="0.45">
      <c r="B45">
        <v>-5.3045829276604293</v>
      </c>
      <c r="C45">
        <v>0</v>
      </c>
      <c r="D45">
        <v>-5.5511150768909598E-2</v>
      </c>
      <c r="E45">
        <v>1.76299013879221</v>
      </c>
      <c r="F45">
        <v>3.0462949225501701E-12</v>
      </c>
      <c r="G45">
        <v>-6.3622189013744307E-2</v>
      </c>
      <c r="H45">
        <v>7.0848673421582502</v>
      </c>
      <c r="I45">
        <v>-0.710620581419799</v>
      </c>
      <c r="J45">
        <f t="shared" si="0"/>
        <v>0.33919007901132808</v>
      </c>
      <c r="K45">
        <f t="shared" si="1"/>
        <v>4</v>
      </c>
      <c r="L45" cm="1">
        <f t="array" ref="L45">SUMPRODUCT(N(B45:H45*C45:I45&lt;0))</f>
        <v>4</v>
      </c>
      <c r="O45">
        <v>0.14407348342470799</v>
      </c>
      <c r="P45">
        <v>0.71104184088785904</v>
      </c>
      <c r="Q45">
        <v>0.48032554539912498</v>
      </c>
      <c r="R45">
        <v>0.47754672564760797</v>
      </c>
      <c r="S45">
        <v>0.71535603637787204</v>
      </c>
      <c r="T45">
        <v>0.155212952520938</v>
      </c>
      <c r="U45">
        <v>3.7941263872579498E-2</v>
      </c>
      <c r="V45">
        <f t="shared" si="2"/>
        <v>0.38878540687581281</v>
      </c>
      <c r="W45">
        <f t="shared" si="3"/>
        <v>22.287061540651688</v>
      </c>
    </row>
    <row r="46" spans="2:23" x14ac:dyDescent="0.45">
      <c r="B46">
        <v>-5.3045829276604293</v>
      </c>
      <c r="C46">
        <v>0</v>
      </c>
      <c r="D46">
        <v>-5.5511150768909598E-2</v>
      </c>
      <c r="E46">
        <v>-3.5190413837266599</v>
      </c>
      <c r="F46">
        <v>-1.75778596836428</v>
      </c>
      <c r="G46">
        <v>-3.8911795651947499E-10</v>
      </c>
      <c r="H46">
        <v>2.79653954007231E-4</v>
      </c>
      <c r="I46">
        <v>-3.5209268652589603</v>
      </c>
      <c r="J46">
        <f t="shared" si="0"/>
        <v>-1.7696960802767938</v>
      </c>
      <c r="K46">
        <f t="shared" si="1"/>
        <v>2</v>
      </c>
      <c r="L46" cm="1">
        <f t="array" ref="L46">SUMPRODUCT(N(B46:H46*C46:I46&lt;0))</f>
        <v>2</v>
      </c>
      <c r="O46">
        <v>0.17857397463335201</v>
      </c>
      <c r="P46">
        <v>0.94161191039233505</v>
      </c>
      <c r="Q46">
        <v>0.18929621538432101</v>
      </c>
      <c r="R46">
        <v>0.76899990574864996</v>
      </c>
      <c r="S46">
        <v>1.11946296773704</v>
      </c>
      <c r="T46">
        <v>0.87178623855368798</v>
      </c>
      <c r="U46">
        <v>0.119295175775689</v>
      </c>
      <c r="V46">
        <f t="shared" si="2"/>
        <v>0.59843234117501076</v>
      </c>
      <c r="W46">
        <f t="shared" si="3"/>
        <v>34.305038666083419</v>
      </c>
    </row>
    <row r="47" spans="2:23" x14ac:dyDescent="0.45">
      <c r="B47">
        <v>-5.3045829276604293</v>
      </c>
      <c r="C47">
        <v>0</v>
      </c>
      <c r="D47">
        <v>-5.5511150768909598E-2</v>
      </c>
      <c r="E47">
        <v>1.76299013879221</v>
      </c>
      <c r="F47">
        <v>3.0462949225501701E-12</v>
      </c>
      <c r="G47">
        <v>-6.3622189013744307E-2</v>
      </c>
      <c r="H47">
        <v>7.0848673421582502</v>
      </c>
      <c r="I47">
        <v>-0.710620581419799</v>
      </c>
      <c r="J47">
        <f t="shared" si="0"/>
        <v>0.33919007901132808</v>
      </c>
      <c r="K47">
        <f t="shared" si="1"/>
        <v>4</v>
      </c>
      <c r="L47" cm="1">
        <f t="array" ref="L47">SUMPRODUCT(N(B47:H47*C47:I47&lt;0))</f>
        <v>4</v>
      </c>
      <c r="O47">
        <v>0.14407348342470799</v>
      </c>
      <c r="P47">
        <v>0.71104184088785904</v>
      </c>
      <c r="Q47">
        <v>0.48032554539912498</v>
      </c>
      <c r="R47">
        <v>0.47754672564760797</v>
      </c>
      <c r="S47">
        <v>0.71535603637787204</v>
      </c>
      <c r="T47">
        <v>0.155212952520938</v>
      </c>
      <c r="U47">
        <v>3.7941263872579498E-2</v>
      </c>
      <c r="V47">
        <f t="shared" si="2"/>
        <v>0.38878540687581281</v>
      </c>
      <c r="W47">
        <f t="shared" si="3"/>
        <v>22.287061540651688</v>
      </c>
    </row>
    <row r="48" spans="2:23" x14ac:dyDescent="0.45">
      <c r="B48">
        <v>-5.3045829276604293</v>
      </c>
      <c r="C48">
        <v>0</v>
      </c>
      <c r="D48">
        <v>-5.5511150768909598E-2</v>
      </c>
      <c r="E48">
        <v>-3.5190413837266599</v>
      </c>
      <c r="F48">
        <v>-9.2133511311535593E-11</v>
      </c>
      <c r="G48">
        <v>-3.5190413837266599</v>
      </c>
      <c r="H48">
        <v>-1.75778596836428</v>
      </c>
      <c r="I48">
        <v>-3.8911795651947499E-10</v>
      </c>
      <c r="J48">
        <f t="shared" si="0"/>
        <v>-1.7694953518410237</v>
      </c>
      <c r="K48">
        <f t="shared" si="1"/>
        <v>1</v>
      </c>
      <c r="L48" cm="1">
        <f t="array" ref="L48">SUMPRODUCT(N(B48:H48*C48:I48&lt;0))</f>
        <v>0</v>
      </c>
      <c r="O48">
        <v>0.178485541067262</v>
      </c>
      <c r="P48">
        <v>0.95039780615288905</v>
      </c>
      <c r="Q48">
        <v>0.218388103778136</v>
      </c>
      <c r="R48">
        <v>0.26382173773226397</v>
      </c>
      <c r="S48">
        <v>0.155531702654604</v>
      </c>
      <c r="T48">
        <v>3.5281014266621898E-2</v>
      </c>
      <c r="U48">
        <v>1.4574396947437399E-2</v>
      </c>
      <c r="V48">
        <f t="shared" si="2"/>
        <v>0.25949718608560202</v>
      </c>
      <c r="W48">
        <f t="shared" si="3"/>
        <v>14.875634871149158</v>
      </c>
    </row>
    <row r="49" spans="2:23" x14ac:dyDescent="0.45">
      <c r="B49">
        <v>-5.3045829276604293</v>
      </c>
      <c r="C49">
        <v>0</v>
      </c>
      <c r="D49">
        <v>-5.5511150768909598E-2</v>
      </c>
      <c r="E49">
        <v>-3.5190413837266599</v>
      </c>
      <c r="F49">
        <v>-1.75778596836428</v>
      </c>
      <c r="G49">
        <v>-3.8911795651947499E-10</v>
      </c>
      <c r="H49">
        <v>2.79653954007231E-4</v>
      </c>
      <c r="I49">
        <v>-3.5209268652589603</v>
      </c>
      <c r="J49">
        <f t="shared" si="0"/>
        <v>-1.7696960802767938</v>
      </c>
      <c r="K49">
        <f t="shared" si="1"/>
        <v>2</v>
      </c>
      <c r="L49" cm="1">
        <f t="array" ref="L49">SUMPRODUCT(N(B49:H49*C49:I49&lt;0))</f>
        <v>2</v>
      </c>
      <c r="O49">
        <v>0.17857397463335201</v>
      </c>
      <c r="P49">
        <v>0.94161191039233505</v>
      </c>
      <c r="Q49">
        <v>0.18929621538432101</v>
      </c>
      <c r="R49">
        <v>0.76899990574864996</v>
      </c>
      <c r="S49">
        <v>1.11946296773704</v>
      </c>
      <c r="T49">
        <v>0.87178623855368798</v>
      </c>
      <c r="U49">
        <v>0.119295175775689</v>
      </c>
      <c r="V49">
        <f t="shared" si="2"/>
        <v>0.59843234117501076</v>
      </c>
      <c r="W49">
        <f t="shared" si="3"/>
        <v>34.305038666083419</v>
      </c>
    </row>
    <row r="50" spans="2:23" x14ac:dyDescent="0.45">
      <c r="B50">
        <v>-5.3045829276604293</v>
      </c>
      <c r="C50">
        <v>0</v>
      </c>
      <c r="D50">
        <v>-5.5511150768909598E-2</v>
      </c>
      <c r="E50">
        <v>-3.5190413837266599</v>
      </c>
      <c r="F50">
        <v>-9.2133511311535593E-11</v>
      </c>
      <c r="G50">
        <v>-3.5190413837266599</v>
      </c>
      <c r="H50">
        <v>-1.75778596836428</v>
      </c>
      <c r="I50">
        <v>-3.8911795651947499E-10</v>
      </c>
      <c r="J50">
        <f t="shared" si="0"/>
        <v>-1.7694953518410237</v>
      </c>
      <c r="K50">
        <f t="shared" si="1"/>
        <v>1</v>
      </c>
      <c r="L50" cm="1">
        <f t="array" ref="L50">SUMPRODUCT(N(B50:H50*C50:I50&lt;0))</f>
        <v>0</v>
      </c>
      <c r="O50">
        <v>0.14407348342470799</v>
      </c>
      <c r="P50">
        <v>0.71104184088785904</v>
      </c>
      <c r="Q50">
        <v>0.48032554539912498</v>
      </c>
      <c r="R50">
        <v>0.47754672564760797</v>
      </c>
      <c r="S50">
        <v>0.71535603637787204</v>
      </c>
      <c r="T50">
        <v>0.155212952520938</v>
      </c>
      <c r="U50">
        <v>3.7941263872579498E-2</v>
      </c>
      <c r="V50">
        <f t="shared" si="2"/>
        <v>0.38878540687581281</v>
      </c>
      <c r="W50">
        <f t="shared" si="3"/>
        <v>22.287061540651688</v>
      </c>
    </row>
    <row r="51" spans="2:23" x14ac:dyDescent="0.45">
      <c r="B51">
        <v>-5.3045829276604293</v>
      </c>
      <c r="C51">
        <v>0</v>
      </c>
      <c r="D51">
        <v>-5.5511150768909598E-2</v>
      </c>
      <c r="E51">
        <v>1.76299013879221</v>
      </c>
      <c r="F51">
        <v>3.0462949225501701E-12</v>
      </c>
      <c r="G51">
        <v>-6.3622189013744307E-2</v>
      </c>
      <c r="H51">
        <v>7.0848673421582502</v>
      </c>
      <c r="I51">
        <v>-0.710620581419799</v>
      </c>
      <c r="J51">
        <f t="shared" si="0"/>
        <v>0.33919007901132808</v>
      </c>
      <c r="K51">
        <f t="shared" si="1"/>
        <v>4</v>
      </c>
      <c r="L51" cm="1">
        <f t="array" ref="L51">SUMPRODUCT(N(B51:H51*C51:I51&lt;0))</f>
        <v>4</v>
      </c>
      <c r="O51">
        <v>0.17857397463335201</v>
      </c>
      <c r="P51">
        <v>0.94161191039233505</v>
      </c>
      <c r="Q51">
        <v>0.18929621538432101</v>
      </c>
      <c r="R51">
        <v>0.76899990574864996</v>
      </c>
      <c r="S51">
        <v>1.11946296773704</v>
      </c>
      <c r="T51">
        <v>0.87178623855368798</v>
      </c>
      <c r="U51">
        <v>0.119295175775689</v>
      </c>
      <c r="V51">
        <f t="shared" si="2"/>
        <v>0.59843234117501076</v>
      </c>
      <c r="W51">
        <f t="shared" si="3"/>
        <v>34.305038666083419</v>
      </c>
    </row>
    <row r="52" spans="2:23" x14ac:dyDescent="0.45">
      <c r="B52">
        <v>-5.3045829276604293</v>
      </c>
      <c r="C52">
        <v>0</v>
      </c>
      <c r="D52">
        <v>-5.5511150768909598E-2</v>
      </c>
      <c r="E52">
        <v>-3.5190413837266599</v>
      </c>
      <c r="F52">
        <v>-1.75778596836428</v>
      </c>
      <c r="G52">
        <v>-3.8911795651947499E-10</v>
      </c>
      <c r="H52">
        <v>2.79653954007231E-4</v>
      </c>
      <c r="I52">
        <v>-3.5209268652589603</v>
      </c>
      <c r="J52">
        <f t="shared" si="0"/>
        <v>-1.7696960802767938</v>
      </c>
      <c r="K52">
        <f t="shared" si="1"/>
        <v>2</v>
      </c>
      <c r="L52" cm="1">
        <f t="array" ref="L52">SUMPRODUCT(N(B52:H52*C52:I52&lt;0))</f>
        <v>2</v>
      </c>
      <c r="O52">
        <v>0.180824974347676</v>
      </c>
      <c r="P52">
        <v>0.86748132821930302</v>
      </c>
      <c r="Q52">
        <v>2.4900412368091701E-3</v>
      </c>
      <c r="R52">
        <v>0.87470119581085204</v>
      </c>
      <c r="S52">
        <v>0.19559633122085501</v>
      </c>
      <c r="T52">
        <v>5.0296076868244E-2</v>
      </c>
      <c r="U52">
        <v>1.35433278970914E-2</v>
      </c>
      <c r="V52">
        <f t="shared" si="2"/>
        <v>0.31213332508583297</v>
      </c>
      <c r="W52">
        <f t="shared" si="3"/>
        <v>17.892993157786602</v>
      </c>
    </row>
    <row r="53" spans="2:23" x14ac:dyDescent="0.45">
      <c r="B53">
        <v>-5.3045829276604293</v>
      </c>
      <c r="C53">
        <v>0</v>
      </c>
      <c r="D53">
        <v>-5.5511150768909598E-2</v>
      </c>
      <c r="E53">
        <v>-3.5190413837266599</v>
      </c>
      <c r="F53">
        <v>-1.75778596836428</v>
      </c>
      <c r="G53">
        <v>-3.8911795651947499E-10</v>
      </c>
      <c r="H53">
        <v>2.79653954007231E-4</v>
      </c>
      <c r="I53">
        <v>-3.5209268652589603</v>
      </c>
      <c r="J53">
        <f t="shared" si="0"/>
        <v>-1.7696960802767938</v>
      </c>
      <c r="K53">
        <f t="shared" si="1"/>
        <v>2</v>
      </c>
      <c r="L53" cm="1">
        <f t="array" ref="L53">SUMPRODUCT(N(B53:H53*C53:I53&lt;0))</f>
        <v>2</v>
      </c>
      <c r="O53">
        <v>0.180824974347676</v>
      </c>
      <c r="P53">
        <v>0.86748132821930302</v>
      </c>
      <c r="Q53">
        <v>2.4900412368091701E-3</v>
      </c>
      <c r="R53">
        <v>0.87470119581085204</v>
      </c>
      <c r="S53">
        <v>0.19559633122085501</v>
      </c>
      <c r="T53">
        <v>5.0296076868244E-2</v>
      </c>
      <c r="U53">
        <v>1.35433278970914E-2</v>
      </c>
      <c r="V53">
        <f t="shared" si="2"/>
        <v>0.31213332508583297</v>
      </c>
      <c r="W53">
        <f t="shared" si="3"/>
        <v>17.892993157786602</v>
      </c>
    </row>
    <row r="54" spans="2:23" x14ac:dyDescent="0.45">
      <c r="B54">
        <v>-5.3045829276604293</v>
      </c>
      <c r="C54">
        <v>0</v>
      </c>
      <c r="D54">
        <v>-5.5511150768909598E-2</v>
      </c>
      <c r="E54">
        <v>-3.5190413837266599</v>
      </c>
      <c r="F54">
        <v>-9.2133511311535593E-11</v>
      </c>
      <c r="G54">
        <v>-3.5190413837266599</v>
      </c>
      <c r="H54">
        <v>-9.2133511311535593E-11</v>
      </c>
      <c r="I54">
        <v>-3.5190413837266599</v>
      </c>
      <c r="J54">
        <f t="shared" si="0"/>
        <v>-1.9896522787241984</v>
      </c>
      <c r="K54">
        <f t="shared" si="1"/>
        <v>1</v>
      </c>
      <c r="L54" cm="1">
        <f t="array" ref="L54">SUMPRODUCT(N(B54:H54*C54:I54&lt;0))</f>
        <v>0</v>
      </c>
      <c r="O54">
        <v>0.178485541067262</v>
      </c>
      <c r="P54">
        <v>0.95039780615288905</v>
      </c>
      <c r="Q54">
        <v>0.218388103778136</v>
      </c>
      <c r="R54">
        <v>0.26382173773226397</v>
      </c>
      <c r="S54">
        <v>0.155531702654604</v>
      </c>
      <c r="T54">
        <v>3.5281014266621898E-2</v>
      </c>
      <c r="U54">
        <v>1.4574396947437399E-2</v>
      </c>
      <c r="V54">
        <f t="shared" si="2"/>
        <v>0.25949718608560202</v>
      </c>
      <c r="W54">
        <f t="shared" si="3"/>
        <v>14.875634871149158</v>
      </c>
    </row>
    <row r="55" spans="2:23" x14ac:dyDescent="0.45">
      <c r="B55">
        <v>-5.3045829276604293</v>
      </c>
      <c r="C55">
        <v>0</v>
      </c>
      <c r="D55">
        <v>-5.5511150768909598E-2</v>
      </c>
      <c r="E55">
        <v>1.76299013879221</v>
      </c>
      <c r="F55">
        <v>3.0462949225501701E-12</v>
      </c>
      <c r="G55">
        <v>-6.3622189013744307E-2</v>
      </c>
      <c r="H55">
        <v>7.0848673421582502</v>
      </c>
      <c r="I55">
        <v>-0.710620581419799</v>
      </c>
      <c r="J55">
        <f t="shared" si="0"/>
        <v>0.33919007901132808</v>
      </c>
      <c r="K55">
        <f t="shared" si="1"/>
        <v>4</v>
      </c>
      <c r="L55" cm="1">
        <f t="array" ref="L55">SUMPRODUCT(N(B55:H55*C55:I55&lt;0))</f>
        <v>4</v>
      </c>
      <c r="O55">
        <v>0.14407348342470799</v>
      </c>
      <c r="P55">
        <v>0.71104184088785904</v>
      </c>
      <c r="Q55">
        <v>0.48032554539912498</v>
      </c>
      <c r="R55">
        <v>0.47754672564760797</v>
      </c>
      <c r="S55">
        <v>0.71535603637787204</v>
      </c>
      <c r="T55">
        <v>0.155212952520938</v>
      </c>
      <c r="U55">
        <v>3.7941263872579498E-2</v>
      </c>
      <c r="V55">
        <f t="shared" si="2"/>
        <v>0.38878540687581281</v>
      </c>
      <c r="W55">
        <f t="shared" si="3"/>
        <v>22.287061540651688</v>
      </c>
    </row>
    <row r="56" spans="2:23" x14ac:dyDescent="0.45">
      <c r="B56">
        <v>-5.3045829276604293</v>
      </c>
      <c r="C56">
        <v>0</v>
      </c>
      <c r="D56">
        <v>-5.5511150768909598E-2</v>
      </c>
      <c r="E56">
        <v>1.76299013879221</v>
      </c>
      <c r="F56">
        <v>3.0462949225501701E-12</v>
      </c>
      <c r="G56">
        <v>-6.3622189013744307E-2</v>
      </c>
      <c r="H56">
        <v>7.0848673421582502</v>
      </c>
      <c r="I56">
        <v>-0.710620581419799</v>
      </c>
      <c r="J56">
        <f t="shared" si="0"/>
        <v>0.33919007901132808</v>
      </c>
      <c r="K56">
        <f t="shared" si="1"/>
        <v>4</v>
      </c>
      <c r="L56" cm="1">
        <f t="array" ref="L56">SUMPRODUCT(N(B56:H56*C56:I56&lt;0))</f>
        <v>4</v>
      </c>
      <c r="O56">
        <v>0.14407348342470799</v>
      </c>
      <c r="P56">
        <v>0.71104184088785904</v>
      </c>
      <c r="Q56">
        <v>0.48032554539912498</v>
      </c>
      <c r="R56">
        <v>0.47754672564760797</v>
      </c>
      <c r="S56">
        <v>0.71535603637787204</v>
      </c>
      <c r="T56">
        <v>0.155212952520938</v>
      </c>
      <c r="U56">
        <v>3.7941263872579498E-2</v>
      </c>
      <c r="V56">
        <f t="shared" si="2"/>
        <v>0.38878540687581281</v>
      </c>
      <c r="W56">
        <f t="shared" si="3"/>
        <v>22.287061540651688</v>
      </c>
    </row>
    <row r="57" spans="2:23" x14ac:dyDescent="0.45">
      <c r="B57">
        <v>-5.3045829276604293</v>
      </c>
      <c r="C57">
        <v>0</v>
      </c>
      <c r="D57">
        <v>-5.5511150768909598E-2</v>
      </c>
      <c r="E57">
        <v>1.76299013879221</v>
      </c>
      <c r="F57">
        <v>3.0462949225501701E-12</v>
      </c>
      <c r="G57">
        <v>-6.3622189013744307E-2</v>
      </c>
      <c r="H57">
        <v>7.0848673421582502</v>
      </c>
      <c r="I57">
        <v>-0.710620581419799</v>
      </c>
      <c r="J57">
        <f t="shared" si="0"/>
        <v>0.33919007901132808</v>
      </c>
      <c r="K57">
        <f t="shared" si="1"/>
        <v>4</v>
      </c>
      <c r="L57" cm="1">
        <f t="array" ref="L57">SUMPRODUCT(N(B57:H57*C57:I57&lt;0))</f>
        <v>4</v>
      </c>
      <c r="O57">
        <v>0.14407348342470799</v>
      </c>
      <c r="P57">
        <v>0.71104184088785904</v>
      </c>
      <c r="Q57">
        <v>0.48032554539912498</v>
      </c>
      <c r="R57">
        <v>0.47754672564760797</v>
      </c>
      <c r="S57">
        <v>0.71535603637787204</v>
      </c>
      <c r="T57">
        <v>0.155212952520938</v>
      </c>
      <c r="U57">
        <v>3.7941263872579498E-2</v>
      </c>
      <c r="V57">
        <f t="shared" si="2"/>
        <v>0.38878540687581281</v>
      </c>
      <c r="W57">
        <f t="shared" si="3"/>
        <v>22.287061540651688</v>
      </c>
    </row>
    <row r="58" spans="2:23" x14ac:dyDescent="0.45">
      <c r="B58">
        <v>-5.3045829276604293</v>
      </c>
      <c r="C58">
        <v>0</v>
      </c>
      <c r="D58">
        <v>-5.5511150768909598E-2</v>
      </c>
      <c r="E58">
        <v>-3.5190413837266599</v>
      </c>
      <c r="F58">
        <v>-1.75778596836428</v>
      </c>
      <c r="G58">
        <v>-3.8911795651947499E-10</v>
      </c>
      <c r="H58">
        <v>2.79653954007231E-4</v>
      </c>
      <c r="I58">
        <v>-3.5209268652589603</v>
      </c>
      <c r="J58">
        <f t="shared" si="0"/>
        <v>-1.7696960802767938</v>
      </c>
      <c r="K58">
        <f t="shared" si="1"/>
        <v>2</v>
      </c>
      <c r="L58" cm="1">
        <f t="array" ref="L58">SUMPRODUCT(N(B58:H58*C58:I58&lt;0))</f>
        <v>2</v>
      </c>
      <c r="O58">
        <v>0.180824974347676</v>
      </c>
      <c r="P58">
        <v>0.86748132821930302</v>
      </c>
      <c r="Q58">
        <v>2.4900412368091701E-3</v>
      </c>
      <c r="R58">
        <v>0.87470119581085204</v>
      </c>
      <c r="S58">
        <v>0.19559633122085501</v>
      </c>
      <c r="T58">
        <v>5.0296076868244E-2</v>
      </c>
      <c r="U58">
        <v>1.35433278970914E-2</v>
      </c>
      <c r="V58">
        <f t="shared" si="2"/>
        <v>0.31213332508583297</v>
      </c>
      <c r="W58">
        <f t="shared" si="3"/>
        <v>17.892993157786602</v>
      </c>
    </row>
    <row r="59" spans="2:23" x14ac:dyDescent="0.45">
      <c r="B59">
        <v>-5.3045829276604293</v>
      </c>
      <c r="C59">
        <v>0</v>
      </c>
      <c r="D59">
        <v>-5.5511150768909598E-2</v>
      </c>
      <c r="E59">
        <v>1.76299013879221</v>
      </c>
      <c r="F59">
        <v>3.0462949225501701E-12</v>
      </c>
      <c r="G59">
        <v>-6.3622189013744307E-2</v>
      </c>
      <c r="H59">
        <v>7.0848673421582502</v>
      </c>
      <c r="I59">
        <v>-0.710620581419799</v>
      </c>
      <c r="J59">
        <f t="shared" si="0"/>
        <v>0.33919007901132808</v>
      </c>
      <c r="K59">
        <f t="shared" si="1"/>
        <v>4</v>
      </c>
      <c r="L59" cm="1">
        <f t="array" ref="L59">SUMPRODUCT(N(B59:H59*C59:I59&lt;0))</f>
        <v>4</v>
      </c>
      <c r="O59">
        <v>0.14407348342470799</v>
      </c>
      <c r="P59">
        <v>0.71104184088785904</v>
      </c>
      <c r="Q59">
        <v>0.48032554539912498</v>
      </c>
      <c r="R59">
        <v>0.47754672564760797</v>
      </c>
      <c r="S59">
        <v>0.71535603637787204</v>
      </c>
      <c r="T59">
        <v>0.155212952520938</v>
      </c>
      <c r="U59">
        <v>3.7941263872579498E-2</v>
      </c>
      <c r="V59">
        <f t="shared" si="2"/>
        <v>0.38878540687581281</v>
      </c>
      <c r="W59">
        <f t="shared" si="3"/>
        <v>22.287061540651688</v>
      </c>
    </row>
    <row r="60" spans="2:23" x14ac:dyDescent="0.45">
      <c r="B60">
        <v>-5.3045829276604293</v>
      </c>
      <c r="C60">
        <v>0</v>
      </c>
      <c r="D60">
        <v>-5.5511150768909598E-2</v>
      </c>
      <c r="E60">
        <v>1.76299013879221</v>
      </c>
      <c r="F60">
        <v>3.0462949225501701E-12</v>
      </c>
      <c r="G60">
        <v>-6.3622189013744307E-2</v>
      </c>
      <c r="H60">
        <v>7.0848673421582502</v>
      </c>
      <c r="I60">
        <v>-0.710620581419799</v>
      </c>
      <c r="J60">
        <f t="shared" si="0"/>
        <v>0.33919007901132808</v>
      </c>
      <c r="K60">
        <f t="shared" si="1"/>
        <v>4</v>
      </c>
      <c r="L60" cm="1">
        <f t="array" ref="L60">SUMPRODUCT(N(B60:H60*C60:I60&lt;0))</f>
        <v>4</v>
      </c>
      <c r="O60">
        <v>0.14407348342470799</v>
      </c>
      <c r="P60">
        <v>0.71104184088785904</v>
      </c>
      <c r="Q60">
        <v>0.48032554539912498</v>
      </c>
      <c r="R60">
        <v>0.47754672564760797</v>
      </c>
      <c r="S60">
        <v>0.71535603637787204</v>
      </c>
      <c r="T60">
        <v>0.155212952520938</v>
      </c>
      <c r="U60">
        <v>3.7941263872579498E-2</v>
      </c>
      <c r="V60">
        <f t="shared" si="2"/>
        <v>0.38878540687581281</v>
      </c>
      <c r="W60">
        <f t="shared" si="3"/>
        <v>22.287061540651688</v>
      </c>
    </row>
    <row r="61" spans="2:23" x14ac:dyDescent="0.45">
      <c r="B61">
        <v>-5.3045829276604293</v>
      </c>
      <c r="C61">
        <v>0</v>
      </c>
      <c r="D61">
        <v>-5.5511150768909598E-2</v>
      </c>
      <c r="E61">
        <v>1.76299013879221</v>
      </c>
      <c r="F61">
        <v>3.0462949225501701E-12</v>
      </c>
      <c r="G61">
        <v>-6.3622189013744307E-2</v>
      </c>
      <c r="H61">
        <v>7.0848673421582502</v>
      </c>
      <c r="I61">
        <v>-0.710620581419799</v>
      </c>
      <c r="J61">
        <f t="shared" si="0"/>
        <v>0.33919007901132808</v>
      </c>
      <c r="K61">
        <f t="shared" si="1"/>
        <v>4</v>
      </c>
      <c r="L61" cm="1">
        <f t="array" ref="L61">SUMPRODUCT(N(B61:H61*C61:I61&lt;0))</f>
        <v>4</v>
      </c>
      <c r="O61">
        <v>0.14407348342470799</v>
      </c>
      <c r="P61">
        <v>0.71104184088785904</v>
      </c>
      <c r="Q61">
        <v>0.48032554539912498</v>
      </c>
      <c r="R61">
        <v>0.47754672564760797</v>
      </c>
      <c r="S61">
        <v>0.71535603637787204</v>
      </c>
      <c r="T61">
        <v>0.155212952520938</v>
      </c>
      <c r="U61">
        <v>3.7941263872579498E-2</v>
      </c>
      <c r="V61">
        <f t="shared" si="2"/>
        <v>0.38878540687581281</v>
      </c>
      <c r="W61">
        <f t="shared" si="3"/>
        <v>22.287061540651688</v>
      </c>
    </row>
    <row r="62" spans="2:23" x14ac:dyDescent="0.45">
      <c r="B62">
        <v>-5.3045829276604293</v>
      </c>
      <c r="C62">
        <v>0</v>
      </c>
      <c r="D62">
        <v>-5.5511150768909598E-2</v>
      </c>
      <c r="E62">
        <v>-3.5190413837266599</v>
      </c>
      <c r="F62">
        <v>-1.75778596836428</v>
      </c>
      <c r="G62">
        <v>-3.8911795651947499E-10</v>
      </c>
      <c r="H62">
        <v>2.79653954007231E-4</v>
      </c>
      <c r="I62">
        <v>-3.5209268652589603</v>
      </c>
      <c r="J62">
        <f t="shared" si="0"/>
        <v>-1.7696960802767938</v>
      </c>
      <c r="K62">
        <f t="shared" si="1"/>
        <v>2</v>
      </c>
      <c r="L62" cm="1">
        <f t="array" ref="L62">SUMPRODUCT(N(B62:H62*C62:I62&lt;0))</f>
        <v>2</v>
      </c>
      <c r="O62">
        <v>0.180824974347676</v>
      </c>
      <c r="P62">
        <v>0.86748132821930302</v>
      </c>
      <c r="Q62">
        <v>2.4900412368091701E-3</v>
      </c>
      <c r="R62">
        <v>0.87470119581085204</v>
      </c>
      <c r="S62">
        <v>0.19559633122085501</v>
      </c>
      <c r="T62">
        <v>5.0296076868244E-2</v>
      </c>
      <c r="U62">
        <v>1.35433278970914E-2</v>
      </c>
      <c r="V62">
        <f t="shared" si="2"/>
        <v>0.31213332508583297</v>
      </c>
      <c r="W62">
        <f t="shared" si="3"/>
        <v>17.892993157786602</v>
      </c>
    </row>
    <row r="63" spans="2:23" x14ac:dyDescent="0.45">
      <c r="B63">
        <v>-5.3045829276604293</v>
      </c>
      <c r="C63">
        <v>0</v>
      </c>
      <c r="D63">
        <v>-5.5511150768909598E-2</v>
      </c>
      <c r="E63">
        <v>1.76299013879221</v>
      </c>
      <c r="F63">
        <v>3.0462949225501701E-12</v>
      </c>
      <c r="G63">
        <v>-6.3622189013744307E-2</v>
      </c>
      <c r="H63">
        <v>7.0848673421582502</v>
      </c>
      <c r="I63">
        <v>-0.710620581419799</v>
      </c>
      <c r="J63">
        <f t="shared" si="0"/>
        <v>0.33919007901132808</v>
      </c>
      <c r="K63">
        <f t="shared" si="1"/>
        <v>4</v>
      </c>
      <c r="L63" cm="1">
        <f t="array" ref="L63">SUMPRODUCT(N(B63:H63*C63:I63&lt;0))</f>
        <v>4</v>
      </c>
      <c r="O63">
        <v>0.14407348342470799</v>
      </c>
      <c r="P63">
        <v>0.71104184088785904</v>
      </c>
      <c r="Q63">
        <v>0.48032554539912498</v>
      </c>
      <c r="R63">
        <v>0.47754672564760797</v>
      </c>
      <c r="S63">
        <v>0.71535603637787204</v>
      </c>
      <c r="T63">
        <v>0.155212952520938</v>
      </c>
      <c r="U63">
        <v>3.7941263872579498E-2</v>
      </c>
      <c r="V63">
        <f t="shared" si="2"/>
        <v>0.38878540687581281</v>
      </c>
      <c r="W63">
        <f t="shared" si="3"/>
        <v>22.287061540651688</v>
      </c>
    </row>
    <row r="64" spans="2:23" x14ac:dyDescent="0.45">
      <c r="B64">
        <v>-5.3045829276604293</v>
      </c>
      <c r="C64">
        <v>0</v>
      </c>
      <c r="D64">
        <v>-5.5511150768909598E-2</v>
      </c>
      <c r="E64">
        <v>1.76299013879221</v>
      </c>
      <c r="F64">
        <v>3.0462949225501701E-12</v>
      </c>
      <c r="G64">
        <v>-6.3622189013744307E-2</v>
      </c>
      <c r="H64">
        <v>7.0848673421582502</v>
      </c>
      <c r="I64">
        <v>-0.710620581419799</v>
      </c>
      <c r="J64">
        <f t="shared" si="0"/>
        <v>0.33919007901132808</v>
      </c>
      <c r="K64">
        <f t="shared" si="1"/>
        <v>4</v>
      </c>
      <c r="L64" cm="1">
        <f t="array" ref="L64">SUMPRODUCT(N(B64:H64*C64:I64&lt;0))</f>
        <v>4</v>
      </c>
      <c r="O64">
        <v>0.14407348342470799</v>
      </c>
      <c r="P64">
        <v>0.71104184088785904</v>
      </c>
      <c r="Q64">
        <v>0.48032554539912498</v>
      </c>
      <c r="R64">
        <v>0.47754672564760797</v>
      </c>
      <c r="S64">
        <v>0.71535603637787204</v>
      </c>
      <c r="T64">
        <v>0.155212952520938</v>
      </c>
      <c r="U64">
        <v>3.7941263872579498E-2</v>
      </c>
      <c r="V64">
        <f t="shared" si="2"/>
        <v>0.38878540687581281</v>
      </c>
      <c r="W64">
        <f t="shared" si="3"/>
        <v>22.287061540651688</v>
      </c>
    </row>
    <row r="65" spans="2:23" x14ac:dyDescent="0.45">
      <c r="B65">
        <v>-5.3045829276604293</v>
      </c>
      <c r="C65">
        <v>0</v>
      </c>
      <c r="D65">
        <v>-5.5511150768909598E-2</v>
      </c>
      <c r="E65">
        <v>-3.5190413837266599</v>
      </c>
      <c r="F65">
        <v>-1.75778596836428</v>
      </c>
      <c r="G65">
        <v>-3.8911795651947499E-10</v>
      </c>
      <c r="H65">
        <v>2.79653954007231E-4</v>
      </c>
      <c r="I65">
        <v>-3.5209268652589603</v>
      </c>
      <c r="J65">
        <f t="shared" si="0"/>
        <v>-1.7696960802767938</v>
      </c>
      <c r="K65">
        <f t="shared" si="1"/>
        <v>2</v>
      </c>
      <c r="L65" cm="1">
        <f t="array" ref="L65">SUMPRODUCT(N(B65:H65*C65:I65&lt;0))</f>
        <v>2</v>
      </c>
      <c r="O65">
        <v>0.180824974347676</v>
      </c>
      <c r="P65">
        <v>0.86748132821930302</v>
      </c>
      <c r="Q65">
        <v>2.4900412368091701E-3</v>
      </c>
      <c r="R65">
        <v>0.87470119581085204</v>
      </c>
      <c r="S65">
        <v>0.19559633122085501</v>
      </c>
      <c r="T65">
        <v>5.0296076868244E-2</v>
      </c>
      <c r="U65">
        <v>1.35433278970914E-2</v>
      </c>
      <c r="V65">
        <f t="shared" si="2"/>
        <v>0.31213332508583297</v>
      </c>
      <c r="W65">
        <f t="shared" si="3"/>
        <v>17.892993157786602</v>
      </c>
    </row>
    <row r="66" spans="2:23" x14ac:dyDescent="0.45">
      <c r="B66">
        <v>-5.3045829276604293</v>
      </c>
      <c r="C66">
        <v>0</v>
      </c>
      <c r="D66">
        <v>-5.5511150768909598E-2</v>
      </c>
      <c r="E66">
        <v>-3.5190413837266599</v>
      </c>
      <c r="F66">
        <v>-1.75778596836428</v>
      </c>
      <c r="G66">
        <v>-3.8911795651947499E-10</v>
      </c>
      <c r="H66">
        <v>2.79653954007231E-4</v>
      </c>
      <c r="I66">
        <v>-3.5209268652589603</v>
      </c>
      <c r="J66">
        <f t="shared" si="0"/>
        <v>-1.7696960802767938</v>
      </c>
      <c r="K66">
        <f t="shared" si="1"/>
        <v>2</v>
      </c>
      <c r="L66" cm="1">
        <f t="array" ref="L66">SUMPRODUCT(N(B66:H66*C66:I66&lt;0))</f>
        <v>2</v>
      </c>
      <c r="O66">
        <v>0.180824974347676</v>
      </c>
      <c r="P66">
        <v>0.86748132821930302</v>
      </c>
      <c r="Q66">
        <v>2.4900412368091701E-3</v>
      </c>
      <c r="R66">
        <v>0.87470119581085204</v>
      </c>
      <c r="S66">
        <v>0.19559633122085501</v>
      </c>
      <c r="T66">
        <v>5.0296076868244E-2</v>
      </c>
      <c r="U66">
        <v>1.35433278970914E-2</v>
      </c>
      <c r="V66">
        <f t="shared" si="2"/>
        <v>0.31213332508583297</v>
      </c>
      <c r="W66">
        <f t="shared" si="3"/>
        <v>17.892993157786602</v>
      </c>
    </row>
    <row r="67" spans="2:23" x14ac:dyDescent="0.45">
      <c r="B67">
        <v>-5.3045829276604293</v>
      </c>
      <c r="C67">
        <v>0</v>
      </c>
      <c r="D67">
        <v>-5.5511150768909598E-2</v>
      </c>
      <c r="E67">
        <v>1.76299013879221</v>
      </c>
      <c r="F67">
        <v>3.0462949225501701E-12</v>
      </c>
      <c r="G67">
        <v>-6.3622189013744307E-2</v>
      </c>
      <c r="H67">
        <v>7.0848673421582502</v>
      </c>
      <c r="I67">
        <v>-0.710620581419799</v>
      </c>
      <c r="J67">
        <f t="shared" ref="J67:J101" si="4">AVERAGE(B67:I67)</f>
        <v>0.33919007901132808</v>
      </c>
      <c r="K67">
        <f t="shared" ref="K67:K101" si="5">COUNTIF(B67:I67,"&gt;=0")</f>
        <v>4</v>
      </c>
      <c r="L67" cm="1">
        <f t="array" ref="L67">SUMPRODUCT(N(B67:H67*C67:I67&lt;0))</f>
        <v>4</v>
      </c>
      <c r="O67">
        <v>0.14407348342470799</v>
      </c>
      <c r="P67">
        <v>0.71104184088785904</v>
      </c>
      <c r="Q67">
        <v>0.48032554539912498</v>
      </c>
      <c r="R67">
        <v>0.47754672564760797</v>
      </c>
      <c r="S67">
        <v>0.71535603637787204</v>
      </c>
      <c r="T67">
        <v>0.155212952520938</v>
      </c>
      <c r="U67">
        <v>3.7941263872579498E-2</v>
      </c>
      <c r="V67">
        <f t="shared" ref="V67:V101" si="6">AVERAGE(O67:U67)</f>
        <v>0.38878540687581281</v>
      </c>
      <c r="W67">
        <f t="shared" ref="W67:W101" si="7">V67*360/(3.14*2)</f>
        <v>22.287061540651688</v>
      </c>
    </row>
    <row r="68" spans="2:23" x14ac:dyDescent="0.45">
      <c r="B68">
        <v>-5.3045829276604293</v>
      </c>
      <c r="C68">
        <v>0</v>
      </c>
      <c r="D68">
        <v>-5.5511150768909598E-2</v>
      </c>
      <c r="E68">
        <v>1.76299013879221</v>
      </c>
      <c r="F68">
        <v>3.0462949225501701E-12</v>
      </c>
      <c r="G68">
        <v>-6.3622189013744307E-2</v>
      </c>
      <c r="H68">
        <v>7.0848673421582502</v>
      </c>
      <c r="I68">
        <v>-0.710620581419799</v>
      </c>
      <c r="J68">
        <f t="shared" si="4"/>
        <v>0.33919007901132808</v>
      </c>
      <c r="K68">
        <f t="shared" si="5"/>
        <v>4</v>
      </c>
      <c r="L68" cm="1">
        <f t="array" ref="L68">SUMPRODUCT(N(B68:H68*C68:I68&lt;0))</f>
        <v>4</v>
      </c>
      <c r="O68">
        <v>0.14407348342470799</v>
      </c>
      <c r="P68">
        <v>0.71104184088785904</v>
      </c>
      <c r="Q68">
        <v>0.48032554539912498</v>
      </c>
      <c r="R68">
        <v>0.47754672564760797</v>
      </c>
      <c r="S68">
        <v>0.71535603637787204</v>
      </c>
      <c r="T68">
        <v>0.155212952520938</v>
      </c>
      <c r="U68">
        <v>3.7941263872579498E-2</v>
      </c>
      <c r="V68">
        <f t="shared" si="6"/>
        <v>0.38878540687581281</v>
      </c>
      <c r="W68">
        <f t="shared" si="7"/>
        <v>22.287061540651688</v>
      </c>
    </row>
    <row r="69" spans="2:23" x14ac:dyDescent="0.45">
      <c r="B69">
        <v>-5.3045829276604293</v>
      </c>
      <c r="C69">
        <v>0</v>
      </c>
      <c r="D69">
        <v>-5.5511150768909598E-2</v>
      </c>
      <c r="E69">
        <v>1.76299013879221</v>
      </c>
      <c r="F69">
        <v>3.0462949225501701E-12</v>
      </c>
      <c r="G69">
        <v>-6.3622189013744307E-2</v>
      </c>
      <c r="H69">
        <v>7.0848673421582502</v>
      </c>
      <c r="I69">
        <v>-0.710620581419799</v>
      </c>
      <c r="J69">
        <f t="shared" si="4"/>
        <v>0.33919007901132808</v>
      </c>
      <c r="K69">
        <f t="shared" si="5"/>
        <v>4</v>
      </c>
      <c r="L69" cm="1">
        <f t="array" ref="L69">SUMPRODUCT(N(B69:H69*C69:I69&lt;0))</f>
        <v>4</v>
      </c>
      <c r="O69">
        <v>0.14407348342470799</v>
      </c>
      <c r="P69">
        <v>0.71104184088785904</v>
      </c>
      <c r="Q69">
        <v>0.48032554539912498</v>
      </c>
      <c r="R69">
        <v>0.47754672564760797</v>
      </c>
      <c r="S69">
        <v>0.71535603637787204</v>
      </c>
      <c r="T69">
        <v>0.155212952520938</v>
      </c>
      <c r="U69">
        <v>3.7941263872579498E-2</v>
      </c>
      <c r="V69">
        <f t="shared" si="6"/>
        <v>0.38878540687581281</v>
      </c>
      <c r="W69">
        <f t="shared" si="7"/>
        <v>22.287061540651688</v>
      </c>
    </row>
    <row r="70" spans="2:23" x14ac:dyDescent="0.45">
      <c r="B70">
        <v>-5.3045829276604293</v>
      </c>
      <c r="C70">
        <v>0</v>
      </c>
      <c r="D70">
        <v>-5.5511150768909598E-2</v>
      </c>
      <c r="E70">
        <v>-3.5190413837266599</v>
      </c>
      <c r="F70">
        <v>-1.75778596836428</v>
      </c>
      <c r="G70">
        <v>-3.8911795651947499E-10</v>
      </c>
      <c r="H70">
        <v>2.79653954007231E-4</v>
      </c>
      <c r="I70">
        <v>-3.5209268652589603</v>
      </c>
      <c r="J70">
        <f t="shared" si="4"/>
        <v>-1.7696960802767938</v>
      </c>
      <c r="K70">
        <f t="shared" si="5"/>
        <v>2</v>
      </c>
      <c r="L70" cm="1">
        <f t="array" ref="L70">SUMPRODUCT(N(B70:H70*C70:I70&lt;0))</f>
        <v>2</v>
      </c>
      <c r="O70">
        <v>0.180824974347676</v>
      </c>
      <c r="P70">
        <v>0.86748132821930302</v>
      </c>
      <c r="Q70">
        <v>2.4900412368091701E-3</v>
      </c>
      <c r="R70">
        <v>0.87470119581085204</v>
      </c>
      <c r="S70">
        <v>0.19559633122085501</v>
      </c>
      <c r="T70">
        <v>5.0296076868244E-2</v>
      </c>
      <c r="U70">
        <v>1.35433278970914E-2</v>
      </c>
      <c r="V70">
        <f t="shared" si="6"/>
        <v>0.31213332508583297</v>
      </c>
      <c r="W70">
        <f t="shared" si="7"/>
        <v>17.892993157786602</v>
      </c>
    </row>
    <row r="71" spans="2:23" x14ac:dyDescent="0.45">
      <c r="B71">
        <v>-5.3045829276604293</v>
      </c>
      <c r="C71">
        <v>0</v>
      </c>
      <c r="D71">
        <v>-5.5511150768909598E-2</v>
      </c>
      <c r="E71">
        <v>1.76299013879221</v>
      </c>
      <c r="F71">
        <v>3.0462949225501701E-12</v>
      </c>
      <c r="G71">
        <v>-6.3622189013744307E-2</v>
      </c>
      <c r="H71">
        <v>7.0848673421582502</v>
      </c>
      <c r="I71">
        <v>-0.710620581419799</v>
      </c>
      <c r="J71">
        <f t="shared" si="4"/>
        <v>0.33919007901132808</v>
      </c>
      <c r="K71">
        <f t="shared" si="5"/>
        <v>4</v>
      </c>
      <c r="L71" cm="1">
        <f t="array" ref="L71">SUMPRODUCT(N(B71:H71*C71:I71&lt;0))</f>
        <v>4</v>
      </c>
      <c r="O71">
        <v>0.14407348342470799</v>
      </c>
      <c r="P71">
        <v>0.71104184088785904</v>
      </c>
      <c r="Q71">
        <v>0.48032554539912498</v>
      </c>
      <c r="R71">
        <v>0.47754672564760797</v>
      </c>
      <c r="S71">
        <v>0.71535603637787204</v>
      </c>
      <c r="T71">
        <v>0.155212952520938</v>
      </c>
      <c r="U71">
        <v>3.7941263872579498E-2</v>
      </c>
      <c r="V71">
        <f t="shared" si="6"/>
        <v>0.38878540687581281</v>
      </c>
      <c r="W71">
        <f t="shared" si="7"/>
        <v>22.287061540651688</v>
      </c>
    </row>
    <row r="72" spans="2:23" x14ac:dyDescent="0.45">
      <c r="B72">
        <v>-5.3045829276604293</v>
      </c>
      <c r="C72">
        <v>0</v>
      </c>
      <c r="D72">
        <v>-5.5511150768909598E-2</v>
      </c>
      <c r="E72">
        <v>-3.5190413837266599</v>
      </c>
      <c r="F72">
        <v>-9.2133511311535593E-11</v>
      </c>
      <c r="G72">
        <v>-3.5190413837266599</v>
      </c>
      <c r="H72">
        <v>-9.2133511311535593E-11</v>
      </c>
      <c r="I72">
        <v>-3.5190413837266599</v>
      </c>
      <c r="J72">
        <f t="shared" si="4"/>
        <v>-1.9896522787241984</v>
      </c>
      <c r="K72">
        <f t="shared" si="5"/>
        <v>1</v>
      </c>
      <c r="L72" cm="1">
        <f t="array" ref="L72">SUMPRODUCT(N(B72:H72*C72:I72&lt;0))</f>
        <v>0</v>
      </c>
      <c r="O72">
        <v>0.178485541067262</v>
      </c>
      <c r="P72">
        <v>0.95039780615288905</v>
      </c>
      <c r="Q72">
        <v>0.218388103778136</v>
      </c>
      <c r="R72">
        <v>0.26382173773226397</v>
      </c>
      <c r="S72">
        <v>0.155531702654604</v>
      </c>
      <c r="T72">
        <v>3.5281014266621898E-2</v>
      </c>
      <c r="U72">
        <v>1.4574396947437399E-2</v>
      </c>
      <c r="V72">
        <f t="shared" si="6"/>
        <v>0.25949718608560202</v>
      </c>
      <c r="W72">
        <f t="shared" si="7"/>
        <v>14.875634871149158</v>
      </c>
    </row>
    <row r="73" spans="2:23" x14ac:dyDescent="0.45">
      <c r="B73">
        <v>-5.3045829276604293</v>
      </c>
      <c r="C73">
        <v>0</v>
      </c>
      <c r="D73">
        <v>-5.5511150768909598E-2</v>
      </c>
      <c r="E73">
        <v>1.76299013879221</v>
      </c>
      <c r="F73">
        <v>3.0462949225501701E-12</v>
      </c>
      <c r="G73">
        <v>-6.3622189013744307E-2</v>
      </c>
      <c r="H73">
        <v>7.0848673421582502</v>
      </c>
      <c r="I73">
        <v>-0.710620581419799</v>
      </c>
      <c r="J73">
        <f t="shared" si="4"/>
        <v>0.33919007901132808</v>
      </c>
      <c r="K73">
        <f t="shared" si="5"/>
        <v>4</v>
      </c>
      <c r="L73" cm="1">
        <f t="array" ref="L73">SUMPRODUCT(N(B73:H73*C73:I73&lt;0))</f>
        <v>4</v>
      </c>
      <c r="O73">
        <v>0.14407348342470799</v>
      </c>
      <c r="P73">
        <v>0.71104184088785904</v>
      </c>
      <c r="Q73">
        <v>0.48032554539912498</v>
      </c>
      <c r="R73">
        <v>0.47754672564760797</v>
      </c>
      <c r="S73">
        <v>0.71535603637787204</v>
      </c>
      <c r="T73">
        <v>0.155212952520938</v>
      </c>
      <c r="U73">
        <v>3.7941263872579498E-2</v>
      </c>
      <c r="V73">
        <f t="shared" si="6"/>
        <v>0.38878540687581281</v>
      </c>
      <c r="W73">
        <f t="shared" si="7"/>
        <v>22.287061540651688</v>
      </c>
    </row>
    <row r="74" spans="2:23" x14ac:dyDescent="0.45">
      <c r="B74">
        <v>-5.3045829276604293</v>
      </c>
      <c r="C74">
        <v>0</v>
      </c>
      <c r="D74">
        <v>-5.5511150768909598E-2</v>
      </c>
      <c r="E74">
        <v>-3.5190413837266599</v>
      </c>
      <c r="F74">
        <v>-1.75778596836428</v>
      </c>
      <c r="G74">
        <v>-3.8911795651947499E-10</v>
      </c>
      <c r="H74">
        <v>2.79653954007231E-4</v>
      </c>
      <c r="I74">
        <v>-3.5209268652589603</v>
      </c>
      <c r="J74">
        <f t="shared" si="4"/>
        <v>-1.7696960802767938</v>
      </c>
      <c r="K74">
        <f t="shared" si="5"/>
        <v>2</v>
      </c>
      <c r="L74" cm="1">
        <f t="array" ref="L74">SUMPRODUCT(N(B74:H74*C74:I74&lt;0))</f>
        <v>2</v>
      </c>
      <c r="O74">
        <v>0.180824974347676</v>
      </c>
      <c r="P74">
        <v>0.86748132821930302</v>
      </c>
      <c r="Q74">
        <v>2.4900412368091701E-3</v>
      </c>
      <c r="R74">
        <v>0.87470119581085204</v>
      </c>
      <c r="S74">
        <v>0.19559633122085501</v>
      </c>
      <c r="T74">
        <v>5.0296076868244E-2</v>
      </c>
      <c r="U74">
        <v>1.35433278970914E-2</v>
      </c>
      <c r="V74">
        <f t="shared" si="6"/>
        <v>0.31213332508583297</v>
      </c>
      <c r="W74">
        <f t="shared" si="7"/>
        <v>17.892993157786602</v>
      </c>
    </row>
    <row r="75" spans="2:23" x14ac:dyDescent="0.45">
      <c r="B75">
        <v>-5.3045829276604293</v>
      </c>
      <c r="C75">
        <v>0</v>
      </c>
      <c r="D75">
        <v>-5.5511150768909598E-2</v>
      </c>
      <c r="E75">
        <v>-3.5190413837266599</v>
      </c>
      <c r="F75">
        <v>-1.75778596836428</v>
      </c>
      <c r="G75">
        <v>-3.8911795651947499E-10</v>
      </c>
      <c r="H75">
        <v>2.79653954007231E-4</v>
      </c>
      <c r="I75">
        <v>-3.5209268652589603</v>
      </c>
      <c r="J75">
        <f t="shared" si="4"/>
        <v>-1.7696960802767938</v>
      </c>
      <c r="K75">
        <f t="shared" si="5"/>
        <v>2</v>
      </c>
      <c r="L75" cm="1">
        <f t="array" ref="L75">SUMPRODUCT(N(B75:H75*C75:I75&lt;0))</f>
        <v>2</v>
      </c>
      <c r="O75">
        <v>0.180824974347676</v>
      </c>
      <c r="P75">
        <v>0.86748132821930302</v>
      </c>
      <c r="Q75">
        <v>2.4900412368091701E-3</v>
      </c>
      <c r="R75">
        <v>0.87470119581085204</v>
      </c>
      <c r="S75">
        <v>0.19559633122085501</v>
      </c>
      <c r="T75">
        <v>5.0296076868244E-2</v>
      </c>
      <c r="U75">
        <v>1.35433278970914E-2</v>
      </c>
      <c r="V75">
        <f t="shared" si="6"/>
        <v>0.31213332508583297</v>
      </c>
      <c r="W75">
        <f t="shared" si="7"/>
        <v>17.892993157786602</v>
      </c>
    </row>
    <row r="76" spans="2:23" x14ac:dyDescent="0.45">
      <c r="B76">
        <v>-5.3045829276604293</v>
      </c>
      <c r="C76">
        <v>0</v>
      </c>
      <c r="D76">
        <v>-5.5511150768909598E-2</v>
      </c>
      <c r="E76">
        <v>-3.5190413837266599</v>
      </c>
      <c r="F76">
        <v>-1.75778596836428</v>
      </c>
      <c r="G76">
        <v>-3.8911795651947499E-10</v>
      </c>
      <c r="H76">
        <v>2.79653954007231E-4</v>
      </c>
      <c r="I76">
        <v>-3.5209268652589603</v>
      </c>
      <c r="J76">
        <f t="shared" si="4"/>
        <v>-1.7696960802767938</v>
      </c>
      <c r="K76">
        <f t="shared" si="5"/>
        <v>2</v>
      </c>
      <c r="L76" cm="1">
        <f t="array" ref="L76">SUMPRODUCT(N(B76:H76*C76:I76&lt;0))</f>
        <v>2</v>
      </c>
      <c r="O76">
        <v>0.180824974347676</v>
      </c>
      <c r="P76">
        <v>0.86748132821930302</v>
      </c>
      <c r="Q76">
        <v>2.4900412368091701E-3</v>
      </c>
      <c r="R76">
        <v>0.87470119581085204</v>
      </c>
      <c r="S76">
        <v>0.19559633122085501</v>
      </c>
      <c r="T76">
        <v>5.0296076868244E-2</v>
      </c>
      <c r="U76">
        <v>1.35433278970914E-2</v>
      </c>
      <c r="V76">
        <f t="shared" si="6"/>
        <v>0.31213332508583297</v>
      </c>
      <c r="W76">
        <f t="shared" si="7"/>
        <v>17.892993157786602</v>
      </c>
    </row>
    <row r="77" spans="2:23" x14ac:dyDescent="0.45">
      <c r="B77">
        <v>-5.3045829276604293</v>
      </c>
      <c r="C77">
        <v>0</v>
      </c>
      <c r="D77">
        <v>-5.5511150768909598E-2</v>
      </c>
      <c r="E77">
        <v>-3.5190413837266599</v>
      </c>
      <c r="F77">
        <v>-1.75778596836428</v>
      </c>
      <c r="G77">
        <v>-3.8911795651947499E-10</v>
      </c>
      <c r="H77">
        <v>2.79653954007231E-4</v>
      </c>
      <c r="I77">
        <v>-3.5209268652589603</v>
      </c>
      <c r="J77">
        <f t="shared" si="4"/>
        <v>-1.7696960802767938</v>
      </c>
      <c r="K77">
        <f t="shared" si="5"/>
        <v>2</v>
      </c>
      <c r="L77" cm="1">
        <f t="array" ref="L77">SUMPRODUCT(N(B77:H77*C77:I77&lt;0))</f>
        <v>2</v>
      </c>
      <c r="O77">
        <v>0.180824974347676</v>
      </c>
      <c r="P77">
        <v>0.86748132821930302</v>
      </c>
      <c r="Q77">
        <v>2.4900412368091701E-3</v>
      </c>
      <c r="R77">
        <v>0.87470119581085204</v>
      </c>
      <c r="S77">
        <v>0.19559633122085501</v>
      </c>
      <c r="T77">
        <v>5.0296076868244E-2</v>
      </c>
      <c r="U77">
        <v>1.35433278970914E-2</v>
      </c>
      <c r="V77">
        <f t="shared" si="6"/>
        <v>0.31213332508583297</v>
      </c>
      <c r="W77">
        <f t="shared" si="7"/>
        <v>17.892993157786602</v>
      </c>
    </row>
    <row r="78" spans="2:23" x14ac:dyDescent="0.45">
      <c r="B78">
        <v>-5.3045829276604293</v>
      </c>
      <c r="C78">
        <v>0</v>
      </c>
      <c r="D78">
        <v>-5.5511150768909598E-2</v>
      </c>
      <c r="E78">
        <v>1.76299013879221</v>
      </c>
      <c r="F78">
        <v>3.0462949225501701E-12</v>
      </c>
      <c r="G78">
        <v>-6.3622189013744307E-2</v>
      </c>
      <c r="H78">
        <v>7.0848673421582502</v>
      </c>
      <c r="I78">
        <v>-0.710620581419799</v>
      </c>
      <c r="J78">
        <f t="shared" si="4"/>
        <v>0.33919007901132808</v>
      </c>
      <c r="K78">
        <f t="shared" si="5"/>
        <v>4</v>
      </c>
      <c r="L78" cm="1">
        <f t="array" ref="L78">SUMPRODUCT(N(B78:H78*C78:I78&lt;0))</f>
        <v>4</v>
      </c>
      <c r="O78">
        <v>0.14407348342470799</v>
      </c>
      <c r="P78">
        <v>0.71104184088785904</v>
      </c>
      <c r="Q78">
        <v>0.48032554539912498</v>
      </c>
      <c r="R78">
        <v>0.47754672564760797</v>
      </c>
      <c r="S78">
        <v>0.71535603637787204</v>
      </c>
      <c r="T78">
        <v>0.155212952520938</v>
      </c>
      <c r="U78">
        <v>3.7941263872579498E-2</v>
      </c>
      <c r="V78">
        <f t="shared" si="6"/>
        <v>0.38878540687581281</v>
      </c>
      <c r="W78">
        <f t="shared" si="7"/>
        <v>22.287061540651688</v>
      </c>
    </row>
    <row r="79" spans="2:23" x14ac:dyDescent="0.45">
      <c r="B79">
        <v>-5.3045829276604293</v>
      </c>
      <c r="C79">
        <v>0</v>
      </c>
      <c r="D79">
        <v>-5.5511150768909598E-2</v>
      </c>
      <c r="E79">
        <v>1.76299013879221</v>
      </c>
      <c r="F79">
        <v>3.0462949225501701E-12</v>
      </c>
      <c r="G79">
        <v>-6.3622189013744307E-2</v>
      </c>
      <c r="H79">
        <v>7.0848673421582502</v>
      </c>
      <c r="I79">
        <v>-0.710620581419799</v>
      </c>
      <c r="J79">
        <f t="shared" si="4"/>
        <v>0.33919007901132808</v>
      </c>
      <c r="K79">
        <f t="shared" si="5"/>
        <v>4</v>
      </c>
      <c r="L79" cm="1">
        <f t="array" ref="L79">SUMPRODUCT(N(B79:H79*C79:I79&lt;0))</f>
        <v>4</v>
      </c>
      <c r="O79">
        <v>0.14407348342470799</v>
      </c>
      <c r="P79">
        <v>0.71104184088785904</v>
      </c>
      <c r="Q79">
        <v>0.48032554539912498</v>
      </c>
      <c r="R79">
        <v>0.47754672564760797</v>
      </c>
      <c r="S79">
        <v>0.71535603637787204</v>
      </c>
      <c r="T79">
        <v>0.155212952520938</v>
      </c>
      <c r="U79">
        <v>3.7941263872579498E-2</v>
      </c>
      <c r="V79">
        <f t="shared" si="6"/>
        <v>0.38878540687581281</v>
      </c>
      <c r="W79">
        <f t="shared" si="7"/>
        <v>22.287061540651688</v>
      </c>
    </row>
    <row r="80" spans="2:23" x14ac:dyDescent="0.45">
      <c r="B80">
        <v>-5.3045829276604293</v>
      </c>
      <c r="C80">
        <v>0</v>
      </c>
      <c r="D80">
        <v>-5.5511150768909598E-2</v>
      </c>
      <c r="E80">
        <v>-3.5190413837266599</v>
      </c>
      <c r="F80">
        <v>-1.75778596836428</v>
      </c>
      <c r="G80">
        <v>-3.8911795651947499E-10</v>
      </c>
      <c r="H80">
        <v>2.79653954007231E-4</v>
      </c>
      <c r="I80">
        <v>-3.5209268652589603</v>
      </c>
      <c r="J80">
        <f t="shared" si="4"/>
        <v>-1.7696960802767938</v>
      </c>
      <c r="K80">
        <f t="shared" si="5"/>
        <v>2</v>
      </c>
      <c r="L80" cm="1">
        <f t="array" ref="L80">SUMPRODUCT(N(B80:H80*C80:I80&lt;0))</f>
        <v>2</v>
      </c>
      <c r="O80">
        <v>0.180824974347676</v>
      </c>
      <c r="P80">
        <v>0.86748132821930302</v>
      </c>
      <c r="Q80">
        <v>2.4900412368091701E-3</v>
      </c>
      <c r="R80">
        <v>0.87470119581085204</v>
      </c>
      <c r="S80">
        <v>0.19559633122085501</v>
      </c>
      <c r="T80">
        <v>5.0296076868244E-2</v>
      </c>
      <c r="U80">
        <v>1.35433278970914E-2</v>
      </c>
      <c r="V80">
        <f t="shared" si="6"/>
        <v>0.31213332508583297</v>
      </c>
      <c r="W80">
        <f t="shared" si="7"/>
        <v>17.892993157786602</v>
      </c>
    </row>
    <row r="81" spans="2:23" x14ac:dyDescent="0.45">
      <c r="B81">
        <v>-5.3045829276604293</v>
      </c>
      <c r="C81">
        <v>0</v>
      </c>
      <c r="D81">
        <v>-5.5511150768909598E-2</v>
      </c>
      <c r="E81">
        <v>1.76299013879221</v>
      </c>
      <c r="F81">
        <v>3.0462949225501701E-12</v>
      </c>
      <c r="G81">
        <v>-6.3622189013744307E-2</v>
      </c>
      <c r="H81">
        <v>7.0848673421582502</v>
      </c>
      <c r="I81">
        <v>-0.710620581419799</v>
      </c>
      <c r="J81">
        <f t="shared" si="4"/>
        <v>0.33919007901132808</v>
      </c>
      <c r="K81">
        <f t="shared" si="5"/>
        <v>4</v>
      </c>
      <c r="L81" cm="1">
        <f t="array" ref="L81">SUMPRODUCT(N(B81:H81*C81:I81&lt;0))</f>
        <v>4</v>
      </c>
      <c r="O81">
        <v>0.14407348342470799</v>
      </c>
      <c r="P81">
        <v>0.71104184088785904</v>
      </c>
      <c r="Q81">
        <v>0.48032554539912498</v>
      </c>
      <c r="R81">
        <v>0.47754672564760797</v>
      </c>
      <c r="S81">
        <v>0.71535603637787204</v>
      </c>
      <c r="T81">
        <v>0.155212952520938</v>
      </c>
      <c r="U81">
        <v>3.7941263872579498E-2</v>
      </c>
      <c r="V81">
        <f t="shared" si="6"/>
        <v>0.38878540687581281</v>
      </c>
      <c r="W81">
        <f t="shared" si="7"/>
        <v>22.287061540651688</v>
      </c>
    </row>
    <row r="82" spans="2:23" x14ac:dyDescent="0.45">
      <c r="B82">
        <v>-5.3045829276604293</v>
      </c>
      <c r="C82">
        <v>0</v>
      </c>
      <c r="D82">
        <v>-5.5511150768909598E-2</v>
      </c>
      <c r="E82">
        <v>1.76299013879221</v>
      </c>
      <c r="F82">
        <v>3.0462949225501701E-12</v>
      </c>
      <c r="G82">
        <v>-6.3622189013744307E-2</v>
      </c>
      <c r="H82">
        <v>7.0848673421582502</v>
      </c>
      <c r="I82">
        <v>-0.710620581419799</v>
      </c>
      <c r="J82">
        <f t="shared" si="4"/>
        <v>0.33919007901132808</v>
      </c>
      <c r="K82">
        <f t="shared" si="5"/>
        <v>4</v>
      </c>
      <c r="L82" cm="1">
        <f t="array" ref="L82">SUMPRODUCT(N(B82:H82*C82:I82&lt;0))</f>
        <v>4</v>
      </c>
      <c r="O82">
        <v>0.14407348342470799</v>
      </c>
      <c r="P82">
        <v>0.71104184088785904</v>
      </c>
      <c r="Q82">
        <v>0.48032554539912498</v>
      </c>
      <c r="R82">
        <v>0.47754672564760797</v>
      </c>
      <c r="S82">
        <v>0.71535603637787204</v>
      </c>
      <c r="T82">
        <v>0.155212952520938</v>
      </c>
      <c r="U82">
        <v>3.7941263872579498E-2</v>
      </c>
      <c r="V82">
        <f t="shared" si="6"/>
        <v>0.38878540687581281</v>
      </c>
      <c r="W82">
        <f t="shared" si="7"/>
        <v>22.287061540651688</v>
      </c>
    </row>
    <row r="83" spans="2:23" x14ac:dyDescent="0.45">
      <c r="B83">
        <v>-5.3045829276604293</v>
      </c>
      <c r="C83">
        <v>0</v>
      </c>
      <c r="D83">
        <v>-5.5511150768909598E-2</v>
      </c>
      <c r="E83">
        <v>-3.5190413837266599</v>
      </c>
      <c r="F83">
        <v>-9.2133511311535593E-11</v>
      </c>
      <c r="G83">
        <v>-3.5190413837266599</v>
      </c>
      <c r="H83">
        <v>-1.75778596836428</v>
      </c>
      <c r="I83">
        <v>-3.8911795651947499E-10</v>
      </c>
      <c r="J83">
        <f t="shared" si="4"/>
        <v>-1.7694953518410237</v>
      </c>
      <c r="K83">
        <f t="shared" si="5"/>
        <v>1</v>
      </c>
      <c r="L83" cm="1">
        <f t="array" ref="L83">SUMPRODUCT(N(B83:H83*C83:I83&lt;0))</f>
        <v>0</v>
      </c>
      <c r="O83">
        <v>0.17857397463335201</v>
      </c>
      <c r="P83">
        <v>0.94161191039233505</v>
      </c>
      <c r="Q83">
        <v>0.18929621538432101</v>
      </c>
      <c r="R83">
        <v>0.76899990574864996</v>
      </c>
      <c r="S83">
        <v>1.11946296773704</v>
      </c>
      <c r="T83">
        <v>0.87178623855368798</v>
      </c>
      <c r="U83">
        <v>0.119295175775689</v>
      </c>
      <c r="V83">
        <f t="shared" si="6"/>
        <v>0.59843234117501076</v>
      </c>
      <c r="W83">
        <f t="shared" si="7"/>
        <v>34.305038666083419</v>
      </c>
    </row>
    <row r="84" spans="2:23" x14ac:dyDescent="0.45">
      <c r="B84">
        <v>-5.3045829276604293</v>
      </c>
      <c r="C84">
        <v>0</v>
      </c>
      <c r="D84">
        <v>-5.5511150768909598E-2</v>
      </c>
      <c r="E84">
        <v>1.76299013879221</v>
      </c>
      <c r="F84">
        <v>3.0462949225501701E-12</v>
      </c>
      <c r="G84">
        <v>-6.3622189013744307E-2</v>
      </c>
      <c r="H84">
        <v>7.0848673421582502</v>
      </c>
      <c r="I84">
        <v>-0.710620581419799</v>
      </c>
      <c r="J84">
        <f t="shared" si="4"/>
        <v>0.33919007901132808</v>
      </c>
      <c r="K84">
        <f t="shared" si="5"/>
        <v>4</v>
      </c>
      <c r="L84" cm="1">
        <f t="array" ref="L84">SUMPRODUCT(N(B84:H84*C84:I84&lt;0))</f>
        <v>4</v>
      </c>
      <c r="O84">
        <v>0.14407348342470799</v>
      </c>
      <c r="P84">
        <v>0.71104184088785904</v>
      </c>
      <c r="Q84">
        <v>0.48032554539912498</v>
      </c>
      <c r="R84">
        <v>0.47754672564760797</v>
      </c>
      <c r="S84">
        <v>0.71535603637787204</v>
      </c>
      <c r="T84">
        <v>0.155212952520938</v>
      </c>
      <c r="U84">
        <v>3.7941263872579498E-2</v>
      </c>
      <c r="V84">
        <f t="shared" si="6"/>
        <v>0.38878540687581281</v>
      </c>
      <c r="W84">
        <f t="shared" si="7"/>
        <v>22.287061540651688</v>
      </c>
    </row>
    <row r="85" spans="2:23" x14ac:dyDescent="0.45">
      <c r="B85">
        <v>-5.3045829276604293</v>
      </c>
      <c r="C85">
        <v>0</v>
      </c>
      <c r="D85">
        <v>-5.5511150768909598E-2</v>
      </c>
      <c r="E85">
        <v>-3.5190413837266599</v>
      </c>
      <c r="F85">
        <v>-1.75778596836428</v>
      </c>
      <c r="G85">
        <v>-3.8911795651947499E-10</v>
      </c>
      <c r="H85">
        <v>2.79653954007231E-4</v>
      </c>
      <c r="I85">
        <v>-3.5209268652589603</v>
      </c>
      <c r="J85">
        <f t="shared" si="4"/>
        <v>-1.7696960802767938</v>
      </c>
      <c r="K85">
        <f t="shared" si="5"/>
        <v>2</v>
      </c>
      <c r="L85" cm="1">
        <f t="array" ref="L85">SUMPRODUCT(N(B85:H85*C85:I85&lt;0))</f>
        <v>2</v>
      </c>
      <c r="O85">
        <v>0.180824974347676</v>
      </c>
      <c r="P85">
        <v>0.86748132821930302</v>
      </c>
      <c r="Q85">
        <v>2.4900412368091701E-3</v>
      </c>
      <c r="R85">
        <v>0.87470119581085204</v>
      </c>
      <c r="S85">
        <v>0.19559633122085501</v>
      </c>
      <c r="T85">
        <v>5.0296076868244E-2</v>
      </c>
      <c r="U85">
        <v>1.35433278970914E-2</v>
      </c>
      <c r="V85">
        <f t="shared" si="6"/>
        <v>0.31213332508583297</v>
      </c>
      <c r="W85">
        <f t="shared" si="7"/>
        <v>17.892993157786602</v>
      </c>
    </row>
    <row r="86" spans="2:23" x14ac:dyDescent="0.45">
      <c r="B86">
        <v>-5.3045829276604293</v>
      </c>
      <c r="C86">
        <v>0</v>
      </c>
      <c r="D86">
        <v>-5.5511150768909598E-2</v>
      </c>
      <c r="E86">
        <v>-3.5190413837266599</v>
      </c>
      <c r="F86">
        <v>-9.2133511311535593E-11</v>
      </c>
      <c r="G86">
        <v>-3.5190413837266599</v>
      </c>
      <c r="H86">
        <v>-1.75778596836428</v>
      </c>
      <c r="I86">
        <v>-3.8911795651947499E-10</v>
      </c>
      <c r="J86">
        <f t="shared" si="4"/>
        <v>-1.7694953518410237</v>
      </c>
      <c r="K86">
        <f t="shared" si="5"/>
        <v>1</v>
      </c>
      <c r="L86" cm="1">
        <f t="array" ref="L86">SUMPRODUCT(N(B86:H86*C86:I86&lt;0))</f>
        <v>0</v>
      </c>
      <c r="O86">
        <v>0.17857397463335201</v>
      </c>
      <c r="P86">
        <v>0.94161191039233505</v>
      </c>
      <c r="Q86">
        <v>0.18929621538432101</v>
      </c>
      <c r="R86">
        <v>0.76899990574864996</v>
      </c>
      <c r="S86">
        <v>1.11946296773704</v>
      </c>
      <c r="T86">
        <v>0.87178623855368798</v>
      </c>
      <c r="U86">
        <v>0.119295175775689</v>
      </c>
      <c r="V86">
        <f t="shared" si="6"/>
        <v>0.59843234117501076</v>
      </c>
      <c r="W86">
        <f t="shared" si="7"/>
        <v>34.305038666083419</v>
      </c>
    </row>
    <row r="87" spans="2:23" x14ac:dyDescent="0.45">
      <c r="B87">
        <v>-5.3045829276604293</v>
      </c>
      <c r="C87">
        <v>0</v>
      </c>
      <c r="D87">
        <v>-5.5511150768909598E-2</v>
      </c>
      <c r="E87">
        <v>-3.5190413837266599</v>
      </c>
      <c r="F87">
        <v>-9.2133511311535593E-11</v>
      </c>
      <c r="G87">
        <v>-3.5190413837266599</v>
      </c>
      <c r="H87">
        <v>-9.2133511311535593E-11</v>
      </c>
      <c r="I87">
        <v>-3.5190413837266599</v>
      </c>
      <c r="J87">
        <f t="shared" si="4"/>
        <v>-1.9896522787241984</v>
      </c>
      <c r="K87">
        <f t="shared" si="5"/>
        <v>1</v>
      </c>
      <c r="L87" cm="1">
        <f t="array" ref="L87">SUMPRODUCT(N(B87:H87*C87:I87&lt;0))</f>
        <v>0</v>
      </c>
      <c r="O87">
        <v>0.178485541067262</v>
      </c>
      <c r="P87">
        <v>0.95039780615288905</v>
      </c>
      <c r="Q87">
        <v>0.218388103778136</v>
      </c>
      <c r="R87">
        <v>0.26382173773226397</v>
      </c>
      <c r="S87">
        <v>0.155531702654604</v>
      </c>
      <c r="T87">
        <v>3.5281014266621898E-2</v>
      </c>
      <c r="U87">
        <v>1.4574396947437399E-2</v>
      </c>
      <c r="V87">
        <f t="shared" si="6"/>
        <v>0.25949718608560202</v>
      </c>
      <c r="W87">
        <f t="shared" si="7"/>
        <v>14.875634871149158</v>
      </c>
    </row>
    <row r="88" spans="2:23" x14ac:dyDescent="0.45">
      <c r="B88">
        <v>-5.3045829276604293</v>
      </c>
      <c r="C88">
        <v>0</v>
      </c>
      <c r="D88">
        <v>-5.5511150768909598E-2</v>
      </c>
      <c r="E88">
        <v>-3.5190413837266599</v>
      </c>
      <c r="F88">
        <v>-9.2133511311535593E-11</v>
      </c>
      <c r="G88">
        <v>-3.5190413837266599</v>
      </c>
      <c r="H88">
        <v>-1.75778596836428</v>
      </c>
      <c r="I88">
        <v>-3.8911795651947499E-10</v>
      </c>
      <c r="J88">
        <f t="shared" si="4"/>
        <v>-1.7694953518410237</v>
      </c>
      <c r="K88">
        <f t="shared" si="5"/>
        <v>1</v>
      </c>
      <c r="L88" cm="1">
        <f t="array" ref="L88">SUMPRODUCT(N(B88:H88*C88:I88&lt;0))</f>
        <v>0</v>
      </c>
      <c r="O88">
        <v>0.17857397463335201</v>
      </c>
      <c r="P88">
        <v>0.94161191039233505</v>
      </c>
      <c r="Q88">
        <v>0.18929621538432101</v>
      </c>
      <c r="R88">
        <v>0.76899990574864996</v>
      </c>
      <c r="S88">
        <v>1.11946296773704</v>
      </c>
      <c r="T88">
        <v>0.87178623855368798</v>
      </c>
      <c r="U88">
        <v>0.119295175775689</v>
      </c>
      <c r="V88">
        <f t="shared" si="6"/>
        <v>0.59843234117501076</v>
      </c>
      <c r="W88">
        <f t="shared" si="7"/>
        <v>34.305038666083419</v>
      </c>
    </row>
    <row r="89" spans="2:23" x14ac:dyDescent="0.45">
      <c r="B89">
        <v>-5.3045829276604293</v>
      </c>
      <c r="C89">
        <v>0</v>
      </c>
      <c r="D89">
        <v>-5.5511150768909598E-2</v>
      </c>
      <c r="E89">
        <v>1.76299013879221</v>
      </c>
      <c r="F89">
        <v>3.0462949225501701E-12</v>
      </c>
      <c r="G89">
        <v>-6.3622189013744307E-2</v>
      </c>
      <c r="H89">
        <v>7.0848673421582502</v>
      </c>
      <c r="I89">
        <v>-0.710620581419799</v>
      </c>
      <c r="J89">
        <f t="shared" si="4"/>
        <v>0.33919007901132808</v>
      </c>
      <c r="K89">
        <f t="shared" si="5"/>
        <v>4</v>
      </c>
      <c r="L89" cm="1">
        <f t="array" ref="L89">SUMPRODUCT(N(B89:H89*C89:I89&lt;0))</f>
        <v>4</v>
      </c>
      <c r="O89">
        <v>0.14407348342470799</v>
      </c>
      <c r="P89">
        <v>0.71104184088785904</v>
      </c>
      <c r="Q89">
        <v>0.48032554539912498</v>
      </c>
      <c r="R89">
        <v>0.47754672564760797</v>
      </c>
      <c r="S89">
        <v>0.71535603637787204</v>
      </c>
      <c r="T89">
        <v>0.155212952520938</v>
      </c>
      <c r="U89">
        <v>3.7941263872579498E-2</v>
      </c>
      <c r="V89">
        <f t="shared" si="6"/>
        <v>0.38878540687581281</v>
      </c>
      <c r="W89">
        <f t="shared" si="7"/>
        <v>22.287061540651688</v>
      </c>
    </row>
    <row r="90" spans="2:23" x14ac:dyDescent="0.45">
      <c r="B90">
        <v>-5.3045829276604293</v>
      </c>
      <c r="C90">
        <v>0</v>
      </c>
      <c r="D90">
        <v>-5.5511150768909598E-2</v>
      </c>
      <c r="E90">
        <v>-3.5190413837266599</v>
      </c>
      <c r="F90">
        <v>-9.2133511311535593E-11</v>
      </c>
      <c r="G90">
        <v>-3.5190413837266599</v>
      </c>
      <c r="H90">
        <v>-9.2133511311535593E-11</v>
      </c>
      <c r="I90">
        <v>-3.5190413837266599</v>
      </c>
      <c r="J90">
        <f t="shared" si="4"/>
        <v>-1.9896522787241984</v>
      </c>
      <c r="K90">
        <f t="shared" si="5"/>
        <v>1</v>
      </c>
      <c r="L90" cm="1">
        <f t="array" ref="L90">SUMPRODUCT(N(B90:H90*C90:I90&lt;0))</f>
        <v>0</v>
      </c>
      <c r="O90">
        <v>0.178485541067262</v>
      </c>
      <c r="P90">
        <v>0.95039780615288905</v>
      </c>
      <c r="Q90">
        <v>0.218388103778136</v>
      </c>
      <c r="R90">
        <v>0.26382173773226397</v>
      </c>
      <c r="S90">
        <v>0.155531702654604</v>
      </c>
      <c r="T90">
        <v>3.5281014266621898E-2</v>
      </c>
      <c r="U90">
        <v>1.4574396947437399E-2</v>
      </c>
      <c r="V90">
        <f t="shared" si="6"/>
        <v>0.25949718608560202</v>
      </c>
      <c r="W90">
        <f t="shared" si="7"/>
        <v>14.875634871149158</v>
      </c>
    </row>
    <row r="91" spans="2:23" x14ac:dyDescent="0.45">
      <c r="B91">
        <v>-5.3045829276604293</v>
      </c>
      <c r="C91">
        <v>0</v>
      </c>
      <c r="D91">
        <v>-5.5511150768909598E-2</v>
      </c>
      <c r="E91">
        <v>-3.5190413837266599</v>
      </c>
      <c r="F91">
        <v>-9.2133511311535593E-11</v>
      </c>
      <c r="G91">
        <v>-3.5190413837266599</v>
      </c>
      <c r="H91">
        <v>-1.75778596836428</v>
      </c>
      <c r="I91">
        <v>-3.8911795651947499E-10</v>
      </c>
      <c r="J91">
        <f t="shared" si="4"/>
        <v>-1.7694953518410237</v>
      </c>
      <c r="K91">
        <f t="shared" si="5"/>
        <v>1</v>
      </c>
      <c r="L91" cm="1">
        <f t="array" ref="L91">SUMPRODUCT(N(B91:H91*C91:I91&lt;0))</f>
        <v>0</v>
      </c>
      <c r="O91">
        <v>0.17857397463335201</v>
      </c>
      <c r="P91">
        <v>0.94161191039233505</v>
      </c>
      <c r="Q91">
        <v>0.18929621538432101</v>
      </c>
      <c r="R91">
        <v>0.76899990574864996</v>
      </c>
      <c r="S91">
        <v>1.11946296773704</v>
      </c>
      <c r="T91">
        <v>0.87178623855368798</v>
      </c>
      <c r="U91">
        <v>0.119295175775689</v>
      </c>
      <c r="V91">
        <f t="shared" si="6"/>
        <v>0.59843234117501076</v>
      </c>
      <c r="W91">
        <f t="shared" si="7"/>
        <v>34.305038666083419</v>
      </c>
    </row>
    <row r="92" spans="2:23" x14ac:dyDescent="0.45">
      <c r="B92">
        <v>-5.3045829276604293</v>
      </c>
      <c r="C92">
        <v>0</v>
      </c>
      <c r="D92">
        <v>-5.5511150768909598E-2</v>
      </c>
      <c r="E92">
        <v>-3.5190413837266599</v>
      </c>
      <c r="F92">
        <v>-9.2133511311535593E-11</v>
      </c>
      <c r="G92">
        <v>-3.5190413837266599</v>
      </c>
      <c r="H92">
        <v>-9.2133511311535593E-11</v>
      </c>
      <c r="I92">
        <v>-3.5190413837266599</v>
      </c>
      <c r="J92">
        <f t="shared" si="4"/>
        <v>-1.9896522787241984</v>
      </c>
      <c r="K92">
        <f t="shared" si="5"/>
        <v>1</v>
      </c>
      <c r="L92" cm="1">
        <f t="array" ref="L92">SUMPRODUCT(N(B92:H92*C92:I92&lt;0))</f>
        <v>0</v>
      </c>
      <c r="O92">
        <v>0.178485541067262</v>
      </c>
      <c r="P92">
        <v>0.95039780615288905</v>
      </c>
      <c r="Q92">
        <v>0.218388103778136</v>
      </c>
      <c r="R92">
        <v>0.26382173773226397</v>
      </c>
      <c r="S92">
        <v>0.155531702654604</v>
      </c>
      <c r="T92">
        <v>3.5281014266621898E-2</v>
      </c>
      <c r="U92">
        <v>1.4574396947437399E-2</v>
      </c>
      <c r="V92">
        <f t="shared" si="6"/>
        <v>0.25949718608560202</v>
      </c>
      <c r="W92">
        <f t="shared" si="7"/>
        <v>14.875634871149158</v>
      </c>
    </row>
    <row r="93" spans="2:23" x14ac:dyDescent="0.45">
      <c r="B93">
        <v>-5.3045829276604293</v>
      </c>
      <c r="C93">
        <v>0</v>
      </c>
      <c r="D93">
        <v>-5.5511150768909598E-2</v>
      </c>
      <c r="E93">
        <v>1.76299013879221</v>
      </c>
      <c r="F93">
        <v>3.0462949225501701E-12</v>
      </c>
      <c r="G93">
        <v>-6.3622189013744307E-2</v>
      </c>
      <c r="H93">
        <v>7.0848673421582502</v>
      </c>
      <c r="I93">
        <v>-0.710620581419799</v>
      </c>
      <c r="J93">
        <f t="shared" si="4"/>
        <v>0.33919007901132808</v>
      </c>
      <c r="K93">
        <f t="shared" si="5"/>
        <v>4</v>
      </c>
      <c r="L93" cm="1">
        <f t="array" ref="L93">SUMPRODUCT(N(B93:H93*C93:I93&lt;0))</f>
        <v>4</v>
      </c>
      <c r="O93">
        <v>0.14407348342470799</v>
      </c>
      <c r="P93">
        <v>0.71104184088785904</v>
      </c>
      <c r="Q93">
        <v>0.48032554539912498</v>
      </c>
      <c r="R93">
        <v>0.47754672564760797</v>
      </c>
      <c r="S93">
        <v>0.71535603637787204</v>
      </c>
      <c r="T93">
        <v>0.155212952520938</v>
      </c>
      <c r="U93">
        <v>3.7941263872579498E-2</v>
      </c>
      <c r="V93">
        <f t="shared" si="6"/>
        <v>0.38878540687581281</v>
      </c>
      <c r="W93">
        <f t="shared" si="7"/>
        <v>22.287061540651688</v>
      </c>
    </row>
    <row r="94" spans="2:23" x14ac:dyDescent="0.45">
      <c r="B94">
        <v>-5.3045829276604293</v>
      </c>
      <c r="C94">
        <v>0</v>
      </c>
      <c r="D94">
        <v>-5.5511150768909598E-2</v>
      </c>
      <c r="E94">
        <v>-3.5190413837266599</v>
      </c>
      <c r="F94">
        <v>-9.2133511311535593E-11</v>
      </c>
      <c r="G94">
        <v>-3.5190413837266599</v>
      </c>
      <c r="H94">
        <v>-1.75778596836428</v>
      </c>
      <c r="I94">
        <v>-3.8911795651947499E-10</v>
      </c>
      <c r="J94">
        <f t="shared" si="4"/>
        <v>-1.7694953518410237</v>
      </c>
      <c r="K94">
        <f t="shared" si="5"/>
        <v>1</v>
      </c>
      <c r="L94" cm="1">
        <f t="array" ref="L94">SUMPRODUCT(N(B94:H94*C94:I94&lt;0))</f>
        <v>0</v>
      </c>
      <c r="O94">
        <v>0.17857397463335201</v>
      </c>
      <c r="P94">
        <v>0.94161191039233505</v>
      </c>
      <c r="Q94">
        <v>0.18929621538432101</v>
      </c>
      <c r="R94">
        <v>0.76899990574864996</v>
      </c>
      <c r="S94">
        <v>1.11946296773704</v>
      </c>
      <c r="T94">
        <v>0.87178623855368798</v>
      </c>
      <c r="U94">
        <v>0.119295175775689</v>
      </c>
      <c r="V94">
        <f t="shared" si="6"/>
        <v>0.59843234117501076</v>
      </c>
      <c r="W94">
        <f t="shared" si="7"/>
        <v>34.305038666083419</v>
      </c>
    </row>
    <row r="95" spans="2:23" x14ac:dyDescent="0.45">
      <c r="B95">
        <v>-5.3045829276604293</v>
      </c>
      <c r="C95">
        <v>0</v>
      </c>
      <c r="D95">
        <v>-5.5511150768909598E-2</v>
      </c>
      <c r="E95">
        <v>1.76299013879221</v>
      </c>
      <c r="F95">
        <v>3.0462949225501701E-12</v>
      </c>
      <c r="G95">
        <v>-6.3622189013744307E-2</v>
      </c>
      <c r="H95">
        <v>7.0848673421582502</v>
      </c>
      <c r="I95">
        <v>-0.710620581419799</v>
      </c>
      <c r="J95">
        <f t="shared" si="4"/>
        <v>0.33919007901132808</v>
      </c>
      <c r="K95">
        <f t="shared" si="5"/>
        <v>4</v>
      </c>
      <c r="L95" cm="1">
        <f t="array" ref="L95">SUMPRODUCT(N(B95:H95*C95:I95&lt;0))</f>
        <v>4</v>
      </c>
      <c r="O95">
        <v>0.14407348342470799</v>
      </c>
      <c r="P95">
        <v>0.71104184088785904</v>
      </c>
      <c r="Q95">
        <v>0.48032554539912498</v>
      </c>
      <c r="R95">
        <v>0.47754672564760797</v>
      </c>
      <c r="S95">
        <v>0.71535603637787204</v>
      </c>
      <c r="T95">
        <v>0.155212952520938</v>
      </c>
      <c r="U95">
        <v>3.7941263872579498E-2</v>
      </c>
      <c r="V95">
        <f t="shared" si="6"/>
        <v>0.38878540687581281</v>
      </c>
      <c r="W95">
        <f t="shared" si="7"/>
        <v>22.287061540651688</v>
      </c>
    </row>
    <row r="96" spans="2:23" x14ac:dyDescent="0.45">
      <c r="B96">
        <v>-5.3045829276604293</v>
      </c>
      <c r="C96">
        <v>0</v>
      </c>
      <c r="D96">
        <v>-5.5511150768909598E-2</v>
      </c>
      <c r="E96">
        <v>-3.5190413837266599</v>
      </c>
      <c r="F96">
        <v>-9.2133511311535593E-11</v>
      </c>
      <c r="G96">
        <v>-3.5190413837266599</v>
      </c>
      <c r="H96">
        <v>-1.75778596836428</v>
      </c>
      <c r="I96">
        <v>-3.8911795651947499E-10</v>
      </c>
      <c r="J96">
        <f t="shared" si="4"/>
        <v>-1.7694953518410237</v>
      </c>
      <c r="K96">
        <f t="shared" si="5"/>
        <v>1</v>
      </c>
      <c r="L96" cm="1">
        <f t="array" ref="L96">SUMPRODUCT(N(B96:H96*C96:I96&lt;0))</f>
        <v>0</v>
      </c>
      <c r="O96">
        <v>0.17857397463335201</v>
      </c>
      <c r="P96">
        <v>0.94161191039233505</v>
      </c>
      <c r="Q96">
        <v>0.18929621538432101</v>
      </c>
      <c r="R96">
        <v>0.76899990574864996</v>
      </c>
      <c r="S96">
        <v>1.11946296773704</v>
      </c>
      <c r="T96">
        <v>0.87178623855368798</v>
      </c>
      <c r="U96">
        <v>0.119295175775689</v>
      </c>
      <c r="V96">
        <f t="shared" si="6"/>
        <v>0.59843234117501076</v>
      </c>
      <c r="W96">
        <f t="shared" si="7"/>
        <v>34.305038666083419</v>
      </c>
    </row>
    <row r="97" spans="2:23" x14ac:dyDescent="0.45">
      <c r="B97">
        <v>-5.3045829276604293</v>
      </c>
      <c r="C97">
        <v>0</v>
      </c>
      <c r="D97">
        <v>-5.5511150768909598E-2</v>
      </c>
      <c r="E97">
        <v>1.76299013879221</v>
      </c>
      <c r="F97">
        <v>3.0462949225501701E-12</v>
      </c>
      <c r="G97">
        <v>-6.3622189013744307E-2</v>
      </c>
      <c r="H97">
        <v>7.0848673421582502</v>
      </c>
      <c r="I97">
        <v>-0.710620581419799</v>
      </c>
      <c r="J97">
        <f t="shared" si="4"/>
        <v>0.33919007901132808</v>
      </c>
      <c r="K97">
        <f t="shared" si="5"/>
        <v>4</v>
      </c>
      <c r="L97" cm="1">
        <f t="array" ref="L97">SUMPRODUCT(N(B97:H97*C97:I97&lt;0))</f>
        <v>4</v>
      </c>
      <c r="O97">
        <v>0.14407348342470799</v>
      </c>
      <c r="P97">
        <v>0.71104184088785904</v>
      </c>
      <c r="Q97">
        <v>0.48032554539912498</v>
      </c>
      <c r="R97">
        <v>0.47754672564760797</v>
      </c>
      <c r="S97">
        <v>0.71535603637787204</v>
      </c>
      <c r="T97">
        <v>0.155212952520938</v>
      </c>
      <c r="U97">
        <v>3.7941263872579498E-2</v>
      </c>
      <c r="V97">
        <f t="shared" si="6"/>
        <v>0.38878540687581281</v>
      </c>
      <c r="W97">
        <f t="shared" si="7"/>
        <v>22.287061540651688</v>
      </c>
    </row>
    <row r="98" spans="2:23" x14ac:dyDescent="0.45">
      <c r="B98">
        <v>-5.3045829276604293</v>
      </c>
      <c r="C98">
        <v>0</v>
      </c>
      <c r="D98">
        <v>-5.5511150768909598E-2</v>
      </c>
      <c r="E98">
        <v>-3.5190413837266599</v>
      </c>
      <c r="F98">
        <v>-1.75778596836428</v>
      </c>
      <c r="G98">
        <v>-3.8911795651947499E-10</v>
      </c>
      <c r="H98">
        <v>2.79653954007231E-4</v>
      </c>
      <c r="I98">
        <v>-3.5209268652589603</v>
      </c>
      <c r="J98">
        <f t="shared" si="4"/>
        <v>-1.7696960802767938</v>
      </c>
      <c r="K98">
        <f t="shared" si="5"/>
        <v>2</v>
      </c>
      <c r="L98" cm="1">
        <f t="array" ref="L98">SUMPRODUCT(N(B98:H98*C98:I98&lt;0))</f>
        <v>2</v>
      </c>
      <c r="O98">
        <v>0.180824974347676</v>
      </c>
      <c r="P98">
        <v>0.86748132821930302</v>
      </c>
      <c r="Q98">
        <v>2.4900412368091701E-3</v>
      </c>
      <c r="R98">
        <v>0.87470119581085204</v>
      </c>
      <c r="S98">
        <v>0.19559633122085501</v>
      </c>
      <c r="T98">
        <v>5.0296076868244E-2</v>
      </c>
      <c r="U98">
        <v>1.35433278970914E-2</v>
      </c>
      <c r="V98">
        <f t="shared" si="6"/>
        <v>0.31213332508583297</v>
      </c>
      <c r="W98">
        <f t="shared" si="7"/>
        <v>17.892993157786602</v>
      </c>
    </row>
    <row r="99" spans="2:23" x14ac:dyDescent="0.45">
      <c r="B99">
        <v>-5.3045829276604293</v>
      </c>
      <c r="C99">
        <v>0</v>
      </c>
      <c r="D99">
        <v>-5.5511150768909598E-2</v>
      </c>
      <c r="E99">
        <v>1.76299013879221</v>
      </c>
      <c r="F99">
        <v>3.0462949225501701E-12</v>
      </c>
      <c r="G99">
        <v>-6.3622189013744307E-2</v>
      </c>
      <c r="H99">
        <v>7.0848673421582502</v>
      </c>
      <c r="I99">
        <v>-0.710620581419799</v>
      </c>
      <c r="J99">
        <f t="shared" si="4"/>
        <v>0.33919007901132808</v>
      </c>
      <c r="K99">
        <f t="shared" si="5"/>
        <v>4</v>
      </c>
      <c r="L99" cm="1">
        <f t="array" ref="L99">SUMPRODUCT(N(B99:H99*C99:I99&lt;0))</f>
        <v>4</v>
      </c>
      <c r="O99">
        <v>0.14407348342470799</v>
      </c>
      <c r="P99">
        <v>0.71104184088785904</v>
      </c>
      <c r="Q99">
        <v>0.48032554539912498</v>
      </c>
      <c r="R99">
        <v>0.47754672564760797</v>
      </c>
      <c r="S99">
        <v>0.71535603637787204</v>
      </c>
      <c r="T99">
        <v>0.155212952520938</v>
      </c>
      <c r="U99">
        <v>3.7941263872579498E-2</v>
      </c>
      <c r="V99">
        <f t="shared" si="6"/>
        <v>0.38878540687581281</v>
      </c>
      <c r="W99">
        <f t="shared" si="7"/>
        <v>22.287061540651688</v>
      </c>
    </row>
    <row r="100" spans="2:23" x14ac:dyDescent="0.45">
      <c r="B100">
        <v>-5.3045829276604293</v>
      </c>
      <c r="C100">
        <v>0</v>
      </c>
      <c r="D100">
        <v>-5.5511150768909598E-2</v>
      </c>
      <c r="E100">
        <v>1.76299013879221</v>
      </c>
      <c r="F100">
        <v>3.0462949225501701E-12</v>
      </c>
      <c r="G100">
        <v>-6.3622189013744307E-2</v>
      </c>
      <c r="H100">
        <v>7.0848673421582502</v>
      </c>
      <c r="I100">
        <v>-0.710620581419799</v>
      </c>
      <c r="J100">
        <f t="shared" si="4"/>
        <v>0.33919007901132808</v>
      </c>
      <c r="K100">
        <f t="shared" si="5"/>
        <v>4</v>
      </c>
      <c r="L100" cm="1">
        <f t="array" ref="L100">SUMPRODUCT(N(B100:H100*C100:I100&lt;0))</f>
        <v>4</v>
      </c>
      <c r="O100">
        <v>0.14407348342470799</v>
      </c>
      <c r="P100">
        <v>0.71104184088785904</v>
      </c>
      <c r="Q100">
        <v>0.48032554539912498</v>
      </c>
      <c r="R100">
        <v>0.47754672564760797</v>
      </c>
      <c r="S100">
        <v>0.71535603637787204</v>
      </c>
      <c r="T100">
        <v>0.155212952520938</v>
      </c>
      <c r="U100">
        <v>3.7941263872579498E-2</v>
      </c>
      <c r="V100">
        <f t="shared" si="6"/>
        <v>0.38878540687581281</v>
      </c>
      <c r="W100">
        <f t="shared" si="7"/>
        <v>22.287061540651688</v>
      </c>
    </row>
    <row r="101" spans="2:23" x14ac:dyDescent="0.45">
      <c r="B101">
        <v>-5.3045829276604293</v>
      </c>
      <c r="C101">
        <v>0</v>
      </c>
      <c r="D101">
        <v>-5.5511150768909598E-2</v>
      </c>
      <c r="E101">
        <v>1.76299013879221</v>
      </c>
      <c r="F101">
        <v>3.0462949225501701E-12</v>
      </c>
      <c r="G101">
        <v>-6.3622189013744307E-2</v>
      </c>
      <c r="H101">
        <v>7.0848673421582502</v>
      </c>
      <c r="I101">
        <v>-0.710620581419799</v>
      </c>
      <c r="J101">
        <f t="shared" si="4"/>
        <v>0.33919007901132808</v>
      </c>
      <c r="K101">
        <f t="shared" si="5"/>
        <v>4</v>
      </c>
      <c r="L101" cm="1">
        <f t="array" ref="L101">SUMPRODUCT(N(B101:H101*C101:I101&lt;0))</f>
        <v>4</v>
      </c>
      <c r="O101">
        <v>0.14407348342470799</v>
      </c>
      <c r="P101">
        <v>0.71104184088785904</v>
      </c>
      <c r="Q101">
        <v>0.48032554539912498</v>
      </c>
      <c r="R101">
        <v>0.47754672564760797</v>
      </c>
      <c r="S101">
        <v>0.71535603637787204</v>
      </c>
      <c r="T101">
        <v>0.155212952520938</v>
      </c>
      <c r="U101">
        <v>3.7941263872579498E-2</v>
      </c>
      <c r="V101">
        <f t="shared" si="6"/>
        <v>0.38878540687581281</v>
      </c>
      <c r="W101">
        <f t="shared" si="7"/>
        <v>22.287061540651688</v>
      </c>
    </row>
    <row r="104" spans="2:23" x14ac:dyDescent="0.45">
      <c r="I104" t="s">
        <v>1</v>
      </c>
      <c r="J104">
        <f>AVERAGE(J2:J101)</f>
        <v>-0.74730956288261841</v>
      </c>
      <c r="K104">
        <f t="shared" ref="K104:L104" si="8">AVERAGE(K2:K101)</f>
        <v>2.78</v>
      </c>
      <c r="L104">
        <f t="shared" si="8"/>
        <v>2.58</v>
      </c>
      <c r="V104">
        <f>AVERAGE(V2:V101)</f>
        <v>0.39100359465506801</v>
      </c>
      <c r="W104">
        <f>AVERAGE(W2:W101)</f>
        <v>22.414218801882889</v>
      </c>
    </row>
    <row r="105" spans="2:23" x14ac:dyDescent="0.45">
      <c r="I105" t="s">
        <v>7</v>
      </c>
      <c r="J105">
        <f>_xlfn.VAR.S(J2:J101)</f>
        <v>1.1478497572184849</v>
      </c>
      <c r="K105">
        <f t="shared" ref="K105:L105" si="9">_xlfn.VAR.S(K2:K101)</f>
        <v>1.5672727272727269</v>
      </c>
      <c r="L105">
        <f t="shared" si="9"/>
        <v>2.4480808080808081</v>
      </c>
      <c r="W105">
        <f>_xlfn.VAR.S(W2:W101)</f>
        <v>33.555273027709966</v>
      </c>
    </row>
    <row r="106" spans="2:23" x14ac:dyDescent="0.45">
      <c r="I106" t="s">
        <v>8</v>
      </c>
      <c r="J106">
        <f>J105/(50^(1/2))</f>
        <v>0.16233046942250456</v>
      </c>
      <c r="K106">
        <f t="shared" ref="K106:L106" si="10">K105/(50^(1/2))</f>
        <v>0.22164583468465593</v>
      </c>
      <c r="L106">
        <f t="shared" si="10"/>
        <v>0.34621090805731647</v>
      </c>
      <c r="W106">
        <f>W105/(50^(1/2))</f>
        <v>4.7454322204919537</v>
      </c>
    </row>
    <row r="107" spans="2:23" x14ac:dyDescent="0.45">
      <c r="K107">
        <f>COUNTIF(K2:K101,"&lt;=2")</f>
        <v>51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EAFE-A4E3-4397-A7D5-61584851E310}">
  <dimension ref="A1:AM105"/>
  <sheetViews>
    <sheetView workbookViewId="0">
      <selection activeCell="B103" sqref="B103:O105"/>
    </sheetView>
  </sheetViews>
  <sheetFormatPr defaultRowHeight="18" x14ac:dyDescent="0.45"/>
  <sheetData>
    <row r="1" spans="1:39" x14ac:dyDescent="0.45">
      <c r="A1" t="s">
        <v>12</v>
      </c>
      <c r="B1" t="s">
        <v>44</v>
      </c>
      <c r="C1" t="s">
        <v>9</v>
      </c>
      <c r="D1" t="s">
        <v>10</v>
      </c>
      <c r="E1" t="s">
        <v>11</v>
      </c>
      <c r="G1" t="s">
        <v>45</v>
      </c>
      <c r="H1" t="s">
        <v>9</v>
      </c>
      <c r="I1" t="s">
        <v>10</v>
      </c>
      <c r="J1" t="s">
        <v>11</v>
      </c>
      <c r="L1" t="s">
        <v>4</v>
      </c>
      <c r="M1" t="s">
        <v>9</v>
      </c>
      <c r="N1" t="s">
        <v>10</v>
      </c>
      <c r="O1" t="s">
        <v>11</v>
      </c>
    </row>
    <row r="2" spans="1:39" x14ac:dyDescent="0.45">
      <c r="C2">
        <v>-1.9896522787241984</v>
      </c>
      <c r="D2">
        <v>-1.9896522787241984</v>
      </c>
      <c r="E2">
        <v>-1.7696960802767938</v>
      </c>
      <c r="H2">
        <v>1</v>
      </c>
      <c r="I2">
        <v>1</v>
      </c>
      <c r="J2">
        <v>2</v>
      </c>
      <c r="M2">
        <v>14.875634871149158</v>
      </c>
      <c r="N2">
        <v>22.287061540651688</v>
      </c>
      <c r="O2">
        <v>22.287061540651688</v>
      </c>
      <c r="Q2" t="s">
        <v>15</v>
      </c>
      <c r="Y2" t="s">
        <v>15</v>
      </c>
      <c r="AG2" t="s">
        <v>15</v>
      </c>
    </row>
    <row r="3" spans="1:39" x14ac:dyDescent="0.45">
      <c r="C3">
        <v>0.33919007901132808</v>
      </c>
      <c r="D3">
        <v>-1.7696960802767938</v>
      </c>
      <c r="E3">
        <v>0.33919007901132808</v>
      </c>
      <c r="H3">
        <v>4</v>
      </c>
      <c r="I3">
        <v>2</v>
      </c>
      <c r="J3">
        <v>4</v>
      </c>
      <c r="M3">
        <v>17.892993157786602</v>
      </c>
      <c r="N3">
        <v>34.305038666083419</v>
      </c>
      <c r="O3">
        <v>22.287061540651688</v>
      </c>
    </row>
    <row r="4" spans="1:39" ht="18.600000000000001" thickBot="1" x14ac:dyDescent="0.5">
      <c r="C4">
        <v>-1.7696960802767938</v>
      </c>
      <c r="D4">
        <v>-1.7694953518410237</v>
      </c>
      <c r="E4">
        <v>-1.7694953518410237</v>
      </c>
      <c r="H4">
        <v>2</v>
      </c>
      <c r="I4">
        <v>1</v>
      </c>
      <c r="J4">
        <v>1</v>
      </c>
      <c r="M4">
        <v>22.287061540651688</v>
      </c>
      <c r="N4">
        <v>17.892993157786602</v>
      </c>
      <c r="O4">
        <v>34.305038666083419</v>
      </c>
      <c r="Q4" t="s">
        <v>16</v>
      </c>
      <c r="Y4" t="s">
        <v>16</v>
      </c>
      <c r="AG4" t="s">
        <v>16</v>
      </c>
    </row>
    <row r="5" spans="1:39" x14ac:dyDescent="0.45">
      <c r="C5">
        <v>0.33919007901132808</v>
      </c>
      <c r="D5">
        <v>0.33919007901132808</v>
      </c>
      <c r="E5">
        <v>-1.7694953518410237</v>
      </c>
      <c r="H5">
        <v>4</v>
      </c>
      <c r="I5">
        <v>4</v>
      </c>
      <c r="J5">
        <v>1</v>
      </c>
      <c r="M5">
        <v>22.287061540651688</v>
      </c>
      <c r="N5">
        <v>22.287061540651688</v>
      </c>
      <c r="O5">
        <v>17.892993157786602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Y5" s="2" t="s">
        <v>17</v>
      </c>
      <c r="Z5" s="2" t="s">
        <v>18</v>
      </c>
      <c r="AA5" s="2" t="s">
        <v>19</v>
      </c>
      <c r="AB5" s="2" t="s">
        <v>20</v>
      </c>
      <c r="AC5" s="2" t="s">
        <v>21</v>
      </c>
      <c r="AG5" s="2" t="s">
        <v>17</v>
      </c>
      <c r="AH5" s="2" t="s">
        <v>18</v>
      </c>
      <c r="AI5" s="2" t="s">
        <v>19</v>
      </c>
      <c r="AJ5" s="2" t="s">
        <v>20</v>
      </c>
      <c r="AK5" s="2" t="s">
        <v>21</v>
      </c>
    </row>
    <row r="6" spans="1:39" x14ac:dyDescent="0.45">
      <c r="C6">
        <v>-1.7696960802767938</v>
      </c>
      <c r="D6">
        <v>0.33919007901132808</v>
      </c>
      <c r="E6">
        <v>0.33919007901132808</v>
      </c>
      <c r="H6">
        <v>2</v>
      </c>
      <c r="I6">
        <v>4</v>
      </c>
      <c r="J6">
        <v>4</v>
      </c>
      <c r="M6">
        <v>22.287061540651688</v>
      </c>
      <c r="N6">
        <v>22.287061540651688</v>
      </c>
      <c r="O6">
        <v>14.875634871149158</v>
      </c>
      <c r="Q6" t="s">
        <v>22</v>
      </c>
      <c r="R6">
        <v>100</v>
      </c>
      <c r="S6">
        <v>-87.695356120495759</v>
      </c>
      <c r="T6">
        <v>-0.8769535612049576</v>
      </c>
      <c r="U6">
        <v>1.1542434475566363</v>
      </c>
      <c r="Y6" t="s">
        <v>22</v>
      </c>
      <c r="Z6">
        <v>100</v>
      </c>
      <c r="AA6">
        <v>265</v>
      </c>
      <c r="AB6">
        <v>2.65</v>
      </c>
      <c r="AC6">
        <v>1.542929292929293</v>
      </c>
      <c r="AG6" t="s">
        <v>22</v>
      </c>
      <c r="AH6">
        <v>101</v>
      </c>
      <c r="AI6">
        <v>2255.7090519484486</v>
      </c>
      <c r="AJ6">
        <v>22.3337529895886</v>
      </c>
      <c r="AK6">
        <v>37.698917833273299</v>
      </c>
    </row>
    <row r="7" spans="1:39" x14ac:dyDescent="0.45">
      <c r="C7">
        <v>-1.7696960802767938</v>
      </c>
      <c r="D7">
        <v>0.33919007901132808</v>
      </c>
      <c r="E7">
        <v>-1.7696960802767938</v>
      </c>
      <c r="H7">
        <v>2</v>
      </c>
      <c r="I7">
        <v>4</v>
      </c>
      <c r="J7">
        <v>2</v>
      </c>
      <c r="M7">
        <v>17.892993157786602</v>
      </c>
      <c r="N7">
        <v>22.287061540651688</v>
      </c>
      <c r="O7">
        <v>17.892993157786602</v>
      </c>
      <c r="Q7" t="s">
        <v>23</v>
      </c>
      <c r="R7">
        <v>100</v>
      </c>
      <c r="S7">
        <v>-46.965055518445922</v>
      </c>
      <c r="T7">
        <v>-0.4696505551844592</v>
      </c>
      <c r="U7">
        <v>1.0760786750234861</v>
      </c>
      <c r="Y7" t="s">
        <v>23</v>
      </c>
      <c r="Z7">
        <v>100</v>
      </c>
      <c r="AA7">
        <v>302</v>
      </c>
      <c r="AB7">
        <v>3.02</v>
      </c>
      <c r="AC7">
        <v>1.6157575757575762</v>
      </c>
      <c r="AG7" t="s">
        <v>23</v>
      </c>
      <c r="AH7">
        <v>101</v>
      </c>
      <c r="AI7">
        <v>2197.235220446948</v>
      </c>
      <c r="AJ7">
        <v>21.754804162841069</v>
      </c>
      <c r="AK7">
        <v>21.924753769842283</v>
      </c>
    </row>
    <row r="8" spans="1:39" ht="18.600000000000001" thickBot="1" x14ac:dyDescent="0.5">
      <c r="C8">
        <v>0.33919007901132808</v>
      </c>
      <c r="D8">
        <v>-1.7694953518410237</v>
      </c>
      <c r="E8">
        <v>-1.7696960802767938</v>
      </c>
      <c r="H8">
        <v>4</v>
      </c>
      <c r="I8">
        <v>1</v>
      </c>
      <c r="J8">
        <v>2</v>
      </c>
      <c r="M8">
        <v>34.305038666083419</v>
      </c>
      <c r="N8">
        <v>22.287061540651688</v>
      </c>
      <c r="O8">
        <v>22.287061540651688</v>
      </c>
      <c r="Q8" s="1" t="s">
        <v>24</v>
      </c>
      <c r="R8" s="1">
        <v>100</v>
      </c>
      <c r="S8" s="1">
        <v>-74.730956288261837</v>
      </c>
      <c r="T8" s="1">
        <v>-0.74730956288261841</v>
      </c>
      <c r="U8" s="1">
        <v>1.1478497572184849</v>
      </c>
      <c r="Y8" s="1" t="s">
        <v>24</v>
      </c>
      <c r="Z8" s="1">
        <v>100</v>
      </c>
      <c r="AA8" s="1">
        <v>278</v>
      </c>
      <c r="AB8" s="1">
        <v>2.78</v>
      </c>
      <c r="AC8" s="1">
        <v>1.5672727272727269</v>
      </c>
      <c r="AG8" s="1" t="s">
        <v>24</v>
      </c>
      <c r="AH8" s="1">
        <v>101</v>
      </c>
      <c r="AI8" s="1">
        <v>2263.8360989901716</v>
      </c>
      <c r="AJ8" s="1">
        <v>22.414218801882889</v>
      </c>
      <c r="AK8" s="1">
        <v>33.219720297432872</v>
      </c>
    </row>
    <row r="9" spans="1:39" x14ac:dyDescent="0.45">
      <c r="C9">
        <v>-1.9896522787241984</v>
      </c>
      <c r="D9">
        <v>0.33919007901132808</v>
      </c>
      <c r="E9">
        <v>0.33919007901132808</v>
      </c>
      <c r="H9">
        <v>1</v>
      </c>
      <c r="I9">
        <v>4</v>
      </c>
      <c r="J9">
        <v>4</v>
      </c>
      <c r="M9">
        <v>22.287061540651688</v>
      </c>
      <c r="N9">
        <v>22.287061540651688</v>
      </c>
      <c r="O9">
        <v>22.287061540651688</v>
      </c>
    </row>
    <row r="10" spans="1:39" x14ac:dyDescent="0.45">
      <c r="C10">
        <v>0.33919007901132808</v>
      </c>
      <c r="D10">
        <v>0.33919007901132808</v>
      </c>
      <c r="E10">
        <v>-1.7696960802767938</v>
      </c>
      <c r="H10">
        <v>4</v>
      </c>
      <c r="I10">
        <v>4</v>
      </c>
      <c r="J10">
        <v>2</v>
      </c>
      <c r="M10">
        <v>14.875634871149158</v>
      </c>
      <c r="N10">
        <v>22.287061540651688</v>
      </c>
      <c r="O10">
        <v>22.287061540651688</v>
      </c>
    </row>
    <row r="11" spans="1:39" ht="18.600000000000001" thickBot="1" x14ac:dyDescent="0.5">
      <c r="C11">
        <v>0.33919007901132808</v>
      </c>
      <c r="D11">
        <v>0.33919007901132808</v>
      </c>
      <c r="E11">
        <v>0.33919007901132808</v>
      </c>
      <c r="H11">
        <v>4</v>
      </c>
      <c r="I11">
        <v>4</v>
      </c>
      <c r="J11">
        <v>4</v>
      </c>
      <c r="M11">
        <v>34.305038666083419</v>
      </c>
      <c r="N11">
        <v>17.892993157786602</v>
      </c>
      <c r="O11">
        <v>22.287061540651688</v>
      </c>
      <c r="Q11" t="s">
        <v>25</v>
      </c>
      <c r="Y11" t="s">
        <v>25</v>
      </c>
      <c r="AG11" t="s">
        <v>25</v>
      </c>
    </row>
    <row r="12" spans="1:39" x14ac:dyDescent="0.45">
      <c r="C12">
        <v>-1.7696960802767938</v>
      </c>
      <c r="D12">
        <v>0.33919007901132808</v>
      </c>
      <c r="E12">
        <v>0.33919007901132808</v>
      </c>
      <c r="H12">
        <v>2</v>
      </c>
      <c r="I12">
        <v>4</v>
      </c>
      <c r="J12">
        <v>4</v>
      </c>
      <c r="M12">
        <v>22.287061540651688</v>
      </c>
      <c r="N12">
        <v>21.025072893823587</v>
      </c>
      <c r="O12">
        <v>17.892993157786602</v>
      </c>
      <c r="Q12" s="2" t="s">
        <v>26</v>
      </c>
      <c r="R12" s="2" t="s">
        <v>27</v>
      </c>
      <c r="S12" s="2" t="s">
        <v>28</v>
      </c>
      <c r="T12" s="2" t="s">
        <v>21</v>
      </c>
      <c r="U12" s="2" t="s">
        <v>29</v>
      </c>
      <c r="V12" s="2" t="s">
        <v>30</v>
      </c>
      <c r="W12" s="2" t="s">
        <v>31</v>
      </c>
      <c r="Y12" s="2" t="s">
        <v>26</v>
      </c>
      <c r="Z12" s="2" t="s">
        <v>27</v>
      </c>
      <c r="AA12" s="2" t="s">
        <v>28</v>
      </c>
      <c r="AB12" s="2" t="s">
        <v>21</v>
      </c>
      <c r="AC12" s="2" t="s">
        <v>29</v>
      </c>
      <c r="AD12" s="2" t="s">
        <v>30</v>
      </c>
      <c r="AE12" s="2" t="s">
        <v>31</v>
      </c>
      <c r="AG12" s="2" t="s">
        <v>26</v>
      </c>
      <c r="AH12" s="2" t="s">
        <v>27</v>
      </c>
      <c r="AI12" s="2" t="s">
        <v>28</v>
      </c>
      <c r="AJ12" s="2" t="s">
        <v>21</v>
      </c>
      <c r="AK12" s="2" t="s">
        <v>29</v>
      </c>
      <c r="AL12" s="2" t="s">
        <v>30</v>
      </c>
      <c r="AM12" s="2" t="s">
        <v>31</v>
      </c>
    </row>
    <row r="13" spans="1:39" x14ac:dyDescent="0.45">
      <c r="C13">
        <v>-1.9896522787241984</v>
      </c>
      <c r="D13">
        <v>-1.9896522787241984</v>
      </c>
      <c r="E13">
        <v>-1.7696960802767938</v>
      </c>
      <c r="H13">
        <v>1</v>
      </c>
      <c r="I13">
        <v>1</v>
      </c>
      <c r="J13">
        <v>2</v>
      </c>
      <c r="M13">
        <v>22.287061540651688</v>
      </c>
      <c r="N13">
        <v>17.892993157786602</v>
      </c>
      <c r="O13">
        <v>22.287061540651688</v>
      </c>
      <c r="Q13" t="s">
        <v>32</v>
      </c>
      <c r="R13">
        <v>8.659927652342617</v>
      </c>
      <c r="S13">
        <v>2</v>
      </c>
      <c r="T13">
        <v>4.3299638261713085</v>
      </c>
      <c r="U13">
        <v>3.8452429126514214</v>
      </c>
      <c r="V13">
        <v>2.2453656319983972E-2</v>
      </c>
      <c r="W13">
        <v>3.0261533685653901</v>
      </c>
      <c r="Y13" t="s">
        <v>32</v>
      </c>
      <c r="Z13">
        <v>7.0466666666649758</v>
      </c>
      <c r="AA13">
        <v>2</v>
      </c>
      <c r="AB13">
        <v>3.5233333333324879</v>
      </c>
      <c r="AC13">
        <v>2.2365828114641868</v>
      </c>
      <c r="AD13">
        <v>0.1086191807844531</v>
      </c>
      <c r="AE13">
        <v>3.0261533685653901</v>
      </c>
      <c r="AG13" t="s">
        <v>32</v>
      </c>
      <c r="AH13">
        <v>26.141633289818856</v>
      </c>
      <c r="AI13">
        <v>2</v>
      </c>
      <c r="AJ13">
        <v>13.070816644909428</v>
      </c>
      <c r="AK13">
        <v>0.42235046708259794</v>
      </c>
      <c r="AL13">
        <v>0.65589341449800043</v>
      </c>
      <c r="AM13">
        <v>3.0258471257117741</v>
      </c>
    </row>
    <row r="14" spans="1:39" x14ac:dyDescent="0.45">
      <c r="C14">
        <v>-1.7694953518410237</v>
      </c>
      <c r="D14">
        <v>-1.7694953518410237</v>
      </c>
      <c r="E14">
        <v>0.33919007901132808</v>
      </c>
      <c r="H14">
        <v>1</v>
      </c>
      <c r="I14">
        <v>1</v>
      </c>
      <c r="J14">
        <v>4</v>
      </c>
      <c r="M14">
        <v>17.892993157786602</v>
      </c>
      <c r="N14">
        <v>17.892993157786602</v>
      </c>
      <c r="O14">
        <v>14.875634871149158</v>
      </c>
      <c r="Q14" t="s">
        <v>33</v>
      </c>
      <c r="R14">
        <v>334.43901610006213</v>
      </c>
      <c r="S14">
        <v>297</v>
      </c>
      <c r="T14">
        <v>1.1260572932662025</v>
      </c>
      <c r="Y14" t="s">
        <v>33</v>
      </c>
      <c r="Z14">
        <v>467.86999999999989</v>
      </c>
      <c r="AA14">
        <v>297</v>
      </c>
      <c r="AB14">
        <v>1.575319865319865</v>
      </c>
      <c r="AG14" t="s">
        <v>33</v>
      </c>
      <c r="AH14">
        <v>9284.3391900545976</v>
      </c>
      <c r="AI14">
        <v>300</v>
      </c>
      <c r="AJ14">
        <v>30.947797300181993</v>
      </c>
    </row>
    <row r="15" spans="1:39" x14ac:dyDescent="0.45">
      <c r="C15">
        <v>0.33919007901132808</v>
      </c>
      <c r="D15">
        <v>0.33919007901132808</v>
      </c>
      <c r="E15">
        <v>-1.7696960802767938</v>
      </c>
      <c r="H15">
        <v>4</v>
      </c>
      <c r="I15">
        <v>4</v>
      </c>
      <c r="J15">
        <v>2</v>
      </c>
      <c r="M15">
        <v>17.892993157786602</v>
      </c>
      <c r="N15">
        <v>22.287061540651688</v>
      </c>
      <c r="O15">
        <v>34.305038666083419</v>
      </c>
    </row>
    <row r="16" spans="1:39" ht="18.600000000000001" thickBot="1" x14ac:dyDescent="0.5">
      <c r="C16">
        <v>0.33919007901132808</v>
      </c>
      <c r="D16">
        <v>-1.7696960802767938</v>
      </c>
      <c r="E16">
        <v>-1.7696960802767938</v>
      </c>
      <c r="H16">
        <v>4</v>
      </c>
      <c r="I16">
        <v>2</v>
      </c>
      <c r="J16">
        <v>2</v>
      </c>
      <c r="M16">
        <v>17.892993157786602</v>
      </c>
      <c r="N16">
        <v>22.287061540651688</v>
      </c>
      <c r="O16">
        <v>22.287061540651688</v>
      </c>
      <c r="Q16" s="1" t="s">
        <v>19</v>
      </c>
      <c r="R16" s="1">
        <v>343.09894375240475</v>
      </c>
      <c r="S16" s="1">
        <v>299</v>
      </c>
      <c r="T16" s="1"/>
      <c r="U16" s="1"/>
      <c r="V16" s="1"/>
      <c r="W16" s="1"/>
      <c r="Y16" s="1" t="s">
        <v>19</v>
      </c>
      <c r="Z16" s="1">
        <v>474.91666666666487</v>
      </c>
      <c r="AA16" s="1">
        <v>299</v>
      </c>
      <c r="AB16" s="1"/>
      <c r="AC16" s="1"/>
      <c r="AD16" s="1"/>
      <c r="AE16" s="1"/>
      <c r="AG16" s="1" t="s">
        <v>19</v>
      </c>
      <c r="AH16" s="1">
        <v>9310.4808233444164</v>
      </c>
      <c r="AI16" s="1">
        <v>302</v>
      </c>
      <c r="AJ16" s="1"/>
      <c r="AK16" s="1"/>
      <c r="AL16" s="1"/>
      <c r="AM16" s="1"/>
    </row>
    <row r="17" spans="3:24" x14ac:dyDescent="0.45">
      <c r="C17">
        <v>0.33919007901132808</v>
      </c>
      <c r="D17">
        <v>0.33919007901132808</v>
      </c>
      <c r="E17">
        <v>0.33919007901132808</v>
      </c>
      <c r="H17">
        <v>4</v>
      </c>
      <c r="I17">
        <v>4</v>
      </c>
      <c r="J17">
        <v>4</v>
      </c>
      <c r="M17">
        <v>17.892993157786602</v>
      </c>
      <c r="N17">
        <v>14.875634871149158</v>
      </c>
      <c r="O17">
        <v>22.287061540651688</v>
      </c>
    </row>
    <row r="18" spans="3:24" x14ac:dyDescent="0.45">
      <c r="C18">
        <v>0.33919007901132808</v>
      </c>
      <c r="D18">
        <v>0.33919007901132808</v>
      </c>
      <c r="E18">
        <v>0.33919007901132808</v>
      </c>
      <c r="H18">
        <v>4</v>
      </c>
      <c r="I18">
        <v>4</v>
      </c>
      <c r="J18">
        <v>4</v>
      </c>
      <c r="M18">
        <v>17.892993157786602</v>
      </c>
      <c r="N18">
        <v>22.287061540651688</v>
      </c>
      <c r="O18">
        <v>34.305038666083419</v>
      </c>
    </row>
    <row r="19" spans="3:24" x14ac:dyDescent="0.45">
      <c r="C19">
        <v>-1.7696960802767938</v>
      </c>
      <c r="D19">
        <v>-0.10027403261774659</v>
      </c>
      <c r="E19">
        <v>-1.7694953518410237</v>
      </c>
      <c r="H19">
        <v>2</v>
      </c>
      <c r="I19">
        <v>3</v>
      </c>
      <c r="J19">
        <v>1</v>
      </c>
      <c r="M19">
        <v>14.875634871149158</v>
      </c>
      <c r="N19">
        <v>22.287061540651688</v>
      </c>
      <c r="O19">
        <v>22.287061540651688</v>
      </c>
    </row>
    <row r="20" spans="3:24" x14ac:dyDescent="0.45">
      <c r="C20">
        <v>-1.7696960802767938</v>
      </c>
      <c r="D20">
        <v>0.33919007901132808</v>
      </c>
      <c r="E20">
        <v>0.33919007901132808</v>
      </c>
      <c r="H20">
        <v>2</v>
      </c>
      <c r="I20">
        <v>4</v>
      </c>
      <c r="J20">
        <v>4</v>
      </c>
      <c r="M20">
        <v>22.287061540651688</v>
      </c>
      <c r="N20">
        <v>22.287061540651688</v>
      </c>
      <c r="O20">
        <v>22.287061540651688</v>
      </c>
      <c r="Q20" t="s">
        <v>34</v>
      </c>
      <c r="V20" t="s">
        <v>34</v>
      </c>
    </row>
    <row r="21" spans="3:24" ht="18.600000000000001" thickBot="1" x14ac:dyDescent="0.5">
      <c r="C21">
        <v>-1.7696960802767938</v>
      </c>
      <c r="D21">
        <v>0.33919007901132808</v>
      </c>
      <c r="E21">
        <v>0.33919007901132808</v>
      </c>
      <c r="H21">
        <v>2</v>
      </c>
      <c r="I21">
        <v>4</v>
      </c>
      <c r="J21">
        <v>4</v>
      </c>
      <c r="M21">
        <v>22.287061540651688</v>
      </c>
      <c r="N21">
        <v>34.305038666083419</v>
      </c>
      <c r="O21">
        <v>14.875634871149158</v>
      </c>
    </row>
    <row r="22" spans="3:24" x14ac:dyDescent="0.45">
      <c r="C22">
        <v>-1.7696960802767938</v>
      </c>
      <c r="D22">
        <v>0.33919007901132808</v>
      </c>
      <c r="E22">
        <v>0.33919007901132808</v>
      </c>
      <c r="H22">
        <v>2</v>
      </c>
      <c r="I22">
        <v>4</v>
      </c>
      <c r="J22">
        <v>4</v>
      </c>
      <c r="M22">
        <v>22.287061540651688</v>
      </c>
      <c r="N22">
        <v>22.287061540651688</v>
      </c>
      <c r="O22">
        <v>17.892993157786602</v>
      </c>
      <c r="Q22" s="2"/>
      <c r="R22" s="2" t="s">
        <v>22</v>
      </c>
      <c r="S22" s="2" t="s">
        <v>23</v>
      </c>
      <c r="V22" s="2"/>
      <c r="W22" s="2" t="s">
        <v>22</v>
      </c>
      <c r="X22" s="2" t="s">
        <v>23</v>
      </c>
    </row>
    <row r="23" spans="3:24" x14ac:dyDescent="0.45">
      <c r="C23">
        <v>-1.7696960802767938</v>
      </c>
      <c r="D23">
        <v>-1.7694953518410237</v>
      </c>
      <c r="E23">
        <v>-1.7696960802767938</v>
      </c>
      <c r="H23">
        <v>2</v>
      </c>
      <c r="I23">
        <v>1</v>
      </c>
      <c r="J23">
        <v>2</v>
      </c>
      <c r="M23">
        <v>34.305038666083419</v>
      </c>
      <c r="N23">
        <v>17.892993157786602</v>
      </c>
      <c r="O23">
        <v>22.287061540651688</v>
      </c>
      <c r="Q23" t="s">
        <v>20</v>
      </c>
      <c r="R23">
        <v>-0.8769535612049576</v>
      </c>
      <c r="S23">
        <v>-0.4696505551844592</v>
      </c>
      <c r="V23" t="s">
        <v>20</v>
      </c>
      <c r="W23">
        <v>2.65</v>
      </c>
      <c r="X23">
        <v>3.02</v>
      </c>
    </row>
    <row r="24" spans="3:24" x14ac:dyDescent="0.45">
      <c r="C24">
        <v>0.33919007901132808</v>
      </c>
      <c r="D24">
        <v>-1.7696960802767938</v>
      </c>
      <c r="E24">
        <v>-1.7694953518410237</v>
      </c>
      <c r="H24">
        <v>4</v>
      </c>
      <c r="I24">
        <v>2</v>
      </c>
      <c r="J24">
        <v>1</v>
      </c>
      <c r="M24">
        <v>17.892993157786602</v>
      </c>
      <c r="N24">
        <v>22.287061540651688</v>
      </c>
      <c r="O24">
        <v>22.287061540651688</v>
      </c>
      <c r="Q24" t="s">
        <v>21</v>
      </c>
      <c r="R24">
        <v>1.1542434475566363</v>
      </c>
      <c r="S24">
        <v>1.0760786750234861</v>
      </c>
      <c r="V24" t="s">
        <v>21</v>
      </c>
      <c r="W24">
        <v>1.542929292929293</v>
      </c>
      <c r="X24">
        <v>1.6157575757575762</v>
      </c>
    </row>
    <row r="25" spans="3:24" x14ac:dyDescent="0.45">
      <c r="C25">
        <v>-1.7696960802767938</v>
      </c>
      <c r="D25">
        <v>-0.10027403261774659</v>
      </c>
      <c r="E25">
        <v>0.33919007901132808</v>
      </c>
      <c r="H25">
        <v>2</v>
      </c>
      <c r="I25">
        <v>3</v>
      </c>
      <c r="J25">
        <v>4</v>
      </c>
      <c r="M25">
        <v>22.287061540651688</v>
      </c>
      <c r="N25">
        <v>22.287061540651688</v>
      </c>
      <c r="O25">
        <v>17.892993157786602</v>
      </c>
      <c r="Q25" t="s">
        <v>35</v>
      </c>
      <c r="R25">
        <v>100</v>
      </c>
      <c r="S25">
        <v>100</v>
      </c>
      <c r="V25" t="s">
        <v>35</v>
      </c>
      <c r="W25">
        <v>100</v>
      </c>
      <c r="X25">
        <v>100</v>
      </c>
    </row>
    <row r="26" spans="3:24" x14ac:dyDescent="0.45">
      <c r="C26">
        <v>-1.9896522787241984</v>
      </c>
      <c r="D26">
        <v>0.33919007901132808</v>
      </c>
      <c r="E26">
        <v>-1.7696960802767938</v>
      </c>
      <c r="H26">
        <v>1</v>
      </c>
      <c r="I26">
        <v>4</v>
      </c>
      <c r="J26">
        <v>2</v>
      </c>
      <c r="M26">
        <v>22.287061540651688</v>
      </c>
      <c r="N26">
        <v>14.875634871149158</v>
      </c>
      <c r="O26">
        <v>22.287061540651688</v>
      </c>
      <c r="Q26" t="s">
        <v>36</v>
      </c>
      <c r="R26">
        <v>1.1151610612900613</v>
      </c>
      <c r="V26" t="s">
        <v>36</v>
      </c>
      <c r="W26">
        <v>1.5793434343434345</v>
      </c>
    </row>
    <row r="27" spans="3:24" x14ac:dyDescent="0.45">
      <c r="C27">
        <v>-1.9896522787241984</v>
      </c>
      <c r="D27">
        <v>-1.7696960802767938</v>
      </c>
      <c r="E27">
        <v>0.33919007901132808</v>
      </c>
      <c r="H27">
        <v>1</v>
      </c>
      <c r="I27">
        <v>2</v>
      </c>
      <c r="J27">
        <v>4</v>
      </c>
      <c r="M27">
        <v>22.287061540651688</v>
      </c>
      <c r="N27">
        <v>22.287061540651688</v>
      </c>
      <c r="O27">
        <v>14.875634871149158</v>
      </c>
      <c r="Q27" t="s">
        <v>37</v>
      </c>
      <c r="R27">
        <v>0</v>
      </c>
      <c r="V27" t="s">
        <v>37</v>
      </c>
      <c r="W27">
        <v>0</v>
      </c>
    </row>
    <row r="28" spans="3:24" x14ac:dyDescent="0.45">
      <c r="C28">
        <v>-1.7696960802767938</v>
      </c>
      <c r="D28">
        <v>0.33919007901132808</v>
      </c>
      <c r="E28">
        <v>-1.7694953518410237</v>
      </c>
      <c r="H28">
        <v>2</v>
      </c>
      <c r="I28">
        <v>4</v>
      </c>
      <c r="J28">
        <v>1</v>
      </c>
      <c r="M28">
        <v>34.305038666083419</v>
      </c>
      <c r="N28">
        <v>22.287061540651688</v>
      </c>
      <c r="O28">
        <v>17.892993157786602</v>
      </c>
      <c r="Q28" t="s">
        <v>28</v>
      </c>
      <c r="R28">
        <v>198</v>
      </c>
      <c r="V28" t="s">
        <v>28</v>
      </c>
      <c r="W28">
        <v>198</v>
      </c>
    </row>
    <row r="29" spans="3:24" x14ac:dyDescent="0.45">
      <c r="C29">
        <v>-1.9896522787241984</v>
      </c>
      <c r="D29">
        <v>0.33919007901132808</v>
      </c>
      <c r="E29">
        <v>-1.7696960802767938</v>
      </c>
      <c r="H29">
        <v>1</v>
      </c>
      <c r="I29">
        <v>4</v>
      </c>
      <c r="J29">
        <v>2</v>
      </c>
      <c r="M29">
        <v>14.875634871149158</v>
      </c>
      <c r="N29">
        <v>14.875634871149158</v>
      </c>
      <c r="O29">
        <v>22.287061540651688</v>
      </c>
      <c r="Q29" t="s">
        <v>38</v>
      </c>
      <c r="R29">
        <v>-2.7273056942567759</v>
      </c>
      <c r="V29" t="s">
        <v>38</v>
      </c>
      <c r="W29">
        <v>-2.081845214845945</v>
      </c>
    </row>
    <row r="30" spans="3:24" x14ac:dyDescent="0.45">
      <c r="C30">
        <v>0.33919007901132808</v>
      </c>
      <c r="D30">
        <v>-1.7694953518410237</v>
      </c>
      <c r="E30">
        <v>-1.7694953518410237</v>
      </c>
      <c r="H30">
        <v>4</v>
      </c>
      <c r="I30">
        <v>1</v>
      </c>
      <c r="J30">
        <v>1</v>
      </c>
      <c r="M30">
        <v>22.287061540651688</v>
      </c>
      <c r="N30">
        <v>14.875634871149158</v>
      </c>
      <c r="O30">
        <v>34.305038666083419</v>
      </c>
      <c r="Q30" t="s">
        <v>39</v>
      </c>
      <c r="R30">
        <v>3.4794893174816921E-3</v>
      </c>
      <c r="V30" t="s">
        <v>39</v>
      </c>
      <c r="W30">
        <v>1.9321054685353244E-2</v>
      </c>
    </row>
    <row r="31" spans="3:24" x14ac:dyDescent="0.45">
      <c r="C31">
        <v>0.33919007901132808</v>
      </c>
      <c r="D31">
        <v>0.33919007901132808</v>
      </c>
      <c r="E31">
        <v>0.33919007901132808</v>
      </c>
      <c r="H31">
        <v>4</v>
      </c>
      <c r="I31">
        <v>4</v>
      </c>
      <c r="J31">
        <v>4</v>
      </c>
      <c r="M31">
        <v>22.287061540651688</v>
      </c>
      <c r="N31">
        <v>22.287061540651688</v>
      </c>
      <c r="O31">
        <v>34.305038666083419</v>
      </c>
      <c r="Q31" t="s">
        <v>40</v>
      </c>
      <c r="R31">
        <v>1.6525857836178461</v>
      </c>
      <c r="V31" t="s">
        <v>40</v>
      </c>
      <c r="W31">
        <v>1.6525857836178461</v>
      </c>
    </row>
    <row r="32" spans="3:24" x14ac:dyDescent="0.45">
      <c r="C32">
        <v>-1.7696960802767938</v>
      </c>
      <c r="D32">
        <v>-1.9896522787241984</v>
      </c>
      <c r="E32">
        <v>0.33919007901132808</v>
      </c>
      <c r="H32">
        <v>2</v>
      </c>
      <c r="I32">
        <v>1</v>
      </c>
      <c r="J32">
        <v>4</v>
      </c>
      <c r="M32">
        <v>17.892993157786602</v>
      </c>
      <c r="N32">
        <v>22.287061540651688</v>
      </c>
      <c r="O32">
        <v>22.287061540651688</v>
      </c>
      <c r="Q32" t="s">
        <v>41</v>
      </c>
      <c r="R32">
        <v>6.9589786349633842E-3</v>
      </c>
      <c r="V32" t="s">
        <v>41</v>
      </c>
      <c r="W32">
        <v>3.8642109370706487E-2</v>
      </c>
    </row>
    <row r="33" spans="3:24" ht="18.600000000000001" thickBot="1" x14ac:dyDescent="0.5">
      <c r="C33">
        <v>0.33919007901132808</v>
      </c>
      <c r="D33">
        <v>0.33919007901132808</v>
      </c>
      <c r="E33">
        <v>-1.7696960802767938</v>
      </c>
      <c r="H33">
        <v>4</v>
      </c>
      <c r="I33">
        <v>4</v>
      </c>
      <c r="J33">
        <v>2</v>
      </c>
      <c r="M33">
        <v>22.287061540651688</v>
      </c>
      <c r="N33">
        <v>34.305038666083419</v>
      </c>
      <c r="O33">
        <v>22.287061540651688</v>
      </c>
      <c r="Q33" s="1" t="s">
        <v>42</v>
      </c>
      <c r="R33" s="1">
        <v>1.9720174778363073</v>
      </c>
      <c r="S33" s="1"/>
      <c r="V33" s="1" t="s">
        <v>42</v>
      </c>
      <c r="W33" s="1">
        <v>1.9720174778363073</v>
      </c>
      <c r="X33" s="1"/>
    </row>
    <row r="34" spans="3:24" x14ac:dyDescent="0.45">
      <c r="C34">
        <v>0.33919007901132808</v>
      </c>
      <c r="D34">
        <v>0.33919007901132808</v>
      </c>
      <c r="E34">
        <v>0.33919007901132808</v>
      </c>
      <c r="H34">
        <v>4</v>
      </c>
      <c r="I34">
        <v>4</v>
      </c>
      <c r="J34">
        <v>4</v>
      </c>
      <c r="M34">
        <v>22.287061540651688</v>
      </c>
      <c r="N34">
        <v>22.287061540651688</v>
      </c>
      <c r="O34">
        <v>17.892993157786602</v>
      </c>
    </row>
    <row r="35" spans="3:24" x14ac:dyDescent="0.45">
      <c r="C35">
        <v>0.33919007901132808</v>
      </c>
      <c r="D35">
        <v>-1.9896522787241984</v>
      </c>
      <c r="E35">
        <v>0.33919007901132808</v>
      </c>
      <c r="H35">
        <v>4</v>
      </c>
      <c r="I35">
        <v>1</v>
      </c>
      <c r="J35">
        <v>4</v>
      </c>
      <c r="M35">
        <v>34.305038666083419</v>
      </c>
      <c r="N35">
        <v>21.025072893823587</v>
      </c>
      <c r="O35">
        <v>22.287061540651688</v>
      </c>
    </row>
    <row r="36" spans="3:24" x14ac:dyDescent="0.45">
      <c r="C36">
        <v>0.33919007901132808</v>
      </c>
      <c r="D36">
        <v>-1.7694953518410237</v>
      </c>
      <c r="E36">
        <v>0.33919007901132808</v>
      </c>
      <c r="H36">
        <v>4</v>
      </c>
      <c r="I36">
        <v>1</v>
      </c>
      <c r="J36">
        <v>4</v>
      </c>
      <c r="M36">
        <v>22.287061540651688</v>
      </c>
      <c r="N36">
        <v>14.875634871149158</v>
      </c>
      <c r="O36">
        <v>34.305038666083419</v>
      </c>
      <c r="Q36" t="s">
        <v>34</v>
      </c>
      <c r="V36" t="s">
        <v>34</v>
      </c>
    </row>
    <row r="37" spans="3:24" ht="18.600000000000001" thickBot="1" x14ac:dyDescent="0.5">
      <c r="C37">
        <v>0.33919007901132808</v>
      </c>
      <c r="D37">
        <v>0.33919007901132808</v>
      </c>
      <c r="E37">
        <v>-1.7696960802767938</v>
      </c>
      <c r="H37">
        <v>4</v>
      </c>
      <c r="I37">
        <v>4</v>
      </c>
      <c r="J37">
        <v>2</v>
      </c>
      <c r="M37">
        <v>17.892993157786602</v>
      </c>
      <c r="N37">
        <v>22.287061540651688</v>
      </c>
      <c r="O37">
        <v>22.287061540651688</v>
      </c>
    </row>
    <row r="38" spans="3:24" x14ac:dyDescent="0.45">
      <c r="C38">
        <v>0.33919007901132808</v>
      </c>
      <c r="D38">
        <v>0.33919007901132808</v>
      </c>
      <c r="E38">
        <v>-1.7696960802767938</v>
      </c>
      <c r="H38">
        <v>4</v>
      </c>
      <c r="I38">
        <v>4</v>
      </c>
      <c r="J38">
        <v>2</v>
      </c>
      <c r="M38">
        <v>14.875634871149158</v>
      </c>
      <c r="N38">
        <v>22.287061540651688</v>
      </c>
      <c r="O38">
        <v>17.892993157786602</v>
      </c>
      <c r="Q38" s="2"/>
      <c r="R38" s="2" t="s">
        <v>23</v>
      </c>
      <c r="S38" s="2" t="s">
        <v>24</v>
      </c>
      <c r="V38" s="2"/>
      <c r="W38" s="2" t="s">
        <v>23</v>
      </c>
      <c r="X38" s="2" t="s">
        <v>24</v>
      </c>
    </row>
    <row r="39" spans="3:24" x14ac:dyDescent="0.45">
      <c r="C39">
        <v>-1.7696960802767938</v>
      </c>
      <c r="D39">
        <v>0.33919007901132808</v>
      </c>
      <c r="E39">
        <v>-1.7696960802767938</v>
      </c>
      <c r="H39">
        <v>2</v>
      </c>
      <c r="I39">
        <v>4</v>
      </c>
      <c r="J39">
        <v>2</v>
      </c>
      <c r="M39">
        <v>22.287061540651688</v>
      </c>
      <c r="N39">
        <v>22.287061540651688</v>
      </c>
      <c r="O39">
        <v>17.892993157786602</v>
      </c>
      <c r="Q39" t="s">
        <v>20</v>
      </c>
      <c r="R39">
        <v>-0.4696505551844592</v>
      </c>
      <c r="S39">
        <v>-0.74730956288261841</v>
      </c>
      <c r="V39" t="s">
        <v>20</v>
      </c>
      <c r="W39">
        <v>3.02</v>
      </c>
      <c r="X39">
        <v>2.78</v>
      </c>
    </row>
    <row r="40" spans="3:24" x14ac:dyDescent="0.45">
      <c r="C40">
        <v>-1.7694953518410237</v>
      </c>
      <c r="D40">
        <v>0.33919007901132808</v>
      </c>
      <c r="E40">
        <v>0.33919007901132808</v>
      </c>
      <c r="H40">
        <v>1</v>
      </c>
      <c r="I40">
        <v>4</v>
      </c>
      <c r="J40">
        <v>4</v>
      </c>
      <c r="M40">
        <v>22.287061540651688</v>
      </c>
      <c r="N40">
        <v>14.875634871149158</v>
      </c>
      <c r="O40">
        <v>22.287061540651688</v>
      </c>
      <c r="Q40" t="s">
        <v>21</v>
      </c>
      <c r="R40">
        <v>1.0760786750234861</v>
      </c>
      <c r="S40">
        <v>1.1478497572184849</v>
      </c>
      <c r="V40" t="s">
        <v>21</v>
      </c>
      <c r="W40">
        <v>1.6157575757575762</v>
      </c>
      <c r="X40">
        <v>1.5672727272727269</v>
      </c>
    </row>
    <row r="41" spans="3:24" x14ac:dyDescent="0.45">
      <c r="C41">
        <v>-1.7696960802767938</v>
      </c>
      <c r="D41">
        <v>0.33919007901132808</v>
      </c>
      <c r="E41">
        <v>0.33919007901132808</v>
      </c>
      <c r="H41">
        <v>2</v>
      </c>
      <c r="I41">
        <v>4</v>
      </c>
      <c r="J41">
        <v>4</v>
      </c>
      <c r="M41">
        <v>17.892993157786602</v>
      </c>
      <c r="N41">
        <v>22.287061540651688</v>
      </c>
      <c r="O41">
        <v>22.287061540651688</v>
      </c>
      <c r="Q41" t="s">
        <v>35</v>
      </c>
      <c r="R41">
        <v>100</v>
      </c>
      <c r="S41">
        <v>100</v>
      </c>
      <c r="V41" t="s">
        <v>35</v>
      </c>
      <c r="W41">
        <v>100</v>
      </c>
      <c r="X41">
        <v>100</v>
      </c>
    </row>
    <row r="42" spans="3:24" x14ac:dyDescent="0.45">
      <c r="C42">
        <v>-1.7696960802767938</v>
      </c>
      <c r="D42">
        <v>0.33919007901132808</v>
      </c>
      <c r="E42">
        <v>0.33919007901132808</v>
      </c>
      <c r="H42">
        <v>2</v>
      </c>
      <c r="I42">
        <v>4</v>
      </c>
      <c r="J42">
        <v>4</v>
      </c>
      <c r="M42">
        <v>22.287061540651688</v>
      </c>
      <c r="N42">
        <v>14.875634871149158</v>
      </c>
      <c r="O42">
        <v>17.892993157786602</v>
      </c>
      <c r="Q42" t="s">
        <v>36</v>
      </c>
      <c r="R42">
        <v>1.1119642161209853</v>
      </c>
      <c r="V42" t="s">
        <v>36</v>
      </c>
      <c r="W42">
        <v>1.5915151515151515</v>
      </c>
    </row>
    <row r="43" spans="3:24" x14ac:dyDescent="0.45">
      <c r="C43">
        <v>-1.7696960802767938</v>
      </c>
      <c r="D43">
        <v>-1.7694953518410237</v>
      </c>
      <c r="E43">
        <v>-1.7696960802767938</v>
      </c>
      <c r="H43">
        <v>2</v>
      </c>
      <c r="I43">
        <v>1</v>
      </c>
      <c r="J43">
        <v>2</v>
      </c>
      <c r="M43">
        <v>14.875634871149158</v>
      </c>
      <c r="N43">
        <v>21.025072893823587</v>
      </c>
      <c r="O43">
        <v>22.287061540651688</v>
      </c>
      <c r="Q43" t="s">
        <v>37</v>
      </c>
      <c r="R43">
        <v>0</v>
      </c>
      <c r="V43" t="s">
        <v>37</v>
      </c>
      <c r="W43">
        <v>0</v>
      </c>
    </row>
    <row r="44" spans="3:24" x14ac:dyDescent="0.45">
      <c r="C44">
        <v>0.33919007901132808</v>
      </c>
      <c r="D44">
        <v>-1.7696960802767938</v>
      </c>
      <c r="E44">
        <v>-1.7694953518410237</v>
      </c>
      <c r="H44">
        <v>4</v>
      </c>
      <c r="I44">
        <v>2</v>
      </c>
      <c r="J44">
        <v>1</v>
      </c>
      <c r="M44">
        <v>17.892993157786602</v>
      </c>
      <c r="N44">
        <v>17.892993157786602</v>
      </c>
      <c r="O44">
        <v>34.305038666083419</v>
      </c>
      <c r="Q44" t="s">
        <v>28</v>
      </c>
      <c r="R44">
        <v>198</v>
      </c>
      <c r="V44" t="s">
        <v>28</v>
      </c>
      <c r="W44">
        <v>198</v>
      </c>
    </row>
    <row r="45" spans="3:24" x14ac:dyDescent="0.45">
      <c r="C45">
        <v>-1.7696960802767938</v>
      </c>
      <c r="D45">
        <v>-0.10027403261774659</v>
      </c>
      <c r="E45">
        <v>0.33919007901132808</v>
      </c>
      <c r="H45">
        <v>2</v>
      </c>
      <c r="I45">
        <v>3</v>
      </c>
      <c r="J45">
        <v>4</v>
      </c>
      <c r="M45">
        <v>22.287061540651688</v>
      </c>
      <c r="N45">
        <v>17.892993157786602</v>
      </c>
      <c r="O45">
        <v>22.287061540651688</v>
      </c>
      <c r="Q45" t="s">
        <v>38</v>
      </c>
      <c r="R45">
        <v>1.861878614392984</v>
      </c>
      <c r="V45" t="s">
        <v>38</v>
      </c>
      <c r="W45">
        <v>1.3452123788643238</v>
      </c>
    </row>
    <row r="46" spans="3:24" x14ac:dyDescent="0.45">
      <c r="C46">
        <v>-1.9896522787241984</v>
      </c>
      <c r="D46">
        <v>0.33919007901132808</v>
      </c>
      <c r="E46">
        <v>-1.7696960802767938</v>
      </c>
      <c r="H46">
        <v>1</v>
      </c>
      <c r="I46">
        <v>4</v>
      </c>
      <c r="J46">
        <v>2</v>
      </c>
      <c r="M46">
        <v>22.287061540651688</v>
      </c>
      <c r="N46">
        <v>22.287061540651688</v>
      </c>
      <c r="O46">
        <v>34.305038666083419</v>
      </c>
      <c r="Q46" t="s">
        <v>39</v>
      </c>
      <c r="R46">
        <v>3.2051001158445683E-2</v>
      </c>
      <c r="V46" t="s">
        <v>39</v>
      </c>
      <c r="W46">
        <v>9.0047656077516719E-2</v>
      </c>
    </row>
    <row r="47" spans="3:24" x14ac:dyDescent="0.45">
      <c r="C47">
        <v>-1.9896522787241984</v>
      </c>
      <c r="D47">
        <v>-1.7696960802767938</v>
      </c>
      <c r="E47">
        <v>0.33919007901132808</v>
      </c>
      <c r="H47">
        <v>1</v>
      </c>
      <c r="I47">
        <v>2</v>
      </c>
      <c r="J47">
        <v>4</v>
      </c>
      <c r="M47">
        <v>22.287061540651688</v>
      </c>
      <c r="N47">
        <v>22.287061540651688</v>
      </c>
      <c r="O47">
        <v>22.287061540651688</v>
      </c>
      <c r="Q47" t="s">
        <v>40</v>
      </c>
      <c r="R47">
        <v>1.6525857836178461</v>
      </c>
      <c r="V47" t="s">
        <v>40</v>
      </c>
      <c r="W47">
        <v>1.6525857836178461</v>
      </c>
    </row>
    <row r="48" spans="3:24" x14ac:dyDescent="0.45">
      <c r="C48">
        <v>-1.7696960802767938</v>
      </c>
      <c r="D48">
        <v>0.33919007901132808</v>
      </c>
      <c r="E48">
        <v>-1.7694953518410237</v>
      </c>
      <c r="H48">
        <v>2</v>
      </c>
      <c r="I48">
        <v>4</v>
      </c>
      <c r="J48">
        <v>1</v>
      </c>
      <c r="M48">
        <v>14.875634871149158</v>
      </c>
      <c r="N48">
        <v>22.287061540651688</v>
      </c>
      <c r="O48">
        <v>14.875634871149158</v>
      </c>
      <c r="Q48" t="s">
        <v>41</v>
      </c>
      <c r="R48">
        <v>6.4102002316891366E-2</v>
      </c>
      <c r="V48" t="s">
        <v>41</v>
      </c>
      <c r="W48">
        <v>0.18009531215503344</v>
      </c>
    </row>
    <row r="49" spans="3:24" ht="18.600000000000001" thickBot="1" x14ac:dyDescent="0.5">
      <c r="C49">
        <v>-1.9896522787241984</v>
      </c>
      <c r="D49">
        <v>0.33919007901132808</v>
      </c>
      <c r="E49">
        <v>-1.7696960802767938</v>
      </c>
      <c r="H49">
        <v>1</v>
      </c>
      <c r="I49">
        <v>4</v>
      </c>
      <c r="J49">
        <v>2</v>
      </c>
      <c r="M49">
        <v>17.892993157786602</v>
      </c>
      <c r="N49">
        <v>17.892993157786602</v>
      </c>
      <c r="O49">
        <v>34.305038666083419</v>
      </c>
      <c r="Q49" s="1" t="s">
        <v>42</v>
      </c>
      <c r="R49" s="1">
        <v>1.9720174778363073</v>
      </c>
      <c r="S49" s="1"/>
      <c r="V49" s="1" t="s">
        <v>42</v>
      </c>
      <c r="W49" s="1">
        <v>1.9720174778363073</v>
      </c>
      <c r="X49" s="1"/>
    </row>
    <row r="50" spans="3:24" x14ac:dyDescent="0.45">
      <c r="C50">
        <v>0.33919007901132808</v>
      </c>
      <c r="D50">
        <v>-1.7694953518410237</v>
      </c>
      <c r="E50">
        <v>-1.7694953518410237</v>
      </c>
      <c r="H50">
        <v>4</v>
      </c>
      <c r="I50">
        <v>1</v>
      </c>
      <c r="J50">
        <v>1</v>
      </c>
      <c r="M50">
        <v>34.305038666083419</v>
      </c>
      <c r="N50">
        <v>22.287061540651688</v>
      </c>
      <c r="O50">
        <v>22.287061540651688</v>
      </c>
    </row>
    <row r="51" spans="3:24" x14ac:dyDescent="0.45">
      <c r="C51">
        <v>0.33919007901132808</v>
      </c>
      <c r="D51">
        <v>0.33919007901132808</v>
      </c>
      <c r="E51">
        <v>0.33919007901132808</v>
      </c>
      <c r="H51">
        <v>4</v>
      </c>
      <c r="I51">
        <v>4</v>
      </c>
      <c r="J51">
        <v>4</v>
      </c>
      <c r="M51">
        <v>22.287061540651688</v>
      </c>
      <c r="N51">
        <v>17.892993157786602</v>
      </c>
      <c r="O51">
        <v>34.305038666083419</v>
      </c>
    </row>
    <row r="52" spans="3:24" x14ac:dyDescent="0.45">
      <c r="C52">
        <v>0.33919007901132808</v>
      </c>
      <c r="D52">
        <v>0.33919007901132808</v>
      </c>
      <c r="E52">
        <v>-1.7696960802767938</v>
      </c>
      <c r="H52">
        <v>4</v>
      </c>
      <c r="I52">
        <v>4</v>
      </c>
      <c r="J52">
        <v>2</v>
      </c>
      <c r="M52">
        <v>35.84417032646386</v>
      </c>
      <c r="N52">
        <v>22.287061540651688</v>
      </c>
      <c r="O52">
        <v>17.892993157786602</v>
      </c>
      <c r="Q52" t="s">
        <v>34</v>
      </c>
      <c r="V52" t="s">
        <v>34</v>
      </c>
    </row>
    <row r="53" spans="3:24" ht="18.600000000000001" thickBot="1" x14ac:dyDescent="0.5">
      <c r="C53">
        <v>-1.7696960802767938</v>
      </c>
      <c r="D53">
        <v>-1.7696960802767938</v>
      </c>
      <c r="E53">
        <v>-1.7696960802767938</v>
      </c>
      <c r="H53">
        <v>2</v>
      </c>
      <c r="I53">
        <v>2</v>
      </c>
      <c r="J53">
        <v>2</v>
      </c>
      <c r="M53">
        <v>22.287061540651688</v>
      </c>
      <c r="N53">
        <v>17.892993157786602</v>
      </c>
      <c r="O53">
        <v>17.892993157786602</v>
      </c>
    </row>
    <row r="54" spans="3:24" x14ac:dyDescent="0.45">
      <c r="C54">
        <v>0.33919007901132808</v>
      </c>
      <c r="D54">
        <v>-1.7696960802767938</v>
      </c>
      <c r="E54">
        <v>-1.9896522787241984</v>
      </c>
      <c r="H54">
        <v>4</v>
      </c>
      <c r="I54">
        <v>2</v>
      </c>
      <c r="J54">
        <v>1</v>
      </c>
      <c r="M54">
        <v>22.287061540651688</v>
      </c>
      <c r="N54">
        <v>17.892993157786602</v>
      </c>
      <c r="O54">
        <v>14.875634871149158</v>
      </c>
      <c r="Q54" s="2"/>
      <c r="R54" s="2" t="s">
        <v>22</v>
      </c>
      <c r="S54" s="2" t="s">
        <v>24</v>
      </c>
      <c r="V54" s="2"/>
      <c r="W54" s="2" t="s">
        <v>22</v>
      </c>
      <c r="X54" s="2" t="s">
        <v>24</v>
      </c>
    </row>
    <row r="55" spans="3:24" x14ac:dyDescent="0.45">
      <c r="C55">
        <v>-1.7696960802767938</v>
      </c>
      <c r="D55">
        <v>-1.7696960802767938</v>
      </c>
      <c r="E55">
        <v>0.33919007901132808</v>
      </c>
      <c r="H55">
        <v>2</v>
      </c>
      <c r="I55">
        <v>2</v>
      </c>
      <c r="J55">
        <v>4</v>
      </c>
      <c r="M55">
        <v>17.892993157786602</v>
      </c>
      <c r="N55">
        <v>17.892993157786602</v>
      </c>
      <c r="O55">
        <v>22.287061540651688</v>
      </c>
      <c r="Q55" t="s">
        <v>20</v>
      </c>
      <c r="R55">
        <v>-0.8769535612049576</v>
      </c>
      <c r="S55">
        <v>-0.74730956288261841</v>
      </c>
      <c r="V55" t="s">
        <v>20</v>
      </c>
      <c r="W55">
        <v>2.65</v>
      </c>
      <c r="X55">
        <v>2.78</v>
      </c>
    </row>
    <row r="56" spans="3:24" x14ac:dyDescent="0.45">
      <c r="C56">
        <v>-1.9896522787241984</v>
      </c>
      <c r="D56">
        <v>0.33919007901132808</v>
      </c>
      <c r="E56">
        <v>0.33919007901132808</v>
      </c>
      <c r="H56">
        <v>1</v>
      </c>
      <c r="I56">
        <v>4</v>
      </c>
      <c r="J56">
        <v>4</v>
      </c>
      <c r="M56">
        <v>25.150414820036048</v>
      </c>
      <c r="N56">
        <v>22.287061540651688</v>
      </c>
      <c r="O56">
        <v>22.287061540651688</v>
      </c>
      <c r="Q56" t="s">
        <v>21</v>
      </c>
      <c r="R56">
        <v>1.1542434475566363</v>
      </c>
      <c r="S56">
        <v>1.1478497572184849</v>
      </c>
      <c r="V56" t="s">
        <v>21</v>
      </c>
      <c r="W56">
        <v>1.542929292929293</v>
      </c>
      <c r="X56">
        <v>1.5672727272727269</v>
      </c>
    </row>
    <row r="57" spans="3:24" x14ac:dyDescent="0.45">
      <c r="C57">
        <v>-1.7694953518410237</v>
      </c>
      <c r="D57">
        <v>-1.7696960802767938</v>
      </c>
      <c r="E57">
        <v>0.33919007901132808</v>
      </c>
      <c r="H57">
        <v>1</v>
      </c>
      <c r="I57">
        <v>2</v>
      </c>
      <c r="J57">
        <v>4</v>
      </c>
      <c r="M57">
        <v>33.210087787617169</v>
      </c>
      <c r="N57">
        <v>17.892993157786602</v>
      </c>
      <c r="O57">
        <v>22.287061540651688</v>
      </c>
      <c r="Q57" t="s">
        <v>35</v>
      </c>
      <c r="R57">
        <v>100</v>
      </c>
      <c r="S57">
        <v>100</v>
      </c>
      <c r="V57" t="s">
        <v>35</v>
      </c>
      <c r="W57">
        <v>100</v>
      </c>
      <c r="X57">
        <v>100</v>
      </c>
    </row>
    <row r="58" spans="3:24" x14ac:dyDescent="0.45">
      <c r="C58">
        <v>0.33919007901132808</v>
      </c>
      <c r="D58">
        <v>-1.7694953518410237</v>
      </c>
      <c r="E58">
        <v>-1.7696960802767938</v>
      </c>
      <c r="H58">
        <v>4</v>
      </c>
      <c r="I58">
        <v>1</v>
      </c>
      <c r="J58">
        <v>2</v>
      </c>
      <c r="M58">
        <v>13.033697001748635</v>
      </c>
      <c r="N58">
        <v>34.305038666083419</v>
      </c>
      <c r="O58">
        <v>17.892993157786602</v>
      </c>
      <c r="Q58" t="s">
        <v>36</v>
      </c>
      <c r="R58">
        <v>1.1510466023875605</v>
      </c>
      <c r="V58" t="s">
        <v>36</v>
      </c>
      <c r="W58">
        <v>1.5551010101010099</v>
      </c>
    </row>
    <row r="59" spans="3:24" x14ac:dyDescent="0.45">
      <c r="C59">
        <v>-1.7696960802767938</v>
      </c>
      <c r="D59">
        <v>0.33919007901132808</v>
      </c>
      <c r="E59">
        <v>0.33919007901132808</v>
      </c>
      <c r="H59">
        <v>2</v>
      </c>
      <c r="I59">
        <v>4</v>
      </c>
      <c r="J59">
        <v>4</v>
      </c>
      <c r="M59">
        <v>36.57090330358816</v>
      </c>
      <c r="N59">
        <v>22.287061540651688</v>
      </c>
      <c r="O59">
        <v>22.287061540651688</v>
      </c>
      <c r="Q59" t="s">
        <v>37</v>
      </c>
      <c r="R59">
        <v>0</v>
      </c>
      <c r="V59" t="s">
        <v>37</v>
      </c>
      <c r="W59">
        <v>0</v>
      </c>
    </row>
    <row r="60" spans="3:24" x14ac:dyDescent="0.45">
      <c r="C60">
        <v>-1.7694953518410237</v>
      </c>
      <c r="D60">
        <v>0.33919007901132808</v>
      </c>
      <c r="E60">
        <v>0.33919007901132808</v>
      </c>
      <c r="H60">
        <v>1</v>
      </c>
      <c r="I60">
        <v>4</v>
      </c>
      <c r="J60">
        <v>4</v>
      </c>
      <c r="M60">
        <v>24.885360114495338</v>
      </c>
      <c r="N60">
        <v>22.287061540651688</v>
      </c>
      <c r="O60">
        <v>22.287061540651688</v>
      </c>
      <c r="Q60" t="s">
        <v>28</v>
      </c>
      <c r="R60">
        <v>198</v>
      </c>
      <c r="V60" t="s">
        <v>28</v>
      </c>
      <c r="W60">
        <v>198</v>
      </c>
    </row>
    <row r="61" spans="3:24" x14ac:dyDescent="0.45">
      <c r="C61">
        <v>0.33919007901132808</v>
      </c>
      <c r="D61">
        <v>-1.7696960802767938</v>
      </c>
      <c r="E61">
        <v>0.33919007901132808</v>
      </c>
      <c r="H61">
        <v>4</v>
      </c>
      <c r="I61">
        <v>2</v>
      </c>
      <c r="J61">
        <v>4</v>
      </c>
      <c r="M61">
        <v>36.57090330358816</v>
      </c>
      <c r="N61">
        <v>17.892993157786602</v>
      </c>
      <c r="O61">
        <v>22.287061540651688</v>
      </c>
      <c r="Q61" t="s">
        <v>38</v>
      </c>
      <c r="R61">
        <v>-0.85445848164477067</v>
      </c>
      <c r="V61" t="s">
        <v>38</v>
      </c>
      <c r="W61">
        <v>-0.73713842903319882</v>
      </c>
    </row>
    <row r="62" spans="3:24" x14ac:dyDescent="0.45">
      <c r="C62">
        <v>-1.9896522787241984</v>
      </c>
      <c r="D62">
        <v>0.33919007901132808</v>
      </c>
      <c r="E62">
        <v>-1.7696960802767938</v>
      </c>
      <c r="H62">
        <v>1</v>
      </c>
      <c r="I62">
        <v>4</v>
      </c>
      <c r="J62">
        <v>2</v>
      </c>
      <c r="M62">
        <v>13.033697001748635</v>
      </c>
      <c r="N62">
        <v>22.287061540651688</v>
      </c>
      <c r="O62">
        <v>17.892993157786602</v>
      </c>
      <c r="Q62" t="s">
        <v>39</v>
      </c>
      <c r="R62">
        <v>0.19694182351891415</v>
      </c>
      <c r="V62" t="s">
        <v>39</v>
      </c>
      <c r="W62">
        <v>0.23095537980719688</v>
      </c>
    </row>
    <row r="63" spans="3:24" x14ac:dyDescent="0.45">
      <c r="C63">
        <v>-1.7696960802767938</v>
      </c>
      <c r="D63">
        <v>0.33919007901132808</v>
      </c>
      <c r="E63">
        <v>0.33919007901132808</v>
      </c>
      <c r="H63">
        <v>2</v>
      </c>
      <c r="I63">
        <v>4</v>
      </c>
      <c r="J63">
        <v>4</v>
      </c>
      <c r="M63">
        <v>22.287061540651688</v>
      </c>
      <c r="N63">
        <v>22.287061540651688</v>
      </c>
      <c r="O63">
        <v>22.287061540651688</v>
      </c>
      <c r="Q63" t="s">
        <v>40</v>
      </c>
      <c r="R63">
        <v>1.6525857836178461</v>
      </c>
      <c r="V63" t="s">
        <v>40</v>
      </c>
      <c r="W63">
        <v>1.6525857836178461</v>
      </c>
    </row>
    <row r="64" spans="3:24" x14ac:dyDescent="0.45">
      <c r="C64">
        <v>-1.7696960802767938</v>
      </c>
      <c r="D64">
        <v>-1.7694953518410237</v>
      </c>
      <c r="E64">
        <v>0.33919007901132808</v>
      </c>
      <c r="H64">
        <v>2</v>
      </c>
      <c r="I64">
        <v>1</v>
      </c>
      <c r="J64">
        <v>4</v>
      </c>
      <c r="M64">
        <v>19.075046585222665</v>
      </c>
      <c r="N64">
        <v>34.305038666083419</v>
      </c>
      <c r="O64">
        <v>22.287061540651688</v>
      </c>
      <c r="Q64" t="s">
        <v>41</v>
      </c>
      <c r="R64">
        <v>0.3938836470378283</v>
      </c>
      <c r="V64" t="s">
        <v>41</v>
      </c>
      <c r="W64">
        <v>0.46191075961439376</v>
      </c>
    </row>
    <row r="65" spans="3:24" ht="18.600000000000001" thickBot="1" x14ac:dyDescent="0.5">
      <c r="C65">
        <v>-1.7696960802767938</v>
      </c>
      <c r="D65">
        <v>-1.7694953518410237</v>
      </c>
      <c r="E65">
        <v>-1.7696960802767938</v>
      </c>
      <c r="H65">
        <v>2</v>
      </c>
      <c r="I65">
        <v>1</v>
      </c>
      <c r="J65">
        <v>2</v>
      </c>
      <c r="M65">
        <v>30.185767602174646</v>
      </c>
      <c r="N65">
        <v>34.305038666083419</v>
      </c>
      <c r="O65">
        <v>17.892993157786602</v>
      </c>
      <c r="Q65" s="1" t="s">
        <v>42</v>
      </c>
      <c r="R65" s="1">
        <v>1.9720174778363073</v>
      </c>
      <c r="S65" s="1"/>
      <c r="V65" s="1" t="s">
        <v>42</v>
      </c>
      <c r="W65" s="1">
        <v>1.9720174778363073</v>
      </c>
      <c r="X65" s="1"/>
    </row>
    <row r="66" spans="3:24" x14ac:dyDescent="0.45">
      <c r="C66">
        <v>0.33919007901132808</v>
      </c>
      <c r="D66">
        <v>-1.7696960802767938</v>
      </c>
      <c r="E66">
        <v>-1.7696960802767938</v>
      </c>
      <c r="H66">
        <v>4</v>
      </c>
      <c r="I66">
        <v>2</v>
      </c>
      <c r="J66">
        <v>2</v>
      </c>
      <c r="M66">
        <v>22.287061540651688</v>
      </c>
      <c r="N66">
        <v>17.892993157786602</v>
      </c>
      <c r="O66">
        <v>17.892993157786602</v>
      </c>
    </row>
    <row r="67" spans="3:24" x14ac:dyDescent="0.45">
      <c r="C67">
        <v>-1.7696960802767938</v>
      </c>
      <c r="D67">
        <v>0.33919007901132808</v>
      </c>
      <c r="E67">
        <v>0.33919007901132808</v>
      </c>
      <c r="H67">
        <v>2</v>
      </c>
      <c r="I67">
        <v>4</v>
      </c>
      <c r="J67">
        <v>4</v>
      </c>
      <c r="M67">
        <v>22.287061540651688</v>
      </c>
      <c r="N67">
        <v>22.287061540651688</v>
      </c>
      <c r="O67">
        <v>22.287061540651688</v>
      </c>
    </row>
    <row r="68" spans="3:24" x14ac:dyDescent="0.45">
      <c r="C68">
        <v>0.33919007901132808</v>
      </c>
      <c r="D68">
        <v>0.33919007901132808</v>
      </c>
      <c r="E68">
        <v>0.33919007901132808</v>
      </c>
      <c r="H68">
        <v>4</v>
      </c>
      <c r="I68">
        <v>4</v>
      </c>
      <c r="J68">
        <v>4</v>
      </c>
      <c r="M68">
        <v>33.210087787617169</v>
      </c>
      <c r="N68">
        <v>22.287061540651688</v>
      </c>
      <c r="O68">
        <v>22.287061540651688</v>
      </c>
    </row>
    <row r="69" spans="3:24" x14ac:dyDescent="0.45">
      <c r="C69">
        <v>0.33919007901132808</v>
      </c>
      <c r="D69">
        <v>0.33919007901132808</v>
      </c>
      <c r="E69">
        <v>0.33919007901132808</v>
      </c>
      <c r="H69">
        <v>4</v>
      </c>
      <c r="I69">
        <v>4</v>
      </c>
      <c r="J69">
        <v>4</v>
      </c>
      <c r="M69">
        <v>22.287061540651688</v>
      </c>
      <c r="N69">
        <v>22.287061540651688</v>
      </c>
      <c r="O69">
        <v>22.287061540651688</v>
      </c>
    </row>
    <row r="70" spans="3:24" x14ac:dyDescent="0.45">
      <c r="C70">
        <v>-1.7696960802767938</v>
      </c>
      <c r="D70">
        <v>-1.7694953518410237</v>
      </c>
      <c r="E70">
        <v>-1.7696960802767938</v>
      </c>
      <c r="H70">
        <v>2</v>
      </c>
      <c r="I70">
        <v>1</v>
      </c>
      <c r="J70">
        <v>2</v>
      </c>
      <c r="M70">
        <v>13.033697001748635</v>
      </c>
      <c r="N70">
        <v>34.305038666083419</v>
      </c>
      <c r="O70">
        <v>17.892993157786602</v>
      </c>
    </row>
    <row r="71" spans="3:24" x14ac:dyDescent="0.45">
      <c r="C71">
        <v>0.33919007901132808</v>
      </c>
      <c r="D71">
        <v>-1.7696960802767938</v>
      </c>
      <c r="E71">
        <v>0.33919007901132808</v>
      </c>
      <c r="H71">
        <v>4</v>
      </c>
      <c r="I71">
        <v>2</v>
      </c>
      <c r="J71">
        <v>4</v>
      </c>
      <c r="M71">
        <v>13.033697001748635</v>
      </c>
      <c r="N71">
        <v>17.892993157786602</v>
      </c>
      <c r="O71">
        <v>22.287061540651688</v>
      </c>
    </row>
    <row r="72" spans="3:24" x14ac:dyDescent="0.45">
      <c r="C72">
        <v>0.33919007901132808</v>
      </c>
      <c r="D72">
        <v>0.33919007901132808</v>
      </c>
      <c r="E72">
        <v>-1.9896522787241984</v>
      </c>
      <c r="H72">
        <v>4</v>
      </c>
      <c r="I72">
        <v>4</v>
      </c>
      <c r="J72">
        <v>1</v>
      </c>
      <c r="M72">
        <v>22.287061540651688</v>
      </c>
      <c r="N72">
        <v>22.287061540651688</v>
      </c>
      <c r="O72">
        <v>14.875634871149158</v>
      </c>
    </row>
    <row r="73" spans="3:24" x14ac:dyDescent="0.45">
      <c r="C73">
        <v>-1.7694953518410237</v>
      </c>
      <c r="D73">
        <v>0.33919007901132808</v>
      </c>
      <c r="E73">
        <v>0.33919007901132808</v>
      </c>
      <c r="H73">
        <v>1</v>
      </c>
      <c r="I73">
        <v>4</v>
      </c>
      <c r="J73">
        <v>4</v>
      </c>
      <c r="M73">
        <v>34.305038666083419</v>
      </c>
      <c r="N73">
        <v>22.287061540651688</v>
      </c>
      <c r="O73">
        <v>22.287061540651688</v>
      </c>
    </row>
    <row r="74" spans="3:24" x14ac:dyDescent="0.45">
      <c r="C74">
        <v>-1.7694953518410237</v>
      </c>
      <c r="D74">
        <v>-1.9896522787241984</v>
      </c>
      <c r="E74">
        <v>-1.7696960802767938</v>
      </c>
      <c r="H74">
        <v>1</v>
      </c>
      <c r="I74">
        <v>1</v>
      </c>
      <c r="J74">
        <v>2</v>
      </c>
      <c r="M74">
        <v>34.305038666083419</v>
      </c>
      <c r="N74">
        <v>14.875634871149158</v>
      </c>
      <c r="O74">
        <v>17.892993157786602</v>
      </c>
    </row>
    <row r="75" spans="3:24" x14ac:dyDescent="0.45">
      <c r="C75">
        <v>0.33919007901132808</v>
      </c>
      <c r="D75">
        <v>0.33919007901132808</v>
      </c>
      <c r="E75">
        <v>-1.7696960802767938</v>
      </c>
      <c r="H75">
        <v>4</v>
      </c>
      <c r="I75">
        <v>4</v>
      </c>
      <c r="J75">
        <v>2</v>
      </c>
      <c r="M75">
        <v>22.287061540651688</v>
      </c>
      <c r="N75">
        <v>22.287061540651688</v>
      </c>
      <c r="O75">
        <v>17.892993157786602</v>
      </c>
    </row>
    <row r="76" spans="3:24" x14ac:dyDescent="0.45">
      <c r="C76">
        <v>0.33919007901132808</v>
      </c>
      <c r="D76">
        <v>0.33919007901132808</v>
      </c>
      <c r="E76">
        <v>-1.7696960802767938</v>
      </c>
      <c r="H76">
        <v>4</v>
      </c>
      <c r="I76">
        <v>4</v>
      </c>
      <c r="J76">
        <v>2</v>
      </c>
      <c r="M76">
        <v>22.287061540651688</v>
      </c>
      <c r="N76">
        <v>22.287061540651688</v>
      </c>
      <c r="O76">
        <v>17.892993157786602</v>
      </c>
    </row>
    <row r="77" spans="3:24" x14ac:dyDescent="0.45">
      <c r="C77">
        <v>-1.7696960802767938</v>
      </c>
      <c r="D77">
        <v>0.33919007901132808</v>
      </c>
      <c r="E77">
        <v>-1.7696960802767938</v>
      </c>
      <c r="H77">
        <v>2</v>
      </c>
      <c r="I77">
        <v>4</v>
      </c>
      <c r="J77">
        <v>2</v>
      </c>
      <c r="M77">
        <v>17.892993157786602</v>
      </c>
      <c r="N77">
        <v>22.287061540651688</v>
      </c>
      <c r="O77">
        <v>17.892993157786602</v>
      </c>
    </row>
    <row r="78" spans="3:24" x14ac:dyDescent="0.45">
      <c r="C78">
        <v>0.33919007901132808</v>
      </c>
      <c r="D78">
        <v>0.33919007901132808</v>
      </c>
      <c r="E78">
        <v>0.33919007901132808</v>
      </c>
      <c r="H78">
        <v>4</v>
      </c>
      <c r="I78">
        <v>4</v>
      </c>
      <c r="J78">
        <v>4</v>
      </c>
      <c r="M78">
        <v>22.287061540651688</v>
      </c>
      <c r="N78">
        <v>22.287061540651688</v>
      </c>
      <c r="O78">
        <v>22.287061540651688</v>
      </c>
    </row>
    <row r="79" spans="3:24" x14ac:dyDescent="0.45">
      <c r="C79">
        <v>0.33919007901132808</v>
      </c>
      <c r="D79">
        <v>0.33919007901132808</v>
      </c>
      <c r="E79">
        <v>0.33919007901132808</v>
      </c>
      <c r="H79">
        <v>4</v>
      </c>
      <c r="I79">
        <v>4</v>
      </c>
      <c r="J79">
        <v>4</v>
      </c>
      <c r="M79">
        <v>22.287061540651688</v>
      </c>
      <c r="N79">
        <v>22.287061540651688</v>
      </c>
      <c r="O79">
        <v>22.287061540651688</v>
      </c>
    </row>
    <row r="80" spans="3:24" x14ac:dyDescent="0.45">
      <c r="C80">
        <v>0.33919007901132808</v>
      </c>
      <c r="D80">
        <v>0.33919007901132808</v>
      </c>
      <c r="E80">
        <v>-1.7696960802767938</v>
      </c>
      <c r="H80">
        <v>4</v>
      </c>
      <c r="I80">
        <v>4</v>
      </c>
      <c r="J80">
        <v>2</v>
      </c>
      <c r="M80">
        <v>22.287061540651688</v>
      </c>
      <c r="N80">
        <v>22.287061540651688</v>
      </c>
      <c r="O80">
        <v>17.892993157786602</v>
      </c>
    </row>
    <row r="81" spans="3:15" x14ac:dyDescent="0.45">
      <c r="C81">
        <v>-1.7696960802767938</v>
      </c>
      <c r="D81">
        <v>0.33919007901132808</v>
      </c>
      <c r="E81">
        <v>0.33919007901132808</v>
      </c>
      <c r="H81">
        <v>2</v>
      </c>
      <c r="I81">
        <v>4</v>
      </c>
      <c r="J81">
        <v>4</v>
      </c>
      <c r="M81">
        <v>17.892993157786602</v>
      </c>
      <c r="N81">
        <v>22.287061540651688</v>
      </c>
      <c r="O81">
        <v>22.287061540651688</v>
      </c>
    </row>
    <row r="82" spans="3:15" x14ac:dyDescent="0.45">
      <c r="C82">
        <v>-1.7696960802767938</v>
      </c>
      <c r="D82">
        <v>0.33919007901132808</v>
      </c>
      <c r="E82">
        <v>0.33919007901132808</v>
      </c>
      <c r="H82">
        <v>2</v>
      </c>
      <c r="I82">
        <v>4</v>
      </c>
      <c r="J82">
        <v>4</v>
      </c>
      <c r="M82">
        <v>17.892993157786602</v>
      </c>
      <c r="N82">
        <v>22.287061540651688</v>
      </c>
      <c r="O82">
        <v>22.287061540651688</v>
      </c>
    </row>
    <row r="83" spans="3:15" x14ac:dyDescent="0.45">
      <c r="C83">
        <v>-1.7694953518410237</v>
      </c>
      <c r="D83">
        <v>-1.9896522787241984</v>
      </c>
      <c r="E83">
        <v>-1.7694953518410237</v>
      </c>
      <c r="H83">
        <v>1</v>
      </c>
      <c r="I83">
        <v>1</v>
      </c>
      <c r="J83">
        <v>1</v>
      </c>
      <c r="M83">
        <v>34.305038666083419</v>
      </c>
      <c r="N83">
        <v>14.875634871149158</v>
      </c>
      <c r="O83">
        <v>34.305038666083419</v>
      </c>
    </row>
    <row r="84" spans="3:15" x14ac:dyDescent="0.45">
      <c r="C84">
        <v>0.33919007901132808</v>
      </c>
      <c r="D84">
        <v>0.33919007901132808</v>
      </c>
      <c r="E84">
        <v>0.33919007901132808</v>
      </c>
      <c r="H84">
        <v>4</v>
      </c>
      <c r="I84">
        <v>4</v>
      </c>
      <c r="J84">
        <v>4</v>
      </c>
      <c r="M84">
        <v>22.287061540651688</v>
      </c>
      <c r="N84">
        <v>22.287061540651688</v>
      </c>
      <c r="O84">
        <v>22.287061540651688</v>
      </c>
    </row>
    <row r="85" spans="3:15" x14ac:dyDescent="0.45">
      <c r="C85">
        <v>0.33919007901132808</v>
      </c>
      <c r="D85">
        <v>0.33919007901132808</v>
      </c>
      <c r="E85">
        <v>-1.7696960802767938</v>
      </c>
      <c r="H85">
        <v>4</v>
      </c>
      <c r="I85">
        <v>4</v>
      </c>
      <c r="J85">
        <v>2</v>
      </c>
      <c r="M85">
        <v>22.287061540651688</v>
      </c>
      <c r="N85">
        <v>22.287061540651688</v>
      </c>
      <c r="O85">
        <v>17.892993157786602</v>
      </c>
    </row>
    <row r="86" spans="3:15" x14ac:dyDescent="0.45">
      <c r="C86">
        <v>0.33919007901132808</v>
      </c>
      <c r="D86">
        <v>0.33919007901132808</v>
      </c>
      <c r="E86">
        <v>-1.7694953518410237</v>
      </c>
      <c r="H86">
        <v>4</v>
      </c>
      <c r="I86">
        <v>4</v>
      </c>
      <c r="J86">
        <v>1</v>
      </c>
      <c r="M86">
        <v>22.287061540651688</v>
      </c>
      <c r="N86">
        <v>22.287061540651688</v>
      </c>
      <c r="O86">
        <v>34.305038666083419</v>
      </c>
    </row>
    <row r="87" spans="3:15" x14ac:dyDescent="0.45">
      <c r="C87">
        <v>0.33919007901132808</v>
      </c>
      <c r="D87">
        <v>-1.7696960802767938</v>
      </c>
      <c r="E87">
        <v>-1.9896522787241984</v>
      </c>
      <c r="H87">
        <v>4</v>
      </c>
      <c r="I87">
        <v>2</v>
      </c>
      <c r="J87">
        <v>1</v>
      </c>
      <c r="M87">
        <v>22.287061540651688</v>
      </c>
      <c r="N87">
        <v>17.892993157786602</v>
      </c>
      <c r="O87">
        <v>14.875634871149158</v>
      </c>
    </row>
    <row r="88" spans="3:15" x14ac:dyDescent="0.45">
      <c r="C88">
        <v>-1.7696960802767938</v>
      </c>
      <c r="D88">
        <v>0.33919007901132808</v>
      </c>
      <c r="E88">
        <v>-1.7694953518410237</v>
      </c>
      <c r="H88">
        <v>2</v>
      </c>
      <c r="I88">
        <v>4</v>
      </c>
      <c r="J88">
        <v>1</v>
      </c>
      <c r="M88">
        <v>17.892993157786602</v>
      </c>
      <c r="N88">
        <v>22.287061540651688</v>
      </c>
      <c r="O88">
        <v>34.305038666083419</v>
      </c>
    </row>
    <row r="89" spans="3:15" x14ac:dyDescent="0.45">
      <c r="C89">
        <v>-1.7694953518410237</v>
      </c>
      <c r="D89">
        <v>-1.7696960802767938</v>
      </c>
      <c r="E89">
        <v>0.33919007901132808</v>
      </c>
      <c r="H89">
        <v>1</v>
      </c>
      <c r="I89">
        <v>2</v>
      </c>
      <c r="J89">
        <v>4</v>
      </c>
      <c r="M89">
        <v>34.305038666083419</v>
      </c>
      <c r="N89">
        <v>17.892993157786602</v>
      </c>
      <c r="O89">
        <v>22.287061540651688</v>
      </c>
    </row>
    <row r="90" spans="3:15" x14ac:dyDescent="0.45">
      <c r="C90">
        <v>-1.7696960802767938</v>
      </c>
      <c r="D90">
        <v>0.33919007901132808</v>
      </c>
      <c r="E90">
        <v>-1.9896522787241984</v>
      </c>
      <c r="H90">
        <v>2</v>
      </c>
      <c r="I90">
        <v>4</v>
      </c>
      <c r="J90">
        <v>1</v>
      </c>
      <c r="M90">
        <v>17.892993157786602</v>
      </c>
      <c r="N90">
        <v>22.287061540651688</v>
      </c>
      <c r="O90">
        <v>14.875634871149158</v>
      </c>
    </row>
    <row r="91" spans="3:15" x14ac:dyDescent="0.45">
      <c r="C91">
        <v>-1.7696960802767938</v>
      </c>
      <c r="D91">
        <v>-1.7694953518410237</v>
      </c>
      <c r="E91">
        <v>-1.7694953518410237</v>
      </c>
      <c r="H91">
        <v>2</v>
      </c>
      <c r="I91">
        <v>1</v>
      </c>
      <c r="J91">
        <v>1</v>
      </c>
      <c r="M91">
        <v>17.892993157786602</v>
      </c>
      <c r="N91">
        <v>34.305038666083419</v>
      </c>
      <c r="O91">
        <v>34.305038666083419</v>
      </c>
    </row>
    <row r="92" spans="3:15" x14ac:dyDescent="0.45">
      <c r="C92">
        <v>0.33919007901132808</v>
      </c>
      <c r="D92">
        <v>0.33919007901132808</v>
      </c>
      <c r="E92">
        <v>-1.9896522787241984</v>
      </c>
      <c r="H92">
        <v>4</v>
      </c>
      <c r="I92">
        <v>4</v>
      </c>
      <c r="J92">
        <v>1</v>
      </c>
      <c r="M92">
        <v>22.287061540651688</v>
      </c>
      <c r="N92">
        <v>22.287061540651688</v>
      </c>
      <c r="O92">
        <v>14.875634871149158</v>
      </c>
    </row>
    <row r="93" spans="3:15" x14ac:dyDescent="0.45">
      <c r="C93">
        <v>-1.7694953518410237</v>
      </c>
      <c r="D93">
        <v>0.33919007901132808</v>
      </c>
      <c r="E93">
        <v>0.33919007901132808</v>
      </c>
      <c r="H93">
        <v>1</v>
      </c>
      <c r="I93">
        <v>4</v>
      </c>
      <c r="J93">
        <v>4</v>
      </c>
      <c r="M93">
        <v>34.305038666083419</v>
      </c>
      <c r="N93">
        <v>22.287061540651688</v>
      </c>
      <c r="O93">
        <v>22.287061540651688</v>
      </c>
    </row>
    <row r="94" spans="3:15" x14ac:dyDescent="0.45">
      <c r="C94">
        <v>-1.9896522787241984</v>
      </c>
      <c r="D94">
        <v>0.33919007901132808</v>
      </c>
      <c r="E94">
        <v>-1.7694953518410237</v>
      </c>
      <c r="H94">
        <v>1</v>
      </c>
      <c r="I94">
        <v>4</v>
      </c>
      <c r="J94">
        <v>1</v>
      </c>
      <c r="M94">
        <v>14.875634871149158</v>
      </c>
      <c r="N94">
        <v>22.287061540651688</v>
      </c>
      <c r="O94">
        <v>34.305038666083419</v>
      </c>
    </row>
    <row r="95" spans="3:15" x14ac:dyDescent="0.45">
      <c r="C95">
        <v>-1.9896522787241984</v>
      </c>
      <c r="D95">
        <v>0.33919007901132808</v>
      </c>
      <c r="E95">
        <v>0.33919007901132808</v>
      </c>
      <c r="H95">
        <v>1</v>
      </c>
      <c r="I95">
        <v>4</v>
      </c>
      <c r="J95">
        <v>4</v>
      </c>
      <c r="M95">
        <v>14.875634871149158</v>
      </c>
      <c r="N95">
        <v>22.287061540651688</v>
      </c>
      <c r="O95">
        <v>22.287061540651688</v>
      </c>
    </row>
    <row r="96" spans="3:15" x14ac:dyDescent="0.45">
      <c r="C96">
        <v>0.33919007901132808</v>
      </c>
      <c r="D96">
        <v>0.33919007901132808</v>
      </c>
      <c r="E96">
        <v>-1.7694953518410237</v>
      </c>
      <c r="H96">
        <v>4</v>
      </c>
      <c r="I96">
        <v>4</v>
      </c>
      <c r="J96">
        <v>1</v>
      </c>
      <c r="M96">
        <v>22.287061540651688</v>
      </c>
      <c r="N96">
        <v>22.287061540651688</v>
      </c>
      <c r="O96">
        <v>34.305038666083419</v>
      </c>
    </row>
    <row r="97" spans="2:15" x14ac:dyDescent="0.45">
      <c r="C97">
        <v>-1.7696960802767938</v>
      </c>
      <c r="D97">
        <v>0.33919007901132808</v>
      </c>
      <c r="E97">
        <v>0.33919007901132808</v>
      </c>
      <c r="H97">
        <v>2</v>
      </c>
      <c r="I97">
        <v>4</v>
      </c>
      <c r="J97">
        <v>4</v>
      </c>
      <c r="M97">
        <v>17.892993157786602</v>
      </c>
      <c r="N97">
        <v>22.287061540651688</v>
      </c>
      <c r="O97">
        <v>22.287061540651688</v>
      </c>
    </row>
    <row r="98" spans="2:15" x14ac:dyDescent="0.45">
      <c r="C98">
        <v>-0.31992499858815759</v>
      </c>
      <c r="D98">
        <v>0.33919007901132808</v>
      </c>
      <c r="E98">
        <v>-1.7696960802767938</v>
      </c>
      <c r="H98">
        <v>3</v>
      </c>
      <c r="I98">
        <v>4</v>
      </c>
      <c r="J98">
        <v>2</v>
      </c>
      <c r="M98">
        <v>21.025072893823587</v>
      </c>
      <c r="N98">
        <v>22.287061540651688</v>
      </c>
      <c r="O98">
        <v>17.892993157786602</v>
      </c>
    </row>
    <row r="99" spans="2:15" x14ac:dyDescent="0.45">
      <c r="C99">
        <v>-1.7696960802767938</v>
      </c>
      <c r="D99">
        <v>-1.7696960802767938</v>
      </c>
      <c r="E99">
        <v>0.33919007901132808</v>
      </c>
      <c r="H99">
        <v>2</v>
      </c>
      <c r="I99">
        <v>2</v>
      </c>
      <c r="J99">
        <v>4</v>
      </c>
      <c r="M99">
        <v>17.892993157786602</v>
      </c>
      <c r="N99">
        <v>17.892993157786602</v>
      </c>
      <c r="O99">
        <v>22.287061540651688</v>
      </c>
    </row>
    <row r="100" spans="2:15" x14ac:dyDescent="0.45">
      <c r="C100">
        <v>0.33919007901132808</v>
      </c>
      <c r="D100">
        <v>-1.9896522787241984</v>
      </c>
      <c r="E100">
        <v>0.33919007901132808</v>
      </c>
      <c r="H100">
        <v>4</v>
      </c>
      <c r="I100">
        <v>1</v>
      </c>
      <c r="J100">
        <v>4</v>
      </c>
      <c r="M100">
        <v>22.287061540651688</v>
      </c>
      <c r="N100">
        <v>14.875634871149158</v>
      </c>
      <c r="O100">
        <v>22.287061540651688</v>
      </c>
    </row>
    <row r="101" spans="2:15" x14ac:dyDescent="0.45">
      <c r="C101">
        <v>0.33919007901132808</v>
      </c>
      <c r="D101">
        <v>-1.7694953518410237</v>
      </c>
      <c r="E101">
        <v>0.33919007901132808</v>
      </c>
      <c r="H101">
        <v>4</v>
      </c>
      <c r="I101">
        <v>1</v>
      </c>
      <c r="J101">
        <v>4</v>
      </c>
      <c r="M101">
        <v>22.287061540651688</v>
      </c>
      <c r="N101">
        <v>34.305038666083419</v>
      </c>
      <c r="O101">
        <v>22.287061540651688</v>
      </c>
    </row>
    <row r="103" spans="2:15" x14ac:dyDescent="0.45">
      <c r="B103" t="s">
        <v>1</v>
      </c>
      <c r="C103">
        <f>AVERAGE(C2:C101)</f>
        <v>-0.8769535612049576</v>
      </c>
      <c r="D103">
        <f t="shared" ref="D103:E103" si="0">AVERAGE(D2:D101)</f>
        <v>-0.4696505551844592</v>
      </c>
      <c r="E103">
        <f t="shared" si="0"/>
        <v>-0.74730956288261841</v>
      </c>
      <c r="H103">
        <f>AVERAGE(H2:H101)</f>
        <v>2.65</v>
      </c>
      <c r="I103">
        <f t="shared" ref="I103:J103" si="1">AVERAGE(I2:I101)</f>
        <v>3.02</v>
      </c>
      <c r="J103">
        <f t="shared" si="1"/>
        <v>2.78</v>
      </c>
      <c r="M103">
        <f>AVERAGE(M2:M101)</f>
        <v>22.333752989588604</v>
      </c>
      <c r="N103">
        <f t="shared" ref="N103:O103" si="2">AVERAGE(N2:N101)</f>
        <v>21.754804162841069</v>
      </c>
      <c r="O103">
        <f t="shared" si="2"/>
        <v>22.414218801882889</v>
      </c>
    </row>
    <row r="104" spans="2:15" x14ac:dyDescent="0.45">
      <c r="B104" t="s">
        <v>7</v>
      </c>
      <c r="C104">
        <f>_xlfn.VAR.S(C2:C101)</f>
        <v>1.1542434475566363</v>
      </c>
      <c r="D104">
        <f t="shared" ref="D104:E104" si="3">_xlfn.VAR.S(D2:D101)</f>
        <v>1.0760786750234861</v>
      </c>
      <c r="E104">
        <f t="shared" si="3"/>
        <v>1.1478497572184849</v>
      </c>
      <c r="H104">
        <f>_xlfn.VAR.S(H2:H101)</f>
        <v>1.542929292929293</v>
      </c>
      <c r="I104">
        <f t="shared" ref="I104:J104" si="4">_xlfn.VAR.S(I2:I101)</f>
        <v>1.6157575757575762</v>
      </c>
      <c r="J104">
        <f t="shared" si="4"/>
        <v>1.5672727272727269</v>
      </c>
      <c r="M104">
        <f>_xlfn.VAR.S(M2:M101)</f>
        <v>38.079714983104267</v>
      </c>
      <c r="N104">
        <f t="shared" ref="N104:O104" si="5">_xlfn.VAR.S(N2:N101)</f>
        <v>22.146215929133692</v>
      </c>
      <c r="O104">
        <f t="shared" si="5"/>
        <v>33.555273027709966</v>
      </c>
    </row>
    <row r="105" spans="2:15" x14ac:dyDescent="0.45">
      <c r="B105" t="s">
        <v>8</v>
      </c>
      <c r="C105">
        <f>C104/(100^(1/2))</f>
        <v>0.11542434475566363</v>
      </c>
      <c r="D105">
        <f t="shared" ref="D105:E105" si="6">D104/(100^(1/2))</f>
        <v>0.1076078675023486</v>
      </c>
      <c r="E105">
        <f t="shared" si="6"/>
        <v>0.1147849757218485</v>
      </c>
      <c r="H105">
        <f>H104/(100^(1/2))</f>
        <v>0.15429292929292932</v>
      </c>
      <c r="I105">
        <f t="shared" ref="I105" si="7">I104/(100^(1/2))</f>
        <v>0.16157575757575762</v>
      </c>
      <c r="J105">
        <f t="shared" ref="J105" si="8">J104/(100^(1/2))</f>
        <v>0.15672727272727269</v>
      </c>
      <c r="M105">
        <f>M104/(100^(1/2))</f>
        <v>3.8079714983104269</v>
      </c>
      <c r="N105">
        <f t="shared" ref="N105" si="9">N104/(100^(1/2))</f>
        <v>2.2146215929133692</v>
      </c>
      <c r="O105">
        <f t="shared" ref="O105" si="10">O104/(100^(1/2))</f>
        <v>3.3555273027709966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5610-C88C-4E0B-BD79-4638CA3101CC}">
  <dimension ref="A1:D9"/>
  <sheetViews>
    <sheetView zoomScaleNormal="100" workbookViewId="0">
      <selection activeCell="A7" sqref="A7"/>
    </sheetView>
  </sheetViews>
  <sheetFormatPr defaultRowHeight="18" x14ac:dyDescent="0.45"/>
  <sheetData>
    <row r="1" spans="1:4" x14ac:dyDescent="0.45">
      <c r="B1" t="s">
        <v>44</v>
      </c>
      <c r="C1" t="s">
        <v>43</v>
      </c>
      <c r="D1" t="s">
        <v>4</v>
      </c>
    </row>
    <row r="2" spans="1:4" x14ac:dyDescent="0.45">
      <c r="A2" t="s">
        <v>46</v>
      </c>
      <c r="B2">
        <v>-0.8769535612049576</v>
      </c>
      <c r="C2">
        <v>2.65</v>
      </c>
      <c r="D2">
        <v>22.333752989588604</v>
      </c>
    </row>
    <row r="3" spans="1:4" x14ac:dyDescent="0.45">
      <c r="A3" t="s">
        <v>13</v>
      </c>
      <c r="B3">
        <v>-0.4696505551844592</v>
      </c>
      <c r="C3">
        <v>3.02</v>
      </c>
      <c r="D3">
        <v>21.754804162841069</v>
      </c>
    </row>
    <row r="4" spans="1:4" x14ac:dyDescent="0.45">
      <c r="A4" t="s">
        <v>14</v>
      </c>
      <c r="B4">
        <v>-0.74730956288261841</v>
      </c>
      <c r="C4">
        <v>2.78</v>
      </c>
      <c r="D4">
        <v>22.414218801882889</v>
      </c>
    </row>
    <row r="6" spans="1:4" x14ac:dyDescent="0.45">
      <c r="B6" t="s">
        <v>44</v>
      </c>
      <c r="C6" t="s">
        <v>43</v>
      </c>
      <c r="D6" t="s">
        <v>4</v>
      </c>
    </row>
    <row r="7" spans="1:4" x14ac:dyDescent="0.45">
      <c r="A7" t="s">
        <v>46</v>
      </c>
      <c r="B7">
        <v>0.11542434475566363</v>
      </c>
      <c r="C7">
        <v>0.15429292929292932</v>
      </c>
      <c r="D7">
        <v>3.8079714983104269</v>
      </c>
    </row>
    <row r="8" spans="1:4" x14ac:dyDescent="0.45">
      <c r="A8" t="s">
        <v>13</v>
      </c>
      <c r="B8">
        <v>0.1076078675023486</v>
      </c>
      <c r="C8">
        <v>0.16157575757575762</v>
      </c>
      <c r="D8">
        <v>2.2146215929133692</v>
      </c>
    </row>
    <row r="9" spans="1:4" x14ac:dyDescent="0.45">
      <c r="A9" t="s">
        <v>14</v>
      </c>
      <c r="B9">
        <v>0.1147849757218485</v>
      </c>
      <c r="C9">
        <v>0.15672727272727269</v>
      </c>
      <c r="D9">
        <v>3.3555273027709966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Str-None</vt:lpstr>
      <vt:lpstr>Str-Corr</vt:lpstr>
      <vt:lpstr>Str-Incorr</vt:lpstr>
      <vt:lpstr>Analysis(Str)</vt:lpstr>
      <vt:lpstr>Figure(Str)</vt:lpstr>
      <vt:lpstr>Right-None</vt:lpstr>
      <vt:lpstr>Right-Corr</vt:lpstr>
      <vt:lpstr>Right-Incorr</vt:lpstr>
      <vt:lpstr>Analysis(Right)</vt:lpstr>
      <vt:lpstr>Figure(Right)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2023-03-02T20:56:23Z</dcterms:created>
  <dcterms:modified xsi:type="dcterms:W3CDTF">2023-03-02T20:57:15Z</dcterms:modified>
</cp:coreProperties>
</file>
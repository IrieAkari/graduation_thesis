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66925"/>
  <xr:revisionPtr revIDLastSave="0" documentId="13_ncr:1_{B3053DEA-065E-4EF7-A6F5-A6851BB960B8}" xr6:coauthVersionLast="47" xr6:coauthVersionMax="47" xr10:uidLastSave="{00000000-0000-0000-0000-000000000000}"/>
  <bookViews>
    <workbookView xWindow="-108" yWindow="-108" windowWidth="23256" windowHeight="13176" xr2:uid="{BE594AB8-AD8B-4253-A3EA-D0B487ECEF17}"/>
  </bookViews>
  <sheets>
    <sheet name="RawData" sheetId="1" r:id="rId1"/>
    <sheet name="Table" sheetId="3" r:id="rId2"/>
    <sheet name="Q1" sheetId="8" r:id="rId3"/>
    <sheet name="Q2" sheetId="9" r:id="rId4"/>
    <sheet name="Q3" sheetId="11" r:id="rId5"/>
    <sheet name="Q4" sheetId="12" r:id="rId6"/>
    <sheet name="Q5" sheetId="13" r:id="rId7"/>
    <sheet name="Q6" sheetId="14" r:id="rId8"/>
    <sheet name="PvelRC" sheetId="4" r:id="rId9"/>
    <sheet name="PadegRC" sheetId="5" r:id="rId10"/>
    <sheet name="PlenRC" sheetId="15" r:id="rId11"/>
    <sheet name="Pav2-0" sheetId="16" r:id="rId12"/>
  </sheets>
  <definedNames>
    <definedName name="_xlnm._FilterDatabase" localSheetId="0" hidden="1">RawData!$A$1:$P$553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3" l="1"/>
  <c r="J18" i="3"/>
  <c r="J17" i="3"/>
  <c r="J13" i="3"/>
  <c r="J12" i="3"/>
  <c r="J11" i="3"/>
  <c r="H11" i="3"/>
  <c r="H12" i="3"/>
  <c r="H13" i="3"/>
  <c r="H17" i="3"/>
  <c r="H18" i="3"/>
  <c r="H19" i="3"/>
  <c r="G19" i="3" l="1"/>
  <c r="G18" i="3"/>
  <c r="G17" i="3"/>
  <c r="F19" i="3"/>
  <c r="F18" i="3"/>
  <c r="F17" i="3"/>
  <c r="E19" i="3"/>
  <c r="E18" i="3"/>
  <c r="E17" i="3"/>
  <c r="D19" i="3"/>
  <c r="D18" i="3"/>
  <c r="D17" i="3"/>
  <c r="C19" i="3"/>
  <c r="C18" i="3"/>
  <c r="C17" i="3"/>
  <c r="B19" i="3"/>
  <c r="B18" i="3"/>
  <c r="B17" i="3"/>
  <c r="I19" i="3"/>
  <c r="I18" i="3"/>
  <c r="I17" i="3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2" i="1"/>
  <c r="K19" i="3"/>
  <c r="K18" i="3"/>
  <c r="K17" i="3"/>
  <c r="K13" i="3"/>
  <c r="K12" i="3"/>
  <c r="K11" i="3"/>
  <c r="I13" i="3"/>
  <c r="I12" i="3"/>
  <c r="I11" i="3"/>
  <c r="G11" i="3"/>
  <c r="F13" i="3"/>
  <c r="D12" i="3"/>
  <c r="B12" i="3"/>
  <c r="C11" i="3"/>
  <c r="G13" i="3"/>
  <c r="E11" i="3"/>
  <c r="D11" i="3"/>
  <c r="F11" i="3"/>
  <c r="B11" i="3"/>
  <c r="F12" i="3"/>
  <c r="C13" i="3"/>
  <c r="G12" i="3"/>
  <c r="E13" i="3"/>
  <c r="D13" i="3"/>
  <c r="E12" i="3"/>
  <c r="C12" i="3"/>
  <c r="B13" i="3"/>
</calcChain>
</file>

<file path=xl/sharedStrings.xml><?xml version="1.0" encoding="utf-8"?>
<sst xmlns="http://schemas.openxmlformats.org/spreadsheetml/2006/main" count="680" uniqueCount="89">
  <si>
    <t>Scene</t>
    <phoneticPr fontId="1"/>
  </si>
  <si>
    <t>Model</t>
    <phoneticPr fontId="1"/>
  </si>
  <si>
    <t>Rposx</t>
    <phoneticPr fontId="1"/>
  </si>
  <si>
    <t>Rposz</t>
    <phoneticPr fontId="1"/>
  </si>
  <si>
    <t>Pposx</t>
    <phoneticPr fontId="1"/>
  </si>
  <si>
    <t>Pposz</t>
    <phoneticPr fontId="1"/>
  </si>
  <si>
    <t>Naturalness</t>
    <phoneticPr fontId="1"/>
  </si>
  <si>
    <t>Avoidability</t>
    <phoneticPr fontId="1"/>
  </si>
  <si>
    <t>AIF With Compassion</t>
    <phoneticPr fontId="1"/>
  </si>
  <si>
    <t>AIF Only</t>
    <phoneticPr fontId="1"/>
  </si>
  <si>
    <t>Designed Run</t>
    <phoneticPr fontId="1"/>
  </si>
  <si>
    <t>総計</t>
  </si>
  <si>
    <t>平均 / Naturalness</t>
  </si>
  <si>
    <t>標準偏差 / Naturalness</t>
  </si>
  <si>
    <t>平均 / Avoidability</t>
  </si>
  <si>
    <t>標準偏差 / Avoidability</t>
  </si>
  <si>
    <t>行ラベル</t>
  </si>
  <si>
    <t>ID</t>
    <phoneticPr fontId="1"/>
  </si>
  <si>
    <t>Compassioness</t>
    <phoneticPr fontId="1"/>
  </si>
  <si>
    <t>Humanly</t>
    <phoneticPr fontId="1"/>
  </si>
  <si>
    <t>Safety</t>
    <phoneticPr fontId="1"/>
  </si>
  <si>
    <t>Type</t>
    <phoneticPr fontId="1"/>
  </si>
  <si>
    <t>ID</t>
  </si>
  <si>
    <t>平均 / Compassioness</t>
  </si>
  <si>
    <t>平均 / Humanly</t>
  </si>
  <si>
    <t>平均 / Safety</t>
  </si>
  <si>
    <t>標準偏差 / Compassioness</t>
  </si>
  <si>
    <t>標準偏差 / Humanly</t>
  </si>
  <si>
    <t>標準偏差 / Safety</t>
  </si>
  <si>
    <t>(複数のアイテム)</t>
  </si>
  <si>
    <t>Desirability</t>
    <phoneticPr fontId="1"/>
  </si>
  <si>
    <t>平均 / Desirability</t>
  </si>
  <si>
    <t>標準偏差 / Desirability</t>
  </si>
  <si>
    <t>Compassion</t>
    <phoneticPr fontId="1"/>
  </si>
  <si>
    <t>Intention</t>
    <phoneticPr fontId="1"/>
  </si>
  <si>
    <t>Smoothness</t>
    <phoneticPr fontId="1"/>
  </si>
  <si>
    <t>PvelRC</t>
  </si>
  <si>
    <t>PadegRC</t>
  </si>
  <si>
    <t>平均 / PvelRC</t>
  </si>
  <si>
    <t>平均 / PadegRC</t>
  </si>
  <si>
    <t>Velocity Change</t>
    <phoneticPr fontId="1"/>
  </si>
  <si>
    <t>Direction Change</t>
    <phoneticPr fontId="1"/>
  </si>
  <si>
    <t>標準偏差 / PvelRC</t>
  </si>
  <si>
    <t>標準偏差 / PadegRC</t>
  </si>
  <si>
    <t>id</t>
  </si>
  <si>
    <t>Type</t>
  </si>
  <si>
    <t>Designed</t>
  </si>
  <si>
    <t>AIFonly</t>
  </si>
  <si>
    <t>Compassion</t>
  </si>
  <si>
    <t>分散分析: 一元配置</t>
  </si>
  <si>
    <t>概要</t>
  </si>
  <si>
    <t>グループ</t>
  </si>
  <si>
    <t>データの個数</t>
  </si>
  <si>
    <t>合計</t>
  </si>
  <si>
    <t>平均</t>
  </si>
  <si>
    <t>分散</t>
  </si>
  <si>
    <t>分散分析表</t>
  </si>
  <si>
    <t>変動要因</t>
  </si>
  <si>
    <t>変動</t>
  </si>
  <si>
    <t>自由度</t>
  </si>
  <si>
    <t>観測された分散比</t>
  </si>
  <si>
    <t>P-値</t>
  </si>
  <si>
    <t>F 境界値</t>
  </si>
  <si>
    <t>グループ間</t>
  </si>
  <si>
    <t>グループ内</t>
  </si>
  <si>
    <t>PlenRC</t>
  </si>
  <si>
    <t>Pavdist0</t>
  </si>
  <si>
    <t>Pavdist1</t>
  </si>
  <si>
    <t>Pavdist2</t>
  </si>
  <si>
    <t>Pavdist3</t>
  </si>
  <si>
    <t>Pavdist4</t>
  </si>
  <si>
    <t>Pavdist5</t>
  </si>
  <si>
    <t>平均 / PlenRC</t>
  </si>
  <si>
    <t>標準偏差 / PlenRC</t>
  </si>
  <si>
    <t>Pav2-0</t>
    <phoneticPr fontId="1"/>
  </si>
  <si>
    <t>平均 / Pav2-0</t>
  </si>
  <si>
    <t>標準偏差 / Pav2-0</t>
  </si>
  <si>
    <t>Path Length</t>
    <phoneticPr fontId="1"/>
  </si>
  <si>
    <t>Initial Avoidance</t>
    <phoneticPr fontId="1"/>
  </si>
  <si>
    <t>Designed</t>
    <phoneticPr fontId="1"/>
  </si>
  <si>
    <t>t-検定: 一対の標本による平均の検定ツール</t>
  </si>
  <si>
    <t>観測数</t>
  </si>
  <si>
    <t>ピアソン相関</t>
  </si>
  <si>
    <t>仮説平均との差異</t>
  </si>
  <si>
    <t xml:space="preserve">t </t>
  </si>
  <si>
    <t>P(T&lt;=t) 片側</t>
  </si>
  <si>
    <t>t 境界値 片側</t>
  </si>
  <si>
    <t>P(T&lt;=t) 両側</t>
  </si>
  <si>
    <t>t 境界値 両側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</si>
</sst>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US" altLang="ja-JP">
                <a:latin typeface="Segoe UI Black" panose="020B0A02040204020203" pitchFamily="34" charset="0"/>
                <a:ea typeface="Segoe UI Black" panose="020B0A02040204020203" pitchFamily="34" charset="0"/>
              </a:rPr>
              <a:t>Positive</a:t>
            </a:r>
            <a:r>
              <a:rPr lang="en-US" altLang="ja-JP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and Negative Pole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pattFill prst="pct25">
              <a:fgClr>
                <a:schemeClr val="accent1"/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Table!$B$17:$G$17</c:f>
                <c:numCache>
                  <c:formatCode>General</c:formatCode>
                  <c:ptCount val="6"/>
                  <c:pt idx="0">
                    <c:v>0.25219039697357787</c:v>
                  </c:pt>
                  <c:pt idx="1">
                    <c:v>0.2478921649149482</c:v>
                  </c:pt>
                  <c:pt idx="2">
                    <c:v>0.28269051859991773</c:v>
                  </c:pt>
                  <c:pt idx="3">
                    <c:v>0.26941358984414682</c:v>
                  </c:pt>
                  <c:pt idx="4">
                    <c:v>0.26383231780151517</c:v>
                  </c:pt>
                  <c:pt idx="5">
                    <c:v>0.23635899686033829</c:v>
                  </c:pt>
                </c:numCache>
              </c:numRef>
            </c:plus>
            <c:minus>
              <c:numRef>
                <c:f>Table!$B$17:$G$17</c:f>
                <c:numCache>
                  <c:formatCode>General</c:formatCode>
                  <c:ptCount val="6"/>
                  <c:pt idx="0">
                    <c:v>0.25219039697357787</c:v>
                  </c:pt>
                  <c:pt idx="1">
                    <c:v>0.2478921649149482</c:v>
                  </c:pt>
                  <c:pt idx="2">
                    <c:v>0.28269051859991773</c:v>
                  </c:pt>
                  <c:pt idx="3">
                    <c:v>0.26941358984414682</c:v>
                  </c:pt>
                  <c:pt idx="4">
                    <c:v>0.26383231780151517</c:v>
                  </c:pt>
                  <c:pt idx="5">
                    <c:v>0.23635899686033829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Table!$B$10:$G$10</c:f>
              <c:strCache>
                <c:ptCount val="6"/>
                <c:pt idx="0">
                  <c:v>Compassion</c:v>
                </c:pt>
                <c:pt idx="1">
                  <c:v>Naturalness</c:v>
                </c:pt>
                <c:pt idx="2">
                  <c:v>Intention</c:v>
                </c:pt>
                <c:pt idx="3">
                  <c:v>Safety</c:v>
                </c:pt>
                <c:pt idx="4">
                  <c:v>Smoothness</c:v>
                </c:pt>
                <c:pt idx="5">
                  <c:v>Desirability</c:v>
                </c:pt>
              </c:strCache>
            </c:strRef>
          </c:cat>
          <c:val>
            <c:numRef>
              <c:f>Table!$B$11:$G$11</c:f>
              <c:numCache>
                <c:formatCode>General</c:formatCode>
                <c:ptCount val="6"/>
                <c:pt idx="0">
                  <c:v>-0.78472222222222221</c:v>
                </c:pt>
                <c:pt idx="1">
                  <c:v>0.53472222222222221</c:v>
                </c:pt>
                <c:pt idx="2">
                  <c:v>-0.54861111111111116</c:v>
                </c:pt>
                <c:pt idx="3">
                  <c:v>-0.36805555555555558</c:v>
                </c:pt>
                <c:pt idx="4">
                  <c:v>-0.13194444444444445</c:v>
                </c:pt>
                <c:pt idx="5">
                  <c:v>-0.3125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D-4607-A189-A8A2393C4B0F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dkDnDiag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Table!$B$18:$G$18</c:f>
                <c:numCache>
                  <c:formatCode>General</c:formatCode>
                  <c:ptCount val="6"/>
                  <c:pt idx="0">
                    <c:v>0.33621098586084519</c:v>
                  </c:pt>
                  <c:pt idx="1">
                    <c:v>0.29963219050775802</c:v>
                  </c:pt>
                  <c:pt idx="2">
                    <c:v>0.29057413797346815</c:v>
                  </c:pt>
                  <c:pt idx="3">
                    <c:v>0.31378703221660009</c:v>
                  </c:pt>
                  <c:pt idx="4">
                    <c:v>0.33162037821860862</c:v>
                  </c:pt>
                  <c:pt idx="5">
                    <c:v>0.31549126864902044</c:v>
                  </c:pt>
                </c:numCache>
              </c:numRef>
            </c:plus>
            <c:minus>
              <c:numRef>
                <c:f>Table!$B$18:$G$18</c:f>
                <c:numCache>
                  <c:formatCode>General</c:formatCode>
                  <c:ptCount val="6"/>
                  <c:pt idx="0">
                    <c:v>0.33621098586084519</c:v>
                  </c:pt>
                  <c:pt idx="1">
                    <c:v>0.29963219050775802</c:v>
                  </c:pt>
                  <c:pt idx="2">
                    <c:v>0.29057413797346815</c:v>
                  </c:pt>
                  <c:pt idx="3">
                    <c:v>0.31378703221660009</c:v>
                  </c:pt>
                  <c:pt idx="4">
                    <c:v>0.33162037821860862</c:v>
                  </c:pt>
                  <c:pt idx="5">
                    <c:v>0.31549126864902044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Table!$B$10:$G$10</c:f>
              <c:strCache>
                <c:ptCount val="6"/>
                <c:pt idx="0">
                  <c:v>Compassion</c:v>
                </c:pt>
                <c:pt idx="1">
                  <c:v>Naturalness</c:v>
                </c:pt>
                <c:pt idx="2">
                  <c:v>Intention</c:v>
                </c:pt>
                <c:pt idx="3">
                  <c:v>Safety</c:v>
                </c:pt>
                <c:pt idx="4">
                  <c:v>Smoothness</c:v>
                </c:pt>
                <c:pt idx="5">
                  <c:v>Desirability</c:v>
                </c:pt>
              </c:strCache>
            </c:strRef>
          </c:cat>
          <c:val>
            <c:numRef>
              <c:f>Table!$B$12:$G$12</c:f>
              <c:numCache>
                <c:formatCode>General</c:formatCode>
                <c:ptCount val="6"/>
                <c:pt idx="0">
                  <c:v>9.0277777777777776E-2</c:v>
                </c:pt>
                <c:pt idx="1">
                  <c:v>0.25694444444444442</c:v>
                </c:pt>
                <c:pt idx="2">
                  <c:v>0.71527777777777779</c:v>
                </c:pt>
                <c:pt idx="3">
                  <c:v>-4.1666666666666664E-2</c:v>
                </c:pt>
                <c:pt idx="4">
                  <c:v>0.19444444444444445</c:v>
                </c:pt>
                <c:pt idx="5">
                  <c:v>6.9444444444444441E-3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D-4607-A189-A8A2393C4B0F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75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75000"/>
                  <a:lumOff val="2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Table!$B$19:$G$19</c:f>
                <c:numCache>
                  <c:formatCode>General</c:formatCode>
                  <c:ptCount val="6"/>
                  <c:pt idx="0">
                    <c:v>0.28981840692873356</c:v>
                  </c:pt>
                  <c:pt idx="1">
                    <c:v>0.25752918591697405</c:v>
                  </c:pt>
                  <c:pt idx="2">
                    <c:v>0.24299413434057848</c:v>
                  </c:pt>
                  <c:pt idx="3">
                    <c:v>0.27934412875386044</c:v>
                  </c:pt>
                  <c:pt idx="4">
                    <c:v>0.26663755765948455</c:v>
                  </c:pt>
                  <c:pt idx="5">
                    <c:v>0.2797384507411258</c:v>
                  </c:pt>
                </c:numCache>
              </c:numRef>
            </c:plus>
            <c:minus>
              <c:numRef>
                <c:f>Table!$B$19:$G$19</c:f>
                <c:numCache>
                  <c:formatCode>General</c:formatCode>
                  <c:ptCount val="6"/>
                  <c:pt idx="0">
                    <c:v>0.28981840692873356</c:v>
                  </c:pt>
                  <c:pt idx="1">
                    <c:v>0.25752918591697405</c:v>
                  </c:pt>
                  <c:pt idx="2">
                    <c:v>0.24299413434057848</c:v>
                  </c:pt>
                  <c:pt idx="3">
                    <c:v>0.27934412875386044</c:v>
                  </c:pt>
                  <c:pt idx="4">
                    <c:v>0.26663755765948455</c:v>
                  </c:pt>
                  <c:pt idx="5">
                    <c:v>0.2797384507411258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Table!$B$10:$G$10</c:f>
              <c:strCache>
                <c:ptCount val="6"/>
                <c:pt idx="0">
                  <c:v>Compassion</c:v>
                </c:pt>
                <c:pt idx="1">
                  <c:v>Naturalness</c:v>
                </c:pt>
                <c:pt idx="2">
                  <c:v>Intention</c:v>
                </c:pt>
                <c:pt idx="3">
                  <c:v>Safety</c:v>
                </c:pt>
                <c:pt idx="4">
                  <c:v>Smoothness</c:v>
                </c:pt>
                <c:pt idx="5">
                  <c:v>Desirability</c:v>
                </c:pt>
              </c:strCache>
            </c:strRef>
          </c:cat>
          <c:val>
            <c:numRef>
              <c:f>Table!$B$13:$G$13</c:f>
              <c:numCache>
                <c:formatCode>General</c:formatCode>
                <c:ptCount val="6"/>
                <c:pt idx="0">
                  <c:v>1</c:v>
                </c:pt>
                <c:pt idx="1">
                  <c:v>0.80555555555555558</c:v>
                </c:pt>
                <c:pt idx="2">
                  <c:v>1.1944444444444444</c:v>
                </c:pt>
                <c:pt idx="3">
                  <c:v>1.0138888888888888</c:v>
                </c:pt>
                <c:pt idx="4">
                  <c:v>0.99305555555555558</c:v>
                </c:pt>
                <c:pt idx="5">
                  <c:v>0.84722222222222221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D-4607-A189-A8A2393C4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rnd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100"/>
        <c:noMultiLvlLbl val="0"/>
      </c:catAx>
      <c:valAx>
        <c:axId val="1574644048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endParaRPr lang="ja-JP"/>
          </a:p>
        </c:txPr>
        <c:crossAx val="1574640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72525782758E-2"/>
          <c:y val="0.13387731905225753"/>
          <c:w val="0.84977360286104586"/>
          <c:h val="0.724918507932537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Table!$K$17</c:f>
                <c:numCache>
                  <c:formatCode>General</c:formatCode>
                  <c:ptCount val="1"/>
                  <c:pt idx="0">
                    <c:v>0.11797306447458142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Table!$K$17</c:f>
                <c:numCache>
                  <c:formatCode>General</c:formatCode>
                  <c:ptCount val="1"/>
                  <c:pt idx="0">
                    <c:v>0.11797306447458142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Table!$K$10</c:f>
              <c:strCache>
                <c:ptCount val="1"/>
                <c:pt idx="0">
                  <c:v>Initial Avoidance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Table!$K$11</c:f>
              <c:numCache>
                <c:formatCode>General</c:formatCode>
                <c:ptCount val="1"/>
                <c:pt idx="0">
                  <c:v>0.48257584590972219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F15-A346-013B3004C426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Table!$K$18</c:f>
                <c:numCache>
                  <c:formatCode>General</c:formatCode>
                  <c:ptCount val="1"/>
                  <c:pt idx="0">
                    <c:v>0.13310918160564125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Table!$K$18</c:f>
                <c:numCache>
                  <c:formatCode>General</c:formatCode>
                  <c:ptCount val="1"/>
                  <c:pt idx="0">
                    <c:v>0.13310918160564125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Table!$K$10</c:f>
              <c:strCache>
                <c:ptCount val="1"/>
                <c:pt idx="0">
                  <c:v>Initial Avoidance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Table!$K$12</c:f>
              <c:numCache>
                <c:formatCode>General</c:formatCode>
                <c:ptCount val="1"/>
                <c:pt idx="0">
                  <c:v>0.55034127439097213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3-4F15-A346-013B3004C426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Table!$K$19</c:f>
                <c:numCache>
                  <c:formatCode>General</c:formatCode>
                  <c:ptCount val="1"/>
                  <c:pt idx="0">
                    <c:v>0.11974196449658503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Table!$K$19</c:f>
                <c:numCache>
                  <c:formatCode>General</c:formatCode>
                  <c:ptCount val="1"/>
                  <c:pt idx="0">
                    <c:v>0.11974196449658503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Table!$K$10</c:f>
              <c:strCache>
                <c:ptCount val="1"/>
                <c:pt idx="0">
                  <c:v>Initial Avoidance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Table!$K$13</c:f>
              <c:numCache>
                <c:formatCode>General</c:formatCode>
                <c:ptCount val="1"/>
                <c:pt idx="0">
                  <c:v>0.46804105500694426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D3-4F15-A346-013B3004C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100"/>
        <c:noMultiLvlLbl val="0"/>
      </c:catAx>
      <c:valAx>
        <c:axId val="1574644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2897811750139423"/>
          <c:y val="2.1563292507175667E-2"/>
          <c:w val="0.46832824259540656"/>
          <c:h val="0.196073757585772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Table!$B$17</c:f>
                <c:numCache>
                  <c:formatCode>General</c:formatCode>
                  <c:ptCount val="1"/>
                  <c:pt idx="0">
                    <c:v>0.25219039697357787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Table!$B$17</c:f>
                <c:numCache>
                  <c:formatCode>General</c:formatCode>
                  <c:ptCount val="1"/>
                  <c:pt idx="0">
                    <c:v>0.25219039697357787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Table!$B$10</c:f>
              <c:strCache>
                <c:ptCount val="1"/>
                <c:pt idx="0">
                  <c:v>Compassion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Table!$B$11</c:f>
              <c:numCache>
                <c:formatCode>General</c:formatCode>
                <c:ptCount val="1"/>
                <c:pt idx="0">
                  <c:v>-0.78472222222222221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Table!$B$18</c:f>
                <c:numCache>
                  <c:formatCode>General</c:formatCode>
                  <c:ptCount val="1"/>
                  <c:pt idx="0">
                    <c:v>0.33621098586084519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Table!$B$18</c:f>
                <c:numCache>
                  <c:formatCode>General</c:formatCode>
                  <c:ptCount val="1"/>
                  <c:pt idx="0">
                    <c:v>0.33621098586084519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Table!$B$10</c:f>
              <c:strCache>
                <c:ptCount val="1"/>
                <c:pt idx="0">
                  <c:v>Compassion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Table!$B$12</c:f>
              <c:numCache>
                <c:formatCode>General</c:formatCode>
                <c:ptCount val="1"/>
                <c:pt idx="0">
                  <c:v>9.0277777777777776E-2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Table!$B$19</c:f>
                <c:numCache>
                  <c:formatCode>General</c:formatCode>
                  <c:ptCount val="1"/>
                  <c:pt idx="0">
                    <c:v>0.28981840692873356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Table!$B$19</c:f>
                <c:numCache>
                  <c:formatCode>General</c:formatCode>
                  <c:ptCount val="1"/>
                  <c:pt idx="0">
                    <c:v>0.28981840692873356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Table!$B$10</c:f>
              <c:strCache>
                <c:ptCount val="1"/>
                <c:pt idx="0">
                  <c:v>Compassion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Table!$B$13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9577113754599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Table!$C$17</c:f>
                <c:numCache>
                  <c:formatCode>General</c:formatCode>
                  <c:ptCount val="1"/>
                  <c:pt idx="0">
                    <c:v>0.2478921649149482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Table!$C$17</c:f>
                <c:numCache>
                  <c:formatCode>General</c:formatCode>
                  <c:ptCount val="1"/>
                  <c:pt idx="0">
                    <c:v>0.2478921649149482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Table!$C$10</c:f>
              <c:strCache>
                <c:ptCount val="1"/>
                <c:pt idx="0">
                  <c:v>Naturalness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Table!$C$11</c:f>
              <c:numCache>
                <c:formatCode>General</c:formatCode>
                <c:ptCount val="1"/>
                <c:pt idx="0">
                  <c:v>0.53472222222222221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Table!$C$18</c:f>
                <c:numCache>
                  <c:formatCode>General</c:formatCode>
                  <c:ptCount val="1"/>
                  <c:pt idx="0">
                    <c:v>0.29963219050775802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Table!$C$18</c:f>
                <c:numCache>
                  <c:formatCode>General</c:formatCode>
                  <c:ptCount val="1"/>
                  <c:pt idx="0">
                    <c:v>0.29963219050775802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Table!$C$10</c:f>
              <c:strCache>
                <c:ptCount val="1"/>
                <c:pt idx="0">
                  <c:v>Naturalness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Table!$C$12</c:f>
              <c:numCache>
                <c:formatCode>General</c:formatCode>
                <c:ptCount val="1"/>
                <c:pt idx="0">
                  <c:v>0.25694444444444442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Table!$C$19</c:f>
                <c:numCache>
                  <c:formatCode>General</c:formatCode>
                  <c:ptCount val="1"/>
                  <c:pt idx="0">
                    <c:v>0.25752918591697405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Table!$C$19</c:f>
                <c:numCache>
                  <c:formatCode>General</c:formatCode>
                  <c:ptCount val="1"/>
                  <c:pt idx="0">
                    <c:v>0.25752918591697405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Table!$C$10</c:f>
              <c:strCache>
                <c:ptCount val="1"/>
                <c:pt idx="0">
                  <c:v>Naturalness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Table!$C$13</c:f>
              <c:numCache>
                <c:formatCode>General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15367711787425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Table!$D$17</c:f>
                <c:numCache>
                  <c:formatCode>General</c:formatCode>
                  <c:ptCount val="1"/>
                  <c:pt idx="0">
                    <c:v>0.28269051859991773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Table!$D$17</c:f>
                <c:numCache>
                  <c:formatCode>General</c:formatCode>
                  <c:ptCount val="1"/>
                  <c:pt idx="0">
                    <c:v>0.28269051859991773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Table!$D$10</c:f>
              <c:strCache>
                <c:ptCount val="1"/>
                <c:pt idx="0">
                  <c:v>Intention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Table!$D$11</c:f>
              <c:numCache>
                <c:formatCode>General</c:formatCode>
                <c:ptCount val="1"/>
                <c:pt idx="0">
                  <c:v>-0.54861111111111116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Table!$D$18</c:f>
                <c:numCache>
                  <c:formatCode>General</c:formatCode>
                  <c:ptCount val="1"/>
                  <c:pt idx="0">
                    <c:v>0.29057413797346815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Table!$D$18</c:f>
                <c:numCache>
                  <c:formatCode>General</c:formatCode>
                  <c:ptCount val="1"/>
                  <c:pt idx="0">
                    <c:v>0.29057413797346815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Table!$D$10</c:f>
              <c:strCache>
                <c:ptCount val="1"/>
                <c:pt idx="0">
                  <c:v>Intention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Table!$D$12</c:f>
              <c:numCache>
                <c:formatCode>General</c:formatCode>
                <c:ptCount val="1"/>
                <c:pt idx="0">
                  <c:v>0.71527777777777779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Table!$D$19</c:f>
                <c:numCache>
                  <c:formatCode>General</c:formatCode>
                  <c:ptCount val="1"/>
                  <c:pt idx="0">
                    <c:v>0.24299413434057848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Table!$D$19</c:f>
                <c:numCache>
                  <c:formatCode>General</c:formatCode>
                  <c:ptCount val="1"/>
                  <c:pt idx="0">
                    <c:v>0.24299413434057848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Table!$D$10</c:f>
              <c:strCache>
                <c:ptCount val="1"/>
                <c:pt idx="0">
                  <c:v>Intention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Table!$D$13</c:f>
              <c:numCache>
                <c:formatCode>General</c:formatCode>
                <c:ptCount val="1"/>
                <c:pt idx="0">
                  <c:v>1.1944444444444444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9577113754599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Table!$E$17</c:f>
                <c:numCache>
                  <c:formatCode>General</c:formatCode>
                  <c:ptCount val="1"/>
                  <c:pt idx="0">
                    <c:v>0.26941358984414682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Table!$E$17</c:f>
                <c:numCache>
                  <c:formatCode>General</c:formatCode>
                  <c:ptCount val="1"/>
                  <c:pt idx="0">
                    <c:v>0.26941358984414682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Table!$E$10</c:f>
              <c:strCache>
                <c:ptCount val="1"/>
                <c:pt idx="0">
                  <c:v>Safety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Table!$E$11</c:f>
              <c:numCache>
                <c:formatCode>General</c:formatCode>
                <c:ptCount val="1"/>
                <c:pt idx="0">
                  <c:v>-0.36805555555555558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Table!$E$18</c:f>
                <c:numCache>
                  <c:formatCode>General</c:formatCode>
                  <c:ptCount val="1"/>
                  <c:pt idx="0">
                    <c:v>0.31378703221660009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Table!$E$18</c:f>
                <c:numCache>
                  <c:formatCode>General</c:formatCode>
                  <c:ptCount val="1"/>
                  <c:pt idx="0">
                    <c:v>0.31378703221660009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Table!$E$10</c:f>
              <c:strCache>
                <c:ptCount val="1"/>
                <c:pt idx="0">
                  <c:v>Safety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Table!$E$12</c:f>
              <c:numCache>
                <c:formatCode>General</c:formatCode>
                <c:ptCount val="1"/>
                <c:pt idx="0">
                  <c:v>-4.1666666666666664E-2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Table!$E$19</c:f>
                <c:numCache>
                  <c:formatCode>General</c:formatCode>
                  <c:ptCount val="1"/>
                  <c:pt idx="0">
                    <c:v>0.27934412875386044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Table!$E$19</c:f>
                <c:numCache>
                  <c:formatCode>General</c:formatCode>
                  <c:ptCount val="1"/>
                  <c:pt idx="0">
                    <c:v>0.27934412875386044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Table!$E$10</c:f>
              <c:strCache>
                <c:ptCount val="1"/>
                <c:pt idx="0">
                  <c:v>Safety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Table!$E$13</c:f>
              <c:numCache>
                <c:formatCode>General</c:formatCode>
                <c:ptCount val="1"/>
                <c:pt idx="0">
                  <c:v>1.0138888888888888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15367711787425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Table!$F$17</c:f>
                <c:numCache>
                  <c:formatCode>General</c:formatCode>
                  <c:ptCount val="1"/>
                  <c:pt idx="0">
                    <c:v>0.26383231780151517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Table!$F$17</c:f>
                <c:numCache>
                  <c:formatCode>General</c:formatCode>
                  <c:ptCount val="1"/>
                  <c:pt idx="0">
                    <c:v>0.26383231780151517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Table!$F$10</c:f>
              <c:strCache>
                <c:ptCount val="1"/>
                <c:pt idx="0">
                  <c:v>Smoothness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Table!$F$11</c:f>
              <c:numCache>
                <c:formatCode>General</c:formatCode>
                <c:ptCount val="1"/>
                <c:pt idx="0">
                  <c:v>-0.13194444444444445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Table!$F$18</c:f>
                <c:numCache>
                  <c:formatCode>General</c:formatCode>
                  <c:ptCount val="1"/>
                  <c:pt idx="0">
                    <c:v>0.33162037821860862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Table!$F$18</c:f>
                <c:numCache>
                  <c:formatCode>General</c:formatCode>
                  <c:ptCount val="1"/>
                  <c:pt idx="0">
                    <c:v>0.33162037821860862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Table!$F$10</c:f>
              <c:strCache>
                <c:ptCount val="1"/>
                <c:pt idx="0">
                  <c:v>Smoothness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Table!$F$12</c:f>
              <c:numCache>
                <c:formatCode>General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Table!$F$19</c:f>
                <c:numCache>
                  <c:formatCode>General</c:formatCode>
                  <c:ptCount val="1"/>
                  <c:pt idx="0">
                    <c:v>0.26663755765948455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Table!$F$19</c:f>
                <c:numCache>
                  <c:formatCode>General</c:formatCode>
                  <c:ptCount val="1"/>
                  <c:pt idx="0">
                    <c:v>0.26663755765948455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Table!$F$10</c:f>
              <c:strCache>
                <c:ptCount val="1"/>
                <c:pt idx="0">
                  <c:v>Smoothness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Table!$F$13</c:f>
              <c:numCache>
                <c:formatCode>General</c:formatCode>
                <c:ptCount val="1"/>
                <c:pt idx="0">
                  <c:v>0.99305555555555558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792129228839203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Table!$G$17</c:f>
                <c:numCache>
                  <c:formatCode>General</c:formatCode>
                  <c:ptCount val="1"/>
                  <c:pt idx="0">
                    <c:v>0.23635899686033829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Table!$G$17</c:f>
                <c:numCache>
                  <c:formatCode>General</c:formatCode>
                  <c:ptCount val="1"/>
                  <c:pt idx="0">
                    <c:v>0.23635899686033829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Table!$G$10</c:f>
              <c:strCache>
                <c:ptCount val="1"/>
                <c:pt idx="0">
                  <c:v>Desirability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Table!$G$11</c:f>
              <c:numCache>
                <c:formatCode>General</c:formatCode>
                <c:ptCount val="1"/>
                <c:pt idx="0">
                  <c:v>-0.3125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Table!$G$18</c:f>
                <c:numCache>
                  <c:formatCode>General</c:formatCode>
                  <c:ptCount val="1"/>
                  <c:pt idx="0">
                    <c:v>0.31549126864902044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Table!$G$18</c:f>
                <c:numCache>
                  <c:formatCode>General</c:formatCode>
                  <c:ptCount val="1"/>
                  <c:pt idx="0">
                    <c:v>0.31549126864902044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Table!$G$10</c:f>
              <c:strCache>
                <c:ptCount val="1"/>
                <c:pt idx="0">
                  <c:v>Desirability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Table!$G$12</c:f>
              <c:numCache>
                <c:formatCode>General</c:formatCode>
                <c:ptCount val="1"/>
                <c:pt idx="0">
                  <c:v>6.9444444444444441E-3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Table!$G$19</c:f>
                <c:numCache>
                  <c:formatCode>General</c:formatCode>
                  <c:ptCount val="1"/>
                  <c:pt idx="0">
                    <c:v>0.2797384507411258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Table!$G$19</c:f>
                <c:numCache>
                  <c:formatCode>General</c:formatCode>
                  <c:ptCount val="1"/>
                  <c:pt idx="0">
                    <c:v>0.2797384507411258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Table!$G$10</c:f>
              <c:strCache>
                <c:ptCount val="1"/>
                <c:pt idx="0">
                  <c:v>Desirability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Table!$G$13</c:f>
              <c:numCache>
                <c:formatCode>General</c:formatCode>
                <c:ptCount val="1"/>
                <c:pt idx="0">
                  <c:v>0.84722222222222221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2"/>
          <c:min val="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15367711787425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Table!$H$17</c:f>
                <c:numCache>
                  <c:formatCode>General</c:formatCode>
                  <c:ptCount val="1"/>
                  <c:pt idx="0">
                    <c:v>0.75202334625053013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Table!$H$17</c:f>
                <c:numCache>
                  <c:formatCode>General</c:formatCode>
                  <c:ptCount val="1"/>
                  <c:pt idx="0">
                    <c:v>0.75202334625053013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Table!$H$10</c:f>
              <c:strCache>
                <c:ptCount val="1"/>
                <c:pt idx="0">
                  <c:v>Velocity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Table!$H$11</c:f>
              <c:numCache>
                <c:formatCode>General</c:formatCode>
                <c:ptCount val="1"/>
                <c:pt idx="0">
                  <c:v>8.5291042719728765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Table!$H$18</c:f>
                <c:numCache>
                  <c:formatCode>General</c:formatCode>
                  <c:ptCount val="1"/>
                  <c:pt idx="0">
                    <c:v>0.667117752048345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Table!$H$18</c:f>
                <c:numCache>
                  <c:formatCode>General</c:formatCode>
                  <c:ptCount val="1"/>
                  <c:pt idx="0">
                    <c:v>0.667117752048345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Table!$H$10</c:f>
              <c:strCache>
                <c:ptCount val="1"/>
                <c:pt idx="0">
                  <c:v>Velocity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Table!$H$12</c:f>
              <c:numCache>
                <c:formatCode>General</c:formatCode>
                <c:ptCount val="1"/>
                <c:pt idx="0">
                  <c:v>8.4924558087923216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Table!$H$19</c:f>
                <c:numCache>
                  <c:formatCode>General</c:formatCode>
                  <c:ptCount val="1"/>
                  <c:pt idx="0">
                    <c:v>0.62992771784088775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Table!$H$19</c:f>
                <c:numCache>
                  <c:formatCode>General</c:formatCode>
                  <c:ptCount val="1"/>
                  <c:pt idx="0">
                    <c:v>0.62992771784088775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Table!$H$10</c:f>
              <c:strCache>
                <c:ptCount val="1"/>
                <c:pt idx="0">
                  <c:v>Velocity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Table!$H$13</c:f>
              <c:numCache>
                <c:formatCode>General</c:formatCode>
                <c:ptCount val="1"/>
                <c:pt idx="0">
                  <c:v>8.1126777957123952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15367711787425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Table!$I$17</c:f>
                <c:numCache>
                  <c:formatCode>General</c:formatCode>
                  <c:ptCount val="1"/>
                  <c:pt idx="0">
                    <c:v>1.3984625652448615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Table!$I$17</c:f>
                <c:numCache>
                  <c:formatCode>General</c:formatCode>
                  <c:ptCount val="1"/>
                  <c:pt idx="0">
                    <c:v>1.3984625652448615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Table!$I$10</c:f>
              <c:strCache>
                <c:ptCount val="1"/>
                <c:pt idx="0">
                  <c:v>Direction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Table!$I$11</c:f>
              <c:numCache>
                <c:formatCode>General</c:formatCode>
                <c:ptCount val="1"/>
                <c:pt idx="0">
                  <c:v>8.8123582271962491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Table!$I$18</c:f>
                <c:numCache>
                  <c:formatCode>General</c:formatCode>
                  <c:ptCount val="1"/>
                  <c:pt idx="0">
                    <c:v>1.9324091343257934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Table!$I$18</c:f>
                <c:numCache>
                  <c:formatCode>General</c:formatCode>
                  <c:ptCount val="1"/>
                  <c:pt idx="0">
                    <c:v>1.9324091343257934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Table!$I$10</c:f>
              <c:strCache>
                <c:ptCount val="1"/>
                <c:pt idx="0">
                  <c:v>Direction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Table!$I$12</c:f>
              <c:numCache>
                <c:formatCode>General</c:formatCode>
                <c:ptCount val="1"/>
                <c:pt idx="0">
                  <c:v>10.41468311828646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Table!$I$19</c:f>
                <c:numCache>
                  <c:formatCode>General</c:formatCode>
                  <c:ptCount val="1"/>
                  <c:pt idx="0">
                    <c:v>1.6726400218313011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Table!$I$19</c:f>
                <c:numCache>
                  <c:formatCode>General</c:formatCode>
                  <c:ptCount val="1"/>
                  <c:pt idx="0">
                    <c:v>1.6726400218313011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Table!$I$10</c:f>
              <c:strCache>
                <c:ptCount val="1"/>
                <c:pt idx="0">
                  <c:v>Direction Change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Table!$I$13</c:f>
              <c:numCache>
                <c:formatCode>General</c:formatCode>
                <c:ptCount val="1"/>
                <c:pt idx="0">
                  <c:v>8.166833645178361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15367711787425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Table!$J$17</c:f>
                <c:numCache>
                  <c:formatCode>General</c:formatCode>
                  <c:ptCount val="1"/>
                  <c:pt idx="0">
                    <c:v>0.14838128666314174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Table!$J$17</c:f>
                <c:numCache>
                  <c:formatCode>General</c:formatCode>
                  <c:ptCount val="1"/>
                  <c:pt idx="0">
                    <c:v>0.14838128666314174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Table!$J$10</c:f>
              <c:strCache>
                <c:ptCount val="1"/>
                <c:pt idx="0">
                  <c:v>Path Length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Table!$J$11</c:f>
              <c:numCache>
                <c:formatCode>General</c:formatCode>
                <c:ptCount val="1"/>
                <c:pt idx="0">
                  <c:v>1.2266920195524924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Table!$J$18</c:f>
                <c:numCache>
                  <c:formatCode>General</c:formatCode>
                  <c:ptCount val="1"/>
                  <c:pt idx="0">
                    <c:v>9.8922983433269648E-2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Table!$J$18</c:f>
                <c:numCache>
                  <c:formatCode>General</c:formatCode>
                  <c:ptCount val="1"/>
                  <c:pt idx="0">
                    <c:v>9.8922983433269648E-2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Table!$J$10</c:f>
              <c:strCache>
                <c:ptCount val="1"/>
                <c:pt idx="0">
                  <c:v>Path Length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Table!$J$12</c:f>
              <c:numCache>
                <c:formatCode>General</c:formatCode>
                <c:ptCount val="1"/>
                <c:pt idx="0">
                  <c:v>1.2528004209622561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Table!$J$19</c:f>
                <c:numCache>
                  <c:formatCode>General</c:formatCode>
                  <c:ptCount val="1"/>
                  <c:pt idx="0">
                    <c:v>0.11618595790629824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Table!$J$19</c:f>
                <c:numCache>
                  <c:formatCode>General</c:formatCode>
                  <c:ptCount val="1"/>
                  <c:pt idx="0">
                    <c:v>0.11618595790629824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Table!$J$10</c:f>
              <c:strCache>
                <c:ptCount val="1"/>
                <c:pt idx="0">
                  <c:v>Path Length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Table!$J$13</c:f>
              <c:numCache>
                <c:formatCode>General</c:formatCode>
                <c:ptCount val="1"/>
                <c:pt idx="0">
                  <c:v>1.2349899356310308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15367711787425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407683688661727E-2"/>
          <c:y val="0.17787597764686877"/>
          <c:w val="0.84977360286104586"/>
          <c:h val="0.67170339966674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Table!$A$11</c:f>
              <c:strCache>
                <c:ptCount val="1"/>
                <c:pt idx="0">
                  <c:v>Designed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Table!$K$17</c:f>
                <c:numCache>
                  <c:formatCode>General</c:formatCode>
                  <c:ptCount val="1"/>
                  <c:pt idx="0">
                    <c:v>0.11797306447458142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Table!$B$17:$K$17</c15:sqref>
                    </c15:fullRef>
                  </c:ext>
                </c:extLst>
                <c:f>Table!$K$17</c:f>
                <c:numCache>
                  <c:formatCode>General</c:formatCode>
                  <c:ptCount val="1"/>
                  <c:pt idx="0">
                    <c:v>0.11797306447458142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Table!$K$10</c:f>
              <c:strCache>
                <c:ptCount val="1"/>
                <c:pt idx="0">
                  <c:v>Initial Avoidance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Table!$B$11:$K$11</c15:sqref>
                  </c15:fullRef>
                </c:ext>
              </c:extLst>
              <c:f>Table!$K$11</c:f>
              <c:numCache>
                <c:formatCode>General</c:formatCode>
                <c:ptCount val="1"/>
                <c:pt idx="0">
                  <c:v>0.48257584590972219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3-449B-A31C-D531A4A1464A}"/>
            </c:ext>
          </c:extLst>
        </c:ser>
        <c:ser>
          <c:idx val="1"/>
          <c:order val="1"/>
          <c:tx>
            <c:strRef>
              <c:f>Table!$A$12</c:f>
              <c:strCache>
                <c:ptCount val="1"/>
                <c:pt idx="0">
                  <c:v>AIF Only</c:v>
                </c:pt>
              </c:strCache>
            </c:strRef>
          </c:tx>
          <c:spPr>
            <a:pattFill prst="wdUpDiag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Table!$K$18</c:f>
                <c:numCache>
                  <c:formatCode>General</c:formatCode>
                  <c:ptCount val="1"/>
                  <c:pt idx="0">
                    <c:v>0.13310918160564125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Table!$B$18:$K$18</c15:sqref>
                    </c15:fullRef>
                  </c:ext>
                </c:extLst>
                <c:f>Table!$K$18</c:f>
                <c:numCache>
                  <c:formatCode>General</c:formatCode>
                  <c:ptCount val="1"/>
                  <c:pt idx="0">
                    <c:v>0.13310918160564125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Table!$K$10</c:f>
              <c:strCache>
                <c:ptCount val="1"/>
                <c:pt idx="0">
                  <c:v>Initial Avoidance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Table!$B$12:$K$12</c15:sqref>
                  </c15:fullRef>
                </c:ext>
              </c:extLst>
              <c:f>Table!$K$12</c:f>
              <c:numCache>
                <c:formatCode>General</c:formatCode>
                <c:ptCount val="1"/>
                <c:pt idx="0">
                  <c:v>0.55034127439097213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3-449B-A31C-D531A4A1464A}"/>
            </c:ext>
          </c:extLst>
        </c:ser>
        <c:ser>
          <c:idx val="2"/>
          <c:order val="2"/>
          <c:tx>
            <c:strRef>
              <c:f>Table!$A$13</c:f>
              <c:strCache>
                <c:ptCount val="1"/>
                <c:pt idx="0">
                  <c:v>AIF With Compassion</c:v>
                </c:pt>
              </c:strCache>
            </c:strRef>
          </c:tx>
          <c:spPr>
            <a:pattFill prst="pct40">
              <a:fgClr>
                <a:schemeClr val="bg2">
                  <a:lumMod val="75000"/>
                </a:schemeClr>
              </a:fgClr>
              <a:bgClr>
                <a:schemeClr val="bg1"/>
              </a:bgClr>
            </a:pattFill>
            <a:ln w="19050" cap="rnd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Table!$K$19</c:f>
                <c:numCache>
                  <c:formatCode>General</c:formatCode>
                  <c:ptCount val="1"/>
                  <c:pt idx="0">
                    <c:v>0.11974196449658503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Table!$B$19:$K$19</c15:sqref>
                    </c15:fullRef>
                  </c:ext>
                </c:extLst>
                <c:f>Table!$K$19</c:f>
                <c:numCache>
                  <c:formatCode>General</c:formatCode>
                  <c:ptCount val="1"/>
                  <c:pt idx="0">
                    <c:v>0.11974196449658503</c:v>
                  </c:pt>
                </c:numCache>
              </c:numRef>
            </c:minus>
            <c:spPr>
              <a:noFill/>
              <a:ln w="19050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Table!$B$10:$K$10</c15:sqref>
                  </c15:fullRef>
                </c:ext>
              </c:extLst>
              <c:f>Table!$K$10</c:f>
              <c:strCache>
                <c:ptCount val="1"/>
                <c:pt idx="0">
                  <c:v>Initial Avoidance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Table!$B$13:$K$13</c15:sqref>
                  </c15:fullRef>
                </c:ext>
              </c:extLst>
              <c:f>Table!$K$13</c:f>
              <c:numCache>
                <c:formatCode>General</c:formatCode>
                <c:ptCount val="1"/>
                <c:pt idx="0">
                  <c:v>0.46804105500694426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3-449B-A31C-D531A4A14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40720"/>
        <c:axId val="1574644048"/>
      </c:barChart>
      <c:catAx>
        <c:axId val="15746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rnd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ja-JP"/>
          </a:p>
        </c:txPr>
        <c:crossAx val="1574644048"/>
        <c:crosses val="autoZero"/>
        <c:auto val="1"/>
        <c:lblAlgn val="ctr"/>
        <c:lblOffset val="0"/>
        <c:tickMarkSkip val="1"/>
        <c:noMultiLvlLbl val="0"/>
      </c:catAx>
      <c:valAx>
        <c:axId val="1574644048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9050" cap="rnd">
            <a:solidFill>
              <a:schemeClr val="tx1">
                <a:lumMod val="95000"/>
                <a:lumOff val="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Varela Round" panose="00000500000000000000" pitchFamily="2" charset="-79"/>
                <a:ea typeface="+mn-ea"/>
                <a:cs typeface="Varela Round" panose="00000500000000000000" pitchFamily="2" charset="-79"/>
              </a:defRPr>
            </a:pPr>
            <a:endParaRPr lang="ja-JP"/>
          </a:p>
        </c:txPr>
        <c:crossAx val="157464072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7815367711787425E-5"/>
          <c:w val="0.99854266754667365"/>
          <c:h val="0.131557538748996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643371</xdr:colOff>
      <xdr:row>8</xdr:row>
      <xdr:rowOff>171016</xdr:rowOff>
    </xdr:from>
    <xdr:to>
      <xdr:col>20</xdr:col>
      <xdr:colOff>617394</xdr:colOff>
      <xdr:row>23</xdr:row>
      <xdr:rowOff>223404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EBB76B6-D524-50B6-8DED-764D77D6E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121920</xdr:colOff>
      <xdr:row>50</xdr:row>
      <xdr:rowOff>40870</xdr:rowOff>
    </xdr:from>
    <xdr:to>
      <xdr:col>6</xdr:col>
      <xdr:colOff>1242060</xdr:colOff>
      <xdr:row>65</xdr:row>
      <xdr:rowOff>202794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B1F79605-0F99-4B17-B335-C3AA58465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876301</xdr:colOff>
      <xdr:row>24</xdr:row>
      <xdr:rowOff>11257</xdr:rowOff>
    </xdr:from>
    <xdr:to>
      <xdr:col>6</xdr:col>
      <xdr:colOff>501362</xdr:colOff>
      <xdr:row>42</xdr:row>
      <xdr:rowOff>20782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CA84A56-63F6-480C-AABE-1C2CAD937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765463</xdr:colOff>
      <xdr:row>24</xdr:row>
      <xdr:rowOff>45201</xdr:rowOff>
    </xdr:from>
    <xdr:to>
      <xdr:col>9</xdr:col>
      <xdr:colOff>366280</xdr:colOff>
      <xdr:row>42</xdr:row>
      <xdr:rowOff>62346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4646C1B-DE40-0628-C6DC-1E55EAEF7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284019</xdr:colOff>
      <xdr:row>24</xdr:row>
      <xdr:rowOff>38967</xdr:rowOff>
    </xdr:from>
    <xdr:to>
      <xdr:col>12</xdr:col>
      <xdr:colOff>487507</xdr:colOff>
      <xdr:row>42</xdr:row>
      <xdr:rowOff>48492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DFF5EAA-66AC-736B-ABBA-19117D825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273627</xdr:colOff>
      <xdr:row>24</xdr:row>
      <xdr:rowOff>122093</xdr:rowOff>
    </xdr:from>
    <xdr:to>
      <xdr:col>15</xdr:col>
      <xdr:colOff>1038225</xdr:colOff>
      <xdr:row>42</xdr:row>
      <xdr:rowOff>131618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461F5217-5878-EF8C-1CE1-784334198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744679</xdr:colOff>
      <xdr:row>24</xdr:row>
      <xdr:rowOff>59056</xdr:rowOff>
    </xdr:from>
    <xdr:to>
      <xdr:col>19</xdr:col>
      <xdr:colOff>116896</xdr:colOff>
      <xdr:row>42</xdr:row>
      <xdr:rowOff>76201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8FF6907D-96DD-D6D6-C150-EEC0E86C5F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103908</xdr:colOff>
      <xdr:row>24</xdr:row>
      <xdr:rowOff>66676</xdr:rowOff>
    </xdr:from>
    <xdr:to>
      <xdr:col>22</xdr:col>
      <xdr:colOff>96115</xdr:colOff>
      <xdr:row>42</xdr:row>
      <xdr:rowOff>76200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2000B38A-EAD6-9E59-56D1-F29EC8D65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1303020</xdr:colOff>
      <xdr:row>50</xdr:row>
      <xdr:rowOff>79144</xdr:rowOff>
    </xdr:from>
    <xdr:to>
      <xdr:col>9</xdr:col>
      <xdr:colOff>878205</xdr:colOff>
      <xdr:row>68</xdr:row>
      <xdr:rowOff>88668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B6498EF0-92DE-CBE2-06A2-8B4F4A3A0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1197725</xdr:colOff>
      <xdr:row>49</xdr:row>
      <xdr:rowOff>231544</xdr:rowOff>
    </xdr:from>
    <xdr:to>
      <xdr:col>12</xdr:col>
      <xdr:colOff>1421996</xdr:colOff>
      <xdr:row>67</xdr:row>
      <xdr:rowOff>241068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96EE63BB-4866-6E18-C652-C15C1F7CD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1629294</xdr:colOff>
      <xdr:row>50</xdr:row>
      <xdr:rowOff>140104</xdr:rowOff>
    </xdr:from>
    <xdr:to>
      <xdr:col>16</xdr:col>
      <xdr:colOff>987656</xdr:colOff>
      <xdr:row>68</xdr:row>
      <xdr:rowOff>149628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E87922F0-19E7-AC9C-0698-5BFBAB71A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1431174</xdr:colOff>
      <xdr:row>51</xdr:row>
      <xdr:rowOff>140104</xdr:rowOff>
    </xdr:from>
    <xdr:to>
      <xdr:col>20</xdr:col>
      <xdr:colOff>1101263</xdr:colOff>
      <xdr:row>69</xdr:row>
      <xdr:rowOff>149628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808F07EB-A46D-76C2-C5ED-14395FE47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成者" refreshedDate="44955.508735185183" createdVersion="8" refreshedVersion="8" minRefreshableVersion="3" recordCount="553" xr:uid="{19F6E612-EE4A-479E-85F0-388113126462}">
  <cacheSource type="worksheet">
    <worksheetSource ref="A1:X1048576" sheet="RawData"/>
  </cacheSource>
  <cacheFields count="24">
    <cacheField name="ID" numFmtId="0">
      <sharedItems containsString="0" containsBlank="1" containsNumber="1" containsInteger="1" minValue="1000" maxValue="20230113194321" count="24">
        <n v="1000"/>
        <n v="1010"/>
        <n v="1020"/>
        <n v="1030"/>
        <n v="1040"/>
        <n v="1050"/>
        <n v="1060"/>
        <n v="1070"/>
        <n v="1080"/>
        <n v="1090"/>
        <n v="1100"/>
        <n v="1110"/>
        <n v="1120"/>
        <n v="1130"/>
        <n v="1140"/>
        <n v="1150"/>
        <n v="1160"/>
        <n v="1170"/>
        <n v="1180"/>
        <n v="1190"/>
        <n v="1200"/>
        <n v="20230111175024"/>
        <n v="20230113194321"/>
        <m/>
      </sharedItems>
    </cacheField>
    <cacheField name="Scene" numFmtId="0">
      <sharedItems containsString="0" containsBlank="1" containsNumber="1" containsInteger="1" minValue="1" maxValue="24"/>
    </cacheField>
    <cacheField name="Model" numFmtId="0">
      <sharedItems containsString="0" containsBlank="1" containsNumber="1" containsInteger="1" minValue="1" maxValue="3" count="4">
        <n v="1"/>
        <n v="2"/>
        <n v="3"/>
        <m/>
      </sharedItems>
    </cacheField>
    <cacheField name="Type" numFmtId="0">
      <sharedItems containsString="0" containsBlank="1" containsNumber="1" containsInteger="1" minValue="1" maxValue="8"/>
    </cacheField>
    <cacheField name="Rposx" numFmtId="0">
      <sharedItems containsString="0" containsBlank="1" containsNumber="1" containsInteger="1" minValue="-45" maxValue="-35"/>
    </cacheField>
    <cacheField name="Rposz" numFmtId="0">
      <sharedItems containsString="0" containsBlank="1" containsNumber="1" containsInteger="1" minValue="-3" maxValue="3"/>
    </cacheField>
    <cacheField name="Pposx" numFmtId="0">
      <sharedItems containsString="0" containsBlank="1" containsNumber="1" containsInteger="1" minValue="5" maxValue="15"/>
    </cacheField>
    <cacheField name="Pposz" numFmtId="0">
      <sharedItems containsString="0" containsBlank="1" containsNumber="1" containsInteger="1" minValue="-3" maxValue="3"/>
    </cacheField>
    <cacheField name="Compassioness" numFmtId="0">
      <sharedItems containsString="0" containsBlank="1" containsNumber="1" containsInteger="1" minValue="-2" maxValue="2"/>
    </cacheField>
    <cacheField name="Naturalness" numFmtId="0">
      <sharedItems containsString="0" containsBlank="1" containsNumber="1" containsInteger="1" minValue="-2" maxValue="2"/>
    </cacheField>
    <cacheField name="Humanly" numFmtId="0">
      <sharedItems containsString="0" containsBlank="1" containsNumber="1" containsInteger="1" minValue="-2" maxValue="2"/>
    </cacheField>
    <cacheField name="Avoidability" numFmtId="0">
      <sharedItems containsString="0" containsBlank="1" containsNumber="1" containsInteger="1" minValue="-2" maxValue="2"/>
    </cacheField>
    <cacheField name="Safety" numFmtId="0">
      <sharedItems containsString="0" containsBlank="1" containsNumber="1" containsInteger="1" minValue="-2" maxValue="2"/>
    </cacheField>
    <cacheField name="Desirability" numFmtId="0">
      <sharedItems containsString="0" containsBlank="1" containsNumber="1" containsInteger="1" minValue="-2" maxValue="2"/>
    </cacheField>
    <cacheField name="PvelRC" numFmtId="0">
      <sharedItems containsString="0" containsBlank="1" containsNumber="1" minValue="4.2302482049158402E-2" maxValue="0.52215449918376799"/>
    </cacheField>
    <cacheField name="PadegRC" numFmtId="0">
      <sharedItems containsString="0" containsBlank="1" containsNumber="1" minValue="0.429620845210886" maxValue="26.344037676328298"/>
    </cacheField>
    <cacheField name="PlenRC" numFmtId="0">
      <sharedItems containsString="0" containsBlank="1" containsNumber="1" minValue="33.3331981049935" maxValue="90.621359272421799"/>
    </cacheField>
    <cacheField name="Pavdist0" numFmtId="0">
      <sharedItems containsString="0" containsBlank="1" containsNumber="1" containsInteger="1" minValue="-3" maxValue="3"/>
    </cacheField>
    <cacheField name="Pavdist1" numFmtId="0">
      <sharedItems containsString="0" containsBlank="1" containsNumber="1" minValue="-3.421119" maxValue="3.3425099999999999"/>
    </cacheField>
    <cacheField name="Pavdist2" numFmtId="0">
      <sharedItems containsString="0" containsBlank="1" containsNumber="1" minValue="-4.4014740000000003" maxValue="4.0909849999999999"/>
    </cacheField>
    <cacheField name="Pavdist3" numFmtId="0">
      <sharedItems containsString="0" containsBlank="1" containsNumber="1" minValue="-4.4991719999999997" maxValue="4.4996600000000004"/>
    </cacheField>
    <cacheField name="Pavdist4" numFmtId="0">
      <sharedItems containsString="0" containsBlank="1" containsNumber="1" minValue="-4.4992450000000002" maxValue="4.4996809999999998"/>
    </cacheField>
    <cacheField name="Pavdist5" numFmtId="0">
      <sharedItems containsString="0" containsBlank="1" containsNumber="1" minValue="-4.4992479999999997" maxValue="4.4998750000000003"/>
    </cacheField>
    <cacheField name="Pav2-0" numFmtId="0">
      <sharedItems containsString="0" containsBlank="1" containsNumber="1" minValue="0" maxValue="5.027137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">
  <r>
    <x v="0"/>
    <n v="1"/>
    <x v="0"/>
    <n v="5"/>
    <n v="-35"/>
    <n v="0"/>
    <n v="15"/>
    <n v="0"/>
    <n v="0"/>
    <n v="0"/>
    <n v="-1"/>
    <n v="1"/>
    <n v="2"/>
    <n v="0"/>
    <n v="0.13358379712985"/>
    <n v="2.7569747892610801"/>
    <n v="77.687502109729607"/>
    <n v="3"/>
    <n v="3"/>
    <n v="2.6625390000000002"/>
    <n v="1.473902"/>
    <n v="0.56659219999999999"/>
    <n v="-0.35224040000000001"/>
    <n v="0.33746099999999979"/>
  </r>
  <r>
    <x v="0"/>
    <n v="2"/>
    <x v="1"/>
    <n v="4"/>
    <n v="-45"/>
    <n v="0"/>
    <n v="5"/>
    <n v="3"/>
    <n v="1"/>
    <n v="-1"/>
    <n v="1"/>
    <n v="-1"/>
    <n v="-1"/>
    <n v="1"/>
    <n v="0.21146291797903499"/>
    <n v="3.6817132413044802"/>
    <n v="67.896706739898804"/>
    <n v="3"/>
    <n v="2.906933"/>
    <n v="2.7007129999999999"/>
    <n v="2.747293"/>
    <n v="3.0269810000000001"/>
    <n v="3.7359650000000002"/>
    <n v="0.29928700000000008"/>
  </r>
  <r>
    <x v="0"/>
    <n v="3"/>
    <x v="2"/>
    <n v="7"/>
    <n v="-35"/>
    <n v="0"/>
    <n v="15"/>
    <n v="3"/>
    <n v="2"/>
    <n v="2"/>
    <n v="2"/>
    <n v="2"/>
    <n v="2"/>
    <n v="2"/>
    <n v="0.12389941294619999"/>
    <n v="1.6367766128469601"/>
    <n v="77.119422020697598"/>
    <n v="3"/>
    <n v="2.9172199999999999"/>
    <n v="2.7243080000000002"/>
    <n v="2.7326510000000002"/>
    <n v="2.7125309999999998"/>
    <n v="2.7727599999999999"/>
    <n v="0.27569199999999983"/>
  </r>
  <r>
    <x v="0"/>
    <n v="4"/>
    <x v="1"/>
    <n v="2"/>
    <n v="-35"/>
    <n v="-3"/>
    <n v="15"/>
    <n v="-3"/>
    <n v="0"/>
    <n v="1"/>
    <n v="0"/>
    <n v="1"/>
    <n v="2"/>
    <n v="1"/>
    <n v="0.12602497510017099"/>
    <n v="2.3526156349557601"/>
    <n v="77.820890442829395"/>
    <n v="-3"/>
    <n v="-2.8785599999999998"/>
    <n v="-1.963854"/>
    <n v="-0.83708289999999996"/>
    <n v="0.32593250000000001"/>
    <n v="1.2156990000000001"/>
    <n v="1.036146"/>
  </r>
  <r>
    <x v="0"/>
    <n v="5"/>
    <x v="0"/>
    <n v="8"/>
    <n v="-45"/>
    <n v="0"/>
    <n v="5"/>
    <n v="-3"/>
    <n v="-2"/>
    <n v="0"/>
    <n v="1"/>
    <n v="-2"/>
    <n v="-2"/>
    <n v="-1"/>
    <n v="0.18362505482297301"/>
    <n v="3.81022673407116"/>
    <n v="68.0925043806227"/>
    <n v="-3"/>
    <n v="-3.0105580000000001"/>
    <n v="-3.205057"/>
    <n v="-3.1130230000000001"/>
    <n v="-3.3173339999999998"/>
    <n v="-3.3176239999999999"/>
    <n v="0.20505700000000004"/>
  </r>
  <r>
    <x v="0"/>
    <n v="6"/>
    <x v="0"/>
    <n v="1"/>
    <n v="-35"/>
    <n v="0"/>
    <n v="15"/>
    <n v="0"/>
    <n v="0"/>
    <n v="0"/>
    <n v="-1"/>
    <n v="-1"/>
    <n v="-1"/>
    <n v="-1"/>
    <n v="0.130798401184959"/>
    <n v="3.2217046565583498"/>
    <n v="77.530769772263696"/>
    <n v="0"/>
    <n v="-2.0635210000000001E-2"/>
    <n v="4.2105219999999999E-2"/>
    <n v="0.90544230000000003"/>
    <n v="2.2689319999999999"/>
    <n v="2.847235"/>
    <n v="4.2105219999999999E-2"/>
  </r>
  <r>
    <x v="0"/>
    <n v="7"/>
    <x v="1"/>
    <n v="6"/>
    <n v="-35"/>
    <n v="3"/>
    <n v="15"/>
    <n v="3"/>
    <n v="-2"/>
    <n v="-1"/>
    <n v="0"/>
    <n v="-1"/>
    <n v="-2"/>
    <n v="-2"/>
    <n v="0.113278831967747"/>
    <n v="4.4192461425103797"/>
    <n v="78.315669396884303"/>
    <n v="0"/>
    <n v="0"/>
    <n v="-0.30471419999999999"/>
    <n v="-0.2107618"/>
    <n v="0.93291409999999997"/>
    <n v="1.648366"/>
    <n v="0.30471419999999999"/>
  </r>
  <r>
    <x v="0"/>
    <n v="8"/>
    <x v="2"/>
    <n v="2"/>
    <n v="-35"/>
    <n v="-3"/>
    <n v="15"/>
    <n v="-3"/>
    <n v="1"/>
    <n v="0"/>
    <n v="1"/>
    <n v="1"/>
    <n v="-1"/>
    <n v="0"/>
    <n v="0.14762484807367399"/>
    <n v="3.3104966337850801"/>
    <n v="77.668324747678298"/>
    <n v="-3"/>
    <n v="-2.996248"/>
    <n v="-2.8515549999999998"/>
    <n v="-2.4267120000000002"/>
    <n v="-1.344406"/>
    <n v="-2.212224"/>
    <n v="0.14844500000000016"/>
  </r>
  <r>
    <x v="0"/>
    <n v="9"/>
    <x v="1"/>
    <n v="7"/>
    <n v="-35"/>
    <n v="0"/>
    <n v="15"/>
    <n v="3"/>
    <n v="2"/>
    <n v="1"/>
    <n v="0"/>
    <n v="1"/>
    <n v="2"/>
    <n v="2"/>
    <n v="0.121318587539107"/>
    <n v="0.828289485399204"/>
    <n v="77.435569302565696"/>
    <n v="3"/>
    <n v="2.9723609999999998"/>
    <n v="2.8929260000000001"/>
    <n v="2.875753"/>
    <n v="2.888131"/>
    <n v="3.02163"/>
    <n v="0.10707399999999989"/>
  </r>
  <r>
    <x v="0"/>
    <n v="10"/>
    <x v="0"/>
    <n v="4"/>
    <n v="-45"/>
    <n v="0"/>
    <n v="5"/>
    <n v="3"/>
    <n v="-1"/>
    <n v="1"/>
    <n v="-1"/>
    <n v="0"/>
    <n v="-1"/>
    <n v="-1"/>
    <n v="0.13429683421303101"/>
    <n v="1.5416080513879999"/>
    <n v="68.613605996722299"/>
    <n v="3"/>
    <n v="3"/>
    <n v="3.0177589999999999"/>
    <n v="2.9764439999999999"/>
    <n v="3.1468780000000001"/>
    <n v="3.3114620000000001"/>
    <n v="1.7758999999999858E-2"/>
  </r>
  <r>
    <x v="0"/>
    <n v="11"/>
    <x v="2"/>
    <n v="5"/>
    <n v="-35"/>
    <n v="0"/>
    <n v="15"/>
    <n v="0"/>
    <n v="1"/>
    <n v="2"/>
    <n v="0"/>
    <n v="1"/>
    <n v="-1"/>
    <n v="1"/>
    <n v="0.13546840055780399"/>
    <n v="3.56754686597389"/>
    <n v="78.721922288281306"/>
    <n v="3"/>
    <n v="2.9253969999999998"/>
    <n v="2.5179740000000002"/>
    <n v="2.4349129999999999"/>
    <n v="1.3813420000000001"/>
    <n v="0.70107019999999998"/>
    <n v="0.48202599999999984"/>
  </r>
  <r>
    <x v="0"/>
    <n v="12"/>
    <x v="2"/>
    <n v="3"/>
    <n v="-35"/>
    <n v="0"/>
    <n v="15"/>
    <n v="-3"/>
    <n v="2"/>
    <n v="2"/>
    <n v="0"/>
    <n v="2"/>
    <n v="2"/>
    <n v="2"/>
    <n v="0.14052064639020501"/>
    <n v="1.6763108436677301"/>
    <n v="76.141959369326898"/>
    <n v="-3"/>
    <n v="-3"/>
    <n v="-3.204151"/>
    <n v="-3.2826759999999999"/>
    <n v="-3.346533"/>
    <n v="-3.4158249999999999"/>
    <n v="0.20415099999999997"/>
  </r>
  <r>
    <x v="0"/>
    <n v="13"/>
    <x v="0"/>
    <n v="7"/>
    <n v="-35"/>
    <n v="0"/>
    <n v="15"/>
    <n v="3"/>
    <n v="-1"/>
    <n v="1"/>
    <n v="-1"/>
    <n v="0"/>
    <n v="0"/>
    <n v="0"/>
    <n v="0.111672334137443"/>
    <n v="1.6857805143837501"/>
    <n v="77.638599084529801"/>
    <n v="3"/>
    <n v="2.9234990000000001"/>
    <n v="3.0190959999999998"/>
    <n v="3.1976460000000002"/>
    <n v="3.5816840000000001"/>
    <n v="4.0146389999999998"/>
    <n v="1.909599999999978E-2"/>
  </r>
  <r>
    <x v="0"/>
    <n v="14"/>
    <x v="2"/>
    <n v="1"/>
    <n v="-35"/>
    <n v="0"/>
    <n v="15"/>
    <n v="0"/>
    <n v="2"/>
    <n v="2"/>
    <n v="2"/>
    <n v="2"/>
    <n v="1"/>
    <n v="1"/>
    <n v="0.12696774378891501"/>
    <n v="2.0700609340798799"/>
    <n v="77.529970624959603"/>
    <n v="0"/>
    <n v="1.7060949999999999E-4"/>
    <n v="-0.27762799999999999"/>
    <n v="-0.61539980000000005"/>
    <n v="-1.7941670000000001"/>
    <n v="-2.811769"/>
    <n v="0.27762799999999999"/>
  </r>
  <r>
    <x v="0"/>
    <n v="15"/>
    <x v="1"/>
    <n v="8"/>
    <n v="-45"/>
    <n v="0"/>
    <n v="5"/>
    <n v="-3"/>
    <n v="-2"/>
    <n v="-1"/>
    <n v="0"/>
    <n v="0"/>
    <n v="-2"/>
    <n v="-2"/>
    <n v="0.26566301775935702"/>
    <n v="9.1050531863362298"/>
    <n v="68.550387964975798"/>
    <n v="-3"/>
    <n v="-3.0010249999999998"/>
    <n v="-3.283995"/>
    <n v="-3.4045040000000002"/>
    <n v="-3.499018"/>
    <n v="-3.4327969999999999"/>
    <n v="0.283995"/>
  </r>
  <r>
    <x v="0"/>
    <n v="16"/>
    <x v="1"/>
    <n v="3"/>
    <n v="-35"/>
    <n v="0"/>
    <n v="15"/>
    <n v="-3"/>
    <n v="2"/>
    <n v="2"/>
    <n v="0"/>
    <n v="2"/>
    <n v="2"/>
    <n v="2"/>
    <n v="0.13215152883541101"/>
    <n v="1.05789146149652"/>
    <n v="76.206884868663593"/>
    <n v="-3"/>
    <n v="-3.0145490000000001"/>
    <n v="-3.29684"/>
    <n v="-3.406269"/>
    <n v="-3.5158999999999998"/>
    <n v="-3.5994820000000001"/>
    <n v="0.29683999999999999"/>
  </r>
  <r>
    <x v="0"/>
    <n v="17"/>
    <x v="2"/>
    <n v="6"/>
    <n v="-35"/>
    <n v="3"/>
    <n v="15"/>
    <n v="3"/>
    <n v="2"/>
    <n v="2"/>
    <n v="0"/>
    <n v="2"/>
    <n v="2"/>
    <n v="2"/>
    <n v="0.13552534312266401"/>
    <n v="2.7800906344150098"/>
    <n v="76.833147351915102"/>
    <n v="0"/>
    <n v="-3.665626E-3"/>
    <n v="-0.1173471"/>
    <n v="0.25707020000000003"/>
    <n v="1.4653659999999999"/>
    <n v="2.1349279999999999"/>
    <n v="0.1173471"/>
  </r>
  <r>
    <x v="0"/>
    <n v="18"/>
    <x v="0"/>
    <n v="2"/>
    <n v="-35"/>
    <n v="-3"/>
    <n v="15"/>
    <n v="-3"/>
    <n v="0"/>
    <n v="1"/>
    <n v="0"/>
    <n v="1"/>
    <n v="2"/>
    <n v="2"/>
    <n v="0.101786243047648"/>
    <n v="5.2251313321990303"/>
    <n v="79.117385602153604"/>
    <n v="-3"/>
    <n v="-3"/>
    <n v="-1.571453"/>
    <n v="-0.13938829999999999"/>
    <n v="0.81566519999999998"/>
    <n v="1.6962919999999999"/>
    <n v="1.428547"/>
  </r>
  <r>
    <x v="0"/>
    <n v="19"/>
    <x v="1"/>
    <n v="5"/>
    <n v="-35"/>
    <n v="0"/>
    <n v="15"/>
    <n v="0"/>
    <n v="0"/>
    <n v="1"/>
    <n v="0"/>
    <n v="1"/>
    <n v="2"/>
    <n v="1"/>
    <n v="0.11907794434508399"/>
    <n v="3.44416866637224"/>
    <n v="78.029118299736993"/>
    <n v="3"/>
    <n v="2.9567559999999999"/>
    <n v="1.3951370000000001"/>
    <n v="0.21814040000000001"/>
    <n v="-0.69656580000000001"/>
    <n v="-1.1203270000000001"/>
    <n v="1.6048629999999999"/>
  </r>
  <r>
    <x v="0"/>
    <n v="20"/>
    <x v="2"/>
    <n v="4"/>
    <n v="-45"/>
    <n v="0"/>
    <n v="5"/>
    <n v="3"/>
    <n v="2"/>
    <n v="2"/>
    <n v="0"/>
    <n v="2"/>
    <n v="2"/>
    <n v="2"/>
    <n v="0.110872072450311"/>
    <n v="2.2051454532813599"/>
    <n v="67.626736629592003"/>
    <n v="3"/>
    <n v="3.0040339999999999"/>
    <n v="2.9551810000000001"/>
    <n v="2.9452560000000001"/>
    <n v="2.988505"/>
    <n v="3.059078"/>
    <n v="4.4818999999999942E-2"/>
  </r>
  <r>
    <x v="0"/>
    <n v="21"/>
    <x v="0"/>
    <n v="6"/>
    <n v="-35"/>
    <n v="3"/>
    <n v="15"/>
    <n v="3"/>
    <n v="0"/>
    <n v="0"/>
    <n v="1"/>
    <n v="-1"/>
    <n v="-1"/>
    <n v="-1"/>
    <n v="0.123133052809967"/>
    <n v="1.9762129043285801"/>
    <n v="77.243718517892304"/>
    <n v="0"/>
    <n v="5.6352599999999996E-3"/>
    <n v="0.1013411"/>
    <n v="1.24014"/>
    <n v="2.3593980000000001"/>
    <n v="3.074506"/>
    <n v="0.1013411"/>
  </r>
  <r>
    <x v="0"/>
    <n v="22"/>
    <x v="0"/>
    <n v="3"/>
    <n v="-35"/>
    <n v="0"/>
    <n v="15"/>
    <n v="-3"/>
    <n v="0"/>
    <n v="0"/>
    <n v="0"/>
    <n v="-1"/>
    <n v="-1"/>
    <n v="-1"/>
    <n v="0.11345999203609999"/>
    <n v="1.4009556697155201"/>
    <n v="77.1036951021173"/>
    <n v="-3"/>
    <n v="-3.108978"/>
    <n v="-3.3120919999999998"/>
    <n v="-3.3586670000000001"/>
    <n v="-3.5020539999999998"/>
    <n v="-3.6702249999999998"/>
    <n v="0.31209199999999981"/>
  </r>
  <r>
    <x v="0"/>
    <n v="23"/>
    <x v="2"/>
    <n v="8"/>
    <n v="-45"/>
    <n v="0"/>
    <n v="5"/>
    <n v="-3"/>
    <n v="2"/>
    <n v="1"/>
    <n v="0"/>
    <n v="2"/>
    <n v="2"/>
    <n v="2"/>
    <n v="0.129304546341657"/>
    <n v="1.85291679996004"/>
    <n v="68.395988589508704"/>
    <n v="-3"/>
    <n v="-3.089855"/>
    <n v="-3.2967689999999998"/>
    <n v="-3.3484219999999998"/>
    <n v="-3.4610639999999999"/>
    <n v="-3.6029719999999998"/>
    <n v="0.29676899999999984"/>
  </r>
  <r>
    <x v="0"/>
    <n v="24"/>
    <x v="1"/>
    <n v="1"/>
    <n v="-35"/>
    <n v="0"/>
    <n v="15"/>
    <n v="0"/>
    <n v="0"/>
    <n v="0"/>
    <n v="0"/>
    <n v="-1"/>
    <n v="-1"/>
    <n v="0"/>
    <n v="0.13188702816570699"/>
    <n v="2.3684104072839398"/>
    <n v="77.566781059747797"/>
    <n v="0"/>
    <n v="1.2915360000000001E-2"/>
    <n v="-0.14594989999999999"/>
    <n v="-0.3936152"/>
    <n v="-1.695695"/>
    <n v="-2.676666"/>
    <n v="0.14594989999999999"/>
  </r>
  <r>
    <x v="1"/>
    <n v="1"/>
    <x v="0"/>
    <n v="5"/>
    <n v="-35"/>
    <n v="0"/>
    <n v="15"/>
    <n v="0"/>
    <n v="0"/>
    <n v="0"/>
    <n v="-2"/>
    <n v="0"/>
    <n v="0"/>
    <n v="0"/>
    <n v="0.220956933114099"/>
    <n v="4.19619674379003"/>
    <n v="77.088272928808493"/>
    <n v="3"/>
    <n v="3"/>
    <n v="2.167662"/>
    <n v="1.945697"/>
    <n v="1.0149459999999999"/>
    <n v="0.43912620000000002"/>
    <n v="0.83233800000000002"/>
  </r>
  <r>
    <x v="1"/>
    <n v="2"/>
    <x v="1"/>
    <n v="4"/>
    <n v="-45"/>
    <n v="0"/>
    <n v="5"/>
    <n v="3"/>
    <n v="1"/>
    <n v="1"/>
    <n v="1"/>
    <n v="1"/>
    <n v="1"/>
    <n v="0"/>
    <n v="0.13901287080275301"/>
    <n v="2.5099479834994698"/>
    <n v="68.221056797469004"/>
    <n v="3"/>
    <n v="2.9714140000000002"/>
    <n v="2.978739"/>
    <n v="2.9456829999999998"/>
    <n v="2.9794399999999999"/>
    <n v="3.023425"/>
    <n v="2.1260999999999974E-2"/>
  </r>
  <r>
    <x v="1"/>
    <n v="3"/>
    <x v="2"/>
    <n v="7"/>
    <n v="-35"/>
    <n v="0"/>
    <n v="15"/>
    <n v="3"/>
    <n v="1"/>
    <n v="1"/>
    <n v="1"/>
    <n v="2"/>
    <n v="2"/>
    <n v="1"/>
    <n v="0.109976183322779"/>
    <n v="2.17623335616166"/>
    <n v="77.033103690967593"/>
    <n v="3"/>
    <n v="2.867731"/>
    <n v="3.0760519999999998"/>
    <n v="3.1552500000000001"/>
    <n v="3.176415"/>
    <n v="3.0854029999999999"/>
    <n v="7.6051999999999786E-2"/>
  </r>
  <r>
    <x v="1"/>
    <n v="4"/>
    <x v="1"/>
    <n v="2"/>
    <n v="-35"/>
    <n v="-3"/>
    <n v="15"/>
    <n v="-3"/>
    <n v="0"/>
    <n v="0"/>
    <n v="1"/>
    <n v="-2"/>
    <n v="-2"/>
    <n v="-2"/>
    <n v="0.243085138655495"/>
    <n v="7.09378002247482"/>
    <n v="78.446524672844504"/>
    <n v="-3"/>
    <n v="-3.0324550000000001"/>
    <n v="-2.8035800000000002"/>
    <n v="-1.8778220000000001"/>
    <n v="-0.9707692"/>
    <n v="-0.64598319999999998"/>
    <n v="0.19641999999999982"/>
  </r>
  <r>
    <x v="1"/>
    <n v="5"/>
    <x v="0"/>
    <n v="8"/>
    <n v="-45"/>
    <n v="0"/>
    <n v="5"/>
    <n v="-3"/>
    <n v="1"/>
    <n v="0"/>
    <n v="1"/>
    <n v="1"/>
    <n v="0"/>
    <n v="1"/>
    <n v="0.35145913700763598"/>
    <n v="5.9723526994262199"/>
    <n v="68.231560989333104"/>
    <n v="-3"/>
    <n v="-3.0671040000000001"/>
    <n v="-3.1509839999999998"/>
    <n v="-2.3668260000000001"/>
    <n v="-0.57186029999999999"/>
    <n v="1.1673929999999999"/>
    <n v="0.15098399999999979"/>
  </r>
  <r>
    <x v="1"/>
    <n v="6"/>
    <x v="0"/>
    <n v="1"/>
    <n v="-35"/>
    <n v="0"/>
    <n v="15"/>
    <n v="0"/>
    <n v="1"/>
    <n v="1"/>
    <n v="1"/>
    <n v="1"/>
    <n v="1"/>
    <n v="1"/>
    <n v="0.118093405882569"/>
    <n v="3.2667766642904401"/>
    <n v="79.116923023344697"/>
    <n v="0"/>
    <n v="-7.5514010000000006E-2"/>
    <n v="-0.96435139999999997"/>
    <n v="-2.3668110000000002"/>
    <n v="-3.2020240000000002"/>
    <n v="-3.592282"/>
    <n v="0.96435139999999997"/>
  </r>
  <r>
    <x v="1"/>
    <n v="7"/>
    <x v="1"/>
    <n v="6"/>
    <n v="-35"/>
    <n v="3"/>
    <n v="15"/>
    <n v="3"/>
    <n v="0"/>
    <n v="1"/>
    <n v="1"/>
    <n v="1"/>
    <n v="1"/>
    <n v="1"/>
    <n v="0.142164124265313"/>
    <n v="8.5950466899244802"/>
    <n v="82.261974618508802"/>
    <n v="0"/>
    <n v="0"/>
    <n v="0"/>
    <n v="4.3791430000000003E-3"/>
    <n v="1.1248689999999999"/>
    <n v="2.3178429999999999"/>
    <n v="0"/>
  </r>
  <r>
    <x v="1"/>
    <n v="8"/>
    <x v="2"/>
    <n v="2"/>
    <n v="-35"/>
    <n v="-3"/>
    <n v="15"/>
    <n v="-3"/>
    <n v="0"/>
    <n v="0"/>
    <n v="1"/>
    <n v="-2"/>
    <n v="-2"/>
    <n v="-2"/>
    <n v="0.33452790976362601"/>
    <n v="5.7486997986777899"/>
    <n v="80.820290520290399"/>
    <n v="-3"/>
    <n v="-3.0150549999999998"/>
    <n v="-2.7103090000000001"/>
    <n v="-1.74478"/>
    <n v="-0.70498309999999997"/>
    <n v="0.3553888"/>
    <n v="0.28969099999999992"/>
  </r>
  <r>
    <x v="1"/>
    <n v="9"/>
    <x v="1"/>
    <n v="7"/>
    <n v="-35"/>
    <n v="0"/>
    <n v="15"/>
    <n v="3"/>
    <n v="1"/>
    <n v="1"/>
    <n v="1"/>
    <n v="1"/>
    <n v="1"/>
    <n v="1"/>
    <n v="0.103326999252755"/>
    <n v="1.5307823128943701"/>
    <n v="78.468315132652293"/>
    <n v="3"/>
    <n v="2.8971309999999999"/>
    <n v="2.8799229999999998"/>
    <n v="3.032721"/>
    <n v="3.2486929999999998"/>
    <n v="3.4783529999999998"/>
    <n v="0.12007700000000021"/>
  </r>
  <r>
    <x v="1"/>
    <n v="10"/>
    <x v="0"/>
    <n v="4"/>
    <n v="-45"/>
    <n v="0"/>
    <n v="5"/>
    <n v="3"/>
    <n v="0"/>
    <n v="1"/>
    <n v="0"/>
    <n v="1"/>
    <n v="0"/>
    <n v="1"/>
    <n v="0.359002496781886"/>
    <n v="10.3041896467144"/>
    <n v="69.130152546131697"/>
    <n v="3"/>
    <n v="2.9442539999999999"/>
    <n v="3.2083729999999999"/>
    <n v="1.95235"/>
    <n v="-0.1066793"/>
    <n v="-1.9753099999999999"/>
    <n v="0.20837299999999992"/>
  </r>
  <r>
    <x v="1"/>
    <n v="11"/>
    <x v="2"/>
    <n v="5"/>
    <n v="-35"/>
    <n v="0"/>
    <n v="15"/>
    <n v="0"/>
    <n v="1"/>
    <n v="1"/>
    <n v="1"/>
    <n v="2"/>
    <n v="2"/>
    <n v="1"/>
    <n v="0.249404869498942"/>
    <n v="2.23921115086626"/>
    <n v="76.615660810042797"/>
    <n v="3"/>
    <n v="2.9762840000000002"/>
    <n v="2.866625"/>
    <n v="3.0434809999999999"/>
    <n v="3.138852"/>
    <n v="2.9722940000000002"/>
    <n v="0.13337500000000002"/>
  </r>
  <r>
    <x v="1"/>
    <n v="12"/>
    <x v="2"/>
    <n v="3"/>
    <n v="-35"/>
    <n v="0"/>
    <n v="15"/>
    <n v="-3"/>
    <n v="1"/>
    <n v="1"/>
    <n v="1"/>
    <n v="2"/>
    <n v="2"/>
    <n v="2"/>
    <n v="0.20229309933596901"/>
    <n v="6.7618600963668101"/>
    <n v="77.572122982668205"/>
    <n v="-3"/>
    <n v="-3.3694459999999999"/>
    <n v="-3.490469"/>
    <n v="-3.4346369999999999"/>
    <n v="-3.4219650000000001"/>
    <n v="-3.3737270000000001"/>
    <n v="0.49046900000000004"/>
  </r>
  <r>
    <x v="1"/>
    <n v="13"/>
    <x v="0"/>
    <n v="7"/>
    <n v="-35"/>
    <n v="0"/>
    <n v="15"/>
    <n v="3"/>
    <n v="-1"/>
    <n v="0"/>
    <n v="-1"/>
    <n v="0"/>
    <n v="1"/>
    <n v="1"/>
    <n v="0.11719372527525899"/>
    <n v="1.2643894164312699"/>
    <n v="78.522404969024606"/>
    <n v="3"/>
    <n v="3.1757089999999999"/>
    <n v="3.3239010000000002"/>
    <n v="3.5385149999999999"/>
    <n v="3.6204369999999999"/>
    <n v="3.707754"/>
    <n v="0.32390100000000022"/>
  </r>
  <r>
    <x v="1"/>
    <n v="14"/>
    <x v="2"/>
    <n v="1"/>
    <n v="-35"/>
    <n v="0"/>
    <n v="15"/>
    <n v="0"/>
    <n v="2"/>
    <n v="1"/>
    <n v="2"/>
    <n v="2"/>
    <n v="2"/>
    <n v="2"/>
    <n v="0.14752581042652099"/>
    <n v="4.1729467036062502"/>
    <n v="78.053737967646796"/>
    <n v="0"/>
    <n v="3.314868E-2"/>
    <n v="-0.2083024"/>
    <n v="-1.0762510000000001"/>
    <n v="-2.044511"/>
    <n v="-2.9697529999999999"/>
    <n v="0.2083024"/>
  </r>
  <r>
    <x v="1"/>
    <n v="15"/>
    <x v="1"/>
    <n v="8"/>
    <n v="-45"/>
    <n v="0"/>
    <n v="5"/>
    <n v="-3"/>
    <n v="0"/>
    <n v="0"/>
    <n v="1"/>
    <n v="0"/>
    <n v="0"/>
    <n v="0"/>
    <n v="0.128774621451413"/>
    <n v="12.6661505310925"/>
    <n v="70.818387964758401"/>
    <n v="-3"/>
    <n v="-3.1317740000000001"/>
    <n v="-2.9512779999999998"/>
    <n v="-2.8432170000000001"/>
    <n v="-2.7289979999999998"/>
    <n v="-2.9452389999999999"/>
    <n v="4.8722000000000154E-2"/>
  </r>
  <r>
    <x v="1"/>
    <n v="16"/>
    <x v="1"/>
    <n v="3"/>
    <n v="-35"/>
    <n v="0"/>
    <n v="15"/>
    <n v="-3"/>
    <n v="-2"/>
    <n v="-1"/>
    <n v="0"/>
    <n v="-2"/>
    <n v="-2"/>
    <n v="-2"/>
    <n v="0.25154750360417999"/>
    <n v="3.5290835208003601"/>
    <n v="77.947132768214303"/>
    <n v="-3"/>
    <n v="-3.1018949999999998"/>
    <n v="-3.1702840000000001"/>
    <n v="-3.306937"/>
    <n v="-3.485033"/>
    <n v="-3.2335750000000001"/>
    <n v="0.1702840000000001"/>
  </r>
  <r>
    <x v="1"/>
    <n v="17"/>
    <x v="2"/>
    <n v="6"/>
    <n v="-35"/>
    <n v="3"/>
    <n v="15"/>
    <n v="3"/>
    <n v="1"/>
    <n v="1"/>
    <n v="1"/>
    <n v="1"/>
    <n v="1"/>
    <n v="1"/>
    <n v="0.119582241231368"/>
    <n v="2.6541497734704498"/>
    <n v="78.276393945996105"/>
    <n v="0"/>
    <n v="-0.18014839999999999"/>
    <n v="-0.25053029999999998"/>
    <n v="0.23550219999999999"/>
    <n v="1.576274"/>
    <n v="2.7613910000000002"/>
    <n v="0.25053029999999998"/>
  </r>
  <r>
    <x v="1"/>
    <n v="18"/>
    <x v="0"/>
    <n v="2"/>
    <n v="-35"/>
    <n v="-3"/>
    <n v="15"/>
    <n v="-3"/>
    <n v="1"/>
    <n v="0"/>
    <n v="0"/>
    <n v="0"/>
    <n v="-1"/>
    <n v="-1"/>
    <n v="0.20426876596937801"/>
    <n v="4.0598115471610701"/>
    <n v="35.983510481197598"/>
    <n v="-3"/>
    <n v="-3"/>
    <n v="-3"/>
    <n v="-3.0524140000000002"/>
    <n v="-2.8881920000000001"/>
    <n v="-2.5079039999999999"/>
    <n v="0"/>
  </r>
  <r>
    <x v="1"/>
    <n v="19"/>
    <x v="1"/>
    <n v="5"/>
    <n v="-35"/>
    <n v="0"/>
    <n v="15"/>
    <n v="0"/>
    <n v="-1"/>
    <n v="-1"/>
    <n v="1"/>
    <n v="-2"/>
    <n v="-2"/>
    <n v="-2"/>
    <n v="0.155560049056153"/>
    <n v="10.166850624186299"/>
    <n v="78.681660154984996"/>
    <n v="3"/>
    <n v="2.7833480000000002"/>
    <n v="2.738381"/>
    <n v="1.7960229999999999"/>
    <n v="0.33440890000000001"/>
    <n v="1.1360980000000001"/>
    <n v="0.26161900000000005"/>
  </r>
  <r>
    <x v="1"/>
    <n v="20"/>
    <x v="2"/>
    <n v="4"/>
    <n v="-45"/>
    <n v="0"/>
    <n v="5"/>
    <n v="3"/>
    <n v="1"/>
    <n v="0"/>
    <n v="1"/>
    <n v="0"/>
    <n v="1"/>
    <n v="0"/>
    <n v="0.13767217731499501"/>
    <n v="3.5689779892432498"/>
    <n v="68.347708995766993"/>
    <n v="3"/>
    <n v="2.8634759999999999"/>
    <n v="2.9997950000000002"/>
    <n v="3.044708"/>
    <n v="3.0572249999999999"/>
    <n v="3.032184"/>
    <n v="2.0499999999978868E-4"/>
  </r>
  <r>
    <x v="1"/>
    <n v="21"/>
    <x v="0"/>
    <n v="6"/>
    <n v="-35"/>
    <n v="3"/>
    <n v="15"/>
    <n v="3"/>
    <n v="0"/>
    <n v="0"/>
    <n v="0"/>
    <n v="0"/>
    <n v="0"/>
    <n v="1"/>
    <n v="0.107129570927209"/>
    <n v="2.6515496702191799"/>
    <n v="79.336999338162201"/>
    <n v="0"/>
    <n v="-2.570105E-3"/>
    <n v="-0.26222000000000001"/>
    <n v="0.14954219999999999"/>
    <n v="1.4806790000000001"/>
    <n v="2.7897430000000001"/>
    <n v="0.26222000000000001"/>
  </r>
  <r>
    <x v="1"/>
    <n v="22"/>
    <x v="0"/>
    <n v="3"/>
    <n v="-35"/>
    <n v="0"/>
    <n v="15"/>
    <n v="-3"/>
    <n v="0"/>
    <n v="0"/>
    <n v="-1"/>
    <n v="0"/>
    <n v="1"/>
    <n v="1"/>
    <n v="0.10313514617792401"/>
    <n v="1.2716723091351601"/>
    <n v="76.638141372210001"/>
    <n v="-3"/>
    <n v="-3.1767820000000002"/>
    <n v="-3.6597339999999998"/>
    <n v="-3.842422"/>
    <n v="-3.9600050000000002"/>
    <n v="-4.0869850000000003"/>
    <n v="0.65973399999999982"/>
  </r>
  <r>
    <x v="1"/>
    <n v="23"/>
    <x v="2"/>
    <n v="8"/>
    <n v="-45"/>
    <n v="0"/>
    <n v="5"/>
    <n v="-3"/>
    <n v="0"/>
    <n v="0"/>
    <n v="0"/>
    <n v="0"/>
    <n v="0"/>
    <n v="0"/>
    <n v="0.138142384064912"/>
    <n v="4.8974283815317898"/>
    <n v="68.687691082437993"/>
    <n v="-3"/>
    <n v="-3.1869179999999999"/>
    <n v="-3.4789289999999999"/>
    <n v="-3.8995609999999998"/>
    <n v="-3.7106919999999999"/>
    <n v="-2.9618699999999998"/>
    <n v="0.47892899999999994"/>
  </r>
  <r>
    <x v="1"/>
    <n v="24"/>
    <x v="1"/>
    <n v="1"/>
    <n v="-35"/>
    <n v="0"/>
    <n v="15"/>
    <n v="0"/>
    <n v="1"/>
    <n v="1"/>
    <n v="1"/>
    <n v="1"/>
    <n v="1"/>
    <n v="1"/>
    <n v="0.129955067995351"/>
    <n v="7.0210930220577499"/>
    <n v="79.935069564165502"/>
    <n v="0"/>
    <n v="-0.16275919999999999"/>
    <n v="-1.1248359999999999"/>
    <n v="-2.7906219999999999"/>
    <n v="-3.9671189999999998"/>
    <n v="-4.4939359999999997"/>
    <n v="1.1248359999999999"/>
  </r>
  <r>
    <x v="2"/>
    <n v="1"/>
    <x v="0"/>
    <n v="5"/>
    <n v="-35"/>
    <n v="0"/>
    <n v="15"/>
    <n v="0"/>
    <n v="-1"/>
    <n v="1"/>
    <n v="-1"/>
    <n v="2"/>
    <n v="1"/>
    <n v="2"/>
    <n v="0.118141455981379"/>
    <n v="6.7131270470799604"/>
    <n v="79.3288871934393"/>
    <n v="3"/>
    <n v="3"/>
    <n v="2.8619720000000002"/>
    <n v="0.99468619999999996"/>
    <n v="-0.72269720000000004"/>
    <n v="-2.0938680000000001"/>
    <n v="0.13802799999999982"/>
  </r>
  <r>
    <x v="2"/>
    <n v="2"/>
    <x v="1"/>
    <n v="4"/>
    <n v="-45"/>
    <n v="0"/>
    <n v="5"/>
    <n v="3"/>
    <n v="-2"/>
    <n v="-2"/>
    <n v="2"/>
    <n v="-2"/>
    <n v="-2"/>
    <n v="-2"/>
    <n v="0.28382020738519798"/>
    <n v="10.3611237480961"/>
    <n v="72.993100308015599"/>
    <n v="3"/>
    <n v="3"/>
    <n v="3"/>
    <n v="4.1844330000000003"/>
    <n v="4.4953909999999997"/>
    <n v="4.4953989999999999"/>
    <n v="0"/>
  </r>
  <r>
    <x v="2"/>
    <n v="3"/>
    <x v="2"/>
    <n v="7"/>
    <n v="-35"/>
    <n v="0"/>
    <n v="15"/>
    <n v="3"/>
    <n v="2"/>
    <n v="1"/>
    <n v="2"/>
    <n v="1"/>
    <n v="1"/>
    <n v="2"/>
    <n v="0.33356190953912701"/>
    <n v="13.8417942872306"/>
    <n v="79.112145025261597"/>
    <n v="3"/>
    <n v="3"/>
    <n v="3.6294559999999998"/>
    <n v="4.3302899999999998"/>
    <n v="4.490945"/>
    <n v="4.496378"/>
    <n v="0.62945599999999979"/>
  </r>
  <r>
    <x v="2"/>
    <n v="4"/>
    <x v="1"/>
    <n v="2"/>
    <n v="-35"/>
    <n v="-3"/>
    <n v="15"/>
    <n v="-3"/>
    <n v="-1"/>
    <n v="2"/>
    <n v="-2"/>
    <n v="1"/>
    <n v="1"/>
    <n v="1"/>
    <n v="0.26716971209779"/>
    <n v="14.874061319498299"/>
    <n v="82.520296196977895"/>
    <n v="-3"/>
    <n v="-3"/>
    <n v="-1.171451"/>
    <n v="0.71900589999999998"/>
    <n v="2.4449540000000001"/>
    <n v="4.1066370000000001"/>
    <n v="1.828549"/>
  </r>
  <r>
    <x v="2"/>
    <n v="5"/>
    <x v="0"/>
    <n v="8"/>
    <n v="-45"/>
    <n v="0"/>
    <n v="5"/>
    <n v="-3"/>
    <n v="-2"/>
    <n v="1"/>
    <n v="-2"/>
    <n v="-1"/>
    <n v="-1"/>
    <n v="-1"/>
    <n v="0.21169651591778699"/>
    <n v="7.8424677487004999"/>
    <n v="72.305874370779406"/>
    <n v="-3"/>
    <n v="-3"/>
    <n v="-1.82917"/>
    <n v="0.53039159999999996"/>
    <n v="2.8342360000000002"/>
    <n v="4.4865019999999998"/>
    <n v="1.17083"/>
  </r>
  <r>
    <x v="2"/>
    <n v="6"/>
    <x v="0"/>
    <n v="1"/>
    <n v="-35"/>
    <n v="0"/>
    <n v="15"/>
    <n v="0"/>
    <n v="-1"/>
    <n v="1"/>
    <n v="-2"/>
    <n v="-1"/>
    <n v="-1"/>
    <n v="-1"/>
    <n v="0.26204152730578101"/>
    <n v="10.661515835316999"/>
    <n v="80.256120213547504"/>
    <n v="0"/>
    <n v="0"/>
    <n v="0"/>
    <n v="-0.96876059999999997"/>
    <n v="0.40311239999999998"/>
    <n v="2.7556859999999999"/>
    <n v="0"/>
  </r>
  <r>
    <x v="2"/>
    <n v="7"/>
    <x v="1"/>
    <n v="6"/>
    <n v="-35"/>
    <n v="3"/>
    <n v="15"/>
    <n v="3"/>
    <n v="-2"/>
    <n v="-1"/>
    <n v="2"/>
    <n v="-2"/>
    <n v="-2"/>
    <n v="-2"/>
    <n v="0.29885957417796399"/>
    <n v="20.6037468289272"/>
    <n v="90.164155443903297"/>
    <n v="0"/>
    <n v="0"/>
    <n v="-1.265889"/>
    <n v="-0.27902369999999999"/>
    <n v="1.161365"/>
    <n v="3.098687"/>
    <n v="1.265889"/>
  </r>
  <r>
    <x v="2"/>
    <n v="8"/>
    <x v="2"/>
    <n v="2"/>
    <n v="-35"/>
    <n v="-3"/>
    <n v="15"/>
    <n v="-3"/>
    <n v="-1"/>
    <n v="1"/>
    <n v="-2"/>
    <n v="2"/>
    <n v="2"/>
    <n v="2"/>
    <n v="0.35190403522571301"/>
    <n v="7.3506866382335199"/>
    <n v="80.564335703929103"/>
    <n v="-3"/>
    <n v="-3"/>
    <n v="-2.5853730000000001"/>
    <n v="-0.19393560000000001"/>
    <n v="2.1980870000000001"/>
    <n v="3.9545149999999998"/>
    <n v="0.41462699999999986"/>
  </r>
  <r>
    <x v="2"/>
    <n v="9"/>
    <x v="1"/>
    <n v="7"/>
    <n v="-35"/>
    <n v="0"/>
    <n v="15"/>
    <n v="3"/>
    <n v="1"/>
    <n v="0"/>
    <n v="2"/>
    <n v="-1"/>
    <n v="0"/>
    <n v="-1"/>
    <n v="0.17893157897903"/>
    <n v="9.04079402135309"/>
    <n v="85.1597383892056"/>
    <n v="3"/>
    <n v="3"/>
    <n v="1.9570099999999999"/>
    <n v="-0.37309399999999998"/>
    <n v="-2.7325179999999998"/>
    <n v="-4.4881869999999999"/>
    <n v="1.0429900000000001"/>
  </r>
  <r>
    <x v="2"/>
    <n v="10"/>
    <x v="0"/>
    <n v="4"/>
    <n v="-45"/>
    <n v="0"/>
    <n v="5"/>
    <n v="3"/>
    <n v="-2"/>
    <n v="1"/>
    <n v="-1"/>
    <n v="1"/>
    <n v="-1"/>
    <n v="1"/>
    <n v="0.216324944241617"/>
    <n v="13.9101066044679"/>
    <n v="75.583196342500699"/>
    <n v="3"/>
    <n v="3.3425099999999999"/>
    <n v="2.110865"/>
    <n v="0.2107105"/>
    <n v="-1.0649759999999999"/>
    <n v="-2.908935"/>
    <n v="0.88913500000000001"/>
  </r>
  <r>
    <x v="2"/>
    <n v="11"/>
    <x v="2"/>
    <n v="5"/>
    <n v="-35"/>
    <n v="0"/>
    <n v="15"/>
    <n v="0"/>
    <n v="-2"/>
    <n v="-2"/>
    <n v="-1"/>
    <n v="-2"/>
    <n v="-1"/>
    <n v="-1"/>
    <n v="0.13714141921814599"/>
    <n v="7.7754408231624801"/>
    <n v="80.371618591231496"/>
    <n v="3"/>
    <n v="3"/>
    <n v="1.123122"/>
    <n v="-0.81693360000000004"/>
    <n v="-2.704243"/>
    <n v="-4.0369440000000001"/>
    <n v="1.876878"/>
  </r>
  <r>
    <x v="2"/>
    <n v="12"/>
    <x v="2"/>
    <n v="3"/>
    <n v="-35"/>
    <n v="0"/>
    <n v="15"/>
    <n v="-3"/>
    <n v="2"/>
    <n v="1"/>
    <n v="1"/>
    <n v="1"/>
    <n v="1"/>
    <n v="1"/>
    <n v="0.15964684299913801"/>
    <n v="8.3111457305955305"/>
    <n v="76.584908649661401"/>
    <n v="-3"/>
    <n v="-3"/>
    <n v="-3.3567330000000002"/>
    <n v="-4.4792940000000003"/>
    <n v="-4.4898189999999998"/>
    <n v="-4.4898129999999998"/>
    <n v="0.35673300000000019"/>
  </r>
  <r>
    <x v="2"/>
    <n v="13"/>
    <x v="0"/>
    <n v="7"/>
    <n v="-35"/>
    <n v="0"/>
    <n v="15"/>
    <n v="3"/>
    <n v="-1"/>
    <n v="2"/>
    <n v="-2"/>
    <n v="1"/>
    <n v="-1"/>
    <n v="-1"/>
    <n v="0.153092242513238"/>
    <n v="11.4449818484941"/>
    <n v="75.873203987341597"/>
    <n v="3"/>
    <n v="3"/>
    <n v="3"/>
    <n v="3.0868630000000001"/>
    <n v="4.0350250000000001"/>
    <n v="4.0719640000000004"/>
    <n v="0"/>
  </r>
  <r>
    <x v="2"/>
    <n v="14"/>
    <x v="2"/>
    <n v="1"/>
    <n v="-35"/>
    <n v="0"/>
    <n v="15"/>
    <n v="0"/>
    <n v="2"/>
    <n v="1"/>
    <n v="2"/>
    <n v="2"/>
    <n v="0"/>
    <n v="2"/>
    <n v="0.15568282548730999"/>
    <n v="6.7560584698472104"/>
    <n v="78.588302711375704"/>
    <n v="0"/>
    <n v="0"/>
    <n v="-1.3812189999999999E-3"/>
    <n v="-2.0867119999999999"/>
    <n v="-3.545372"/>
    <n v="-4.4966549999999996"/>
    <n v="1.3812189999999999E-3"/>
  </r>
  <r>
    <x v="2"/>
    <n v="15"/>
    <x v="1"/>
    <n v="8"/>
    <n v="-45"/>
    <n v="0"/>
    <n v="5"/>
    <n v="-3"/>
    <n v="1"/>
    <n v="1"/>
    <n v="1"/>
    <n v="1"/>
    <n v="1"/>
    <n v="1"/>
    <n v="0.227766451576113"/>
    <n v="3.3027622680374198"/>
    <n v="66.595237759310393"/>
    <n v="-3"/>
    <n v="-2.9689860000000001"/>
    <n v="-2.9689860000000001"/>
    <n v="-3.3299690000000002"/>
    <n v="-3.7893789999999998"/>
    <n v="-4.494713"/>
    <n v="3.1013999999999875E-2"/>
  </r>
  <r>
    <x v="2"/>
    <n v="16"/>
    <x v="1"/>
    <n v="3"/>
    <n v="-35"/>
    <n v="0"/>
    <n v="15"/>
    <n v="-3"/>
    <n v="1"/>
    <n v="1"/>
    <n v="1"/>
    <n v="1"/>
    <n v="2"/>
    <n v="1"/>
    <n v="0.17884540127662699"/>
    <n v="2.7541984818723702"/>
    <n v="75.279219555278303"/>
    <n v="-3"/>
    <n v="-3"/>
    <n v="-4.0276639999999997"/>
    <n v="-4.4972849999999998"/>
    <n v="-4.4972960000000004"/>
    <n v="-4.4973159999999996"/>
    <n v="1.0276639999999997"/>
  </r>
  <r>
    <x v="2"/>
    <n v="17"/>
    <x v="2"/>
    <n v="6"/>
    <n v="-35"/>
    <n v="3"/>
    <n v="15"/>
    <n v="3"/>
    <n v="2"/>
    <n v="2"/>
    <n v="2"/>
    <n v="2"/>
    <n v="2"/>
    <n v="2"/>
    <n v="0.15689873526317599"/>
    <n v="2.7095969544476701"/>
    <n v="76.208691516685093"/>
    <n v="0"/>
    <n v="4.7864629999999998E-2"/>
    <n v="1.6463429999999999"/>
    <n v="2.8460510000000001"/>
    <n v="3.8876529999999998"/>
    <n v="4.4986649999999999"/>
    <n v="1.6463429999999999"/>
  </r>
  <r>
    <x v="2"/>
    <n v="18"/>
    <x v="0"/>
    <n v="2"/>
    <n v="-35"/>
    <n v="-3"/>
    <n v="15"/>
    <n v="-3"/>
    <n v="-2"/>
    <n v="2"/>
    <n v="-2"/>
    <n v="1"/>
    <n v="-1"/>
    <n v="-1"/>
    <n v="0.137735434686898"/>
    <n v="5.6989475998621604"/>
    <n v="78.648701213093403"/>
    <n v="-3"/>
    <n v="-2.9776919999999998"/>
    <n v="-1.09961"/>
    <n v="0.89443729999999999"/>
    <n v="2.6902300000000001"/>
    <n v="4.1093349999999997"/>
    <n v="1.90039"/>
  </r>
  <r>
    <x v="2"/>
    <n v="19"/>
    <x v="1"/>
    <n v="5"/>
    <n v="-35"/>
    <n v="0"/>
    <n v="15"/>
    <n v="0"/>
    <n v="-2"/>
    <n v="2"/>
    <n v="-2"/>
    <n v="1"/>
    <n v="1"/>
    <n v="1"/>
    <n v="0.18731322557246499"/>
    <n v="9.2860737676603193"/>
    <n v="78.958341376598597"/>
    <n v="3"/>
    <n v="2.9939740000000001"/>
    <n v="0.92984789999999995"/>
    <n v="-1.022964"/>
    <n v="-2.8995829999999998"/>
    <n v="-3.601915"/>
    <n v="2.0701521000000001"/>
  </r>
  <r>
    <x v="2"/>
    <n v="20"/>
    <x v="2"/>
    <n v="4"/>
    <n v="-45"/>
    <n v="0"/>
    <n v="5"/>
    <n v="3"/>
    <n v="2"/>
    <n v="1"/>
    <n v="2"/>
    <n v="2"/>
    <n v="2"/>
    <n v="2"/>
    <n v="0.15705281638205601"/>
    <n v="3.4150935930416599"/>
    <n v="66.104637398001998"/>
    <n v="3"/>
    <n v="3"/>
    <n v="3"/>
    <n v="3"/>
    <n v="4.4720009999999997"/>
    <n v="4.4941380000000004"/>
    <n v="0"/>
  </r>
  <r>
    <x v="2"/>
    <n v="21"/>
    <x v="0"/>
    <n v="6"/>
    <n v="-35"/>
    <n v="3"/>
    <n v="15"/>
    <n v="3"/>
    <n v="-2"/>
    <n v="2"/>
    <n v="-2"/>
    <n v="1"/>
    <n v="1"/>
    <n v="1"/>
    <n v="0.16156278621395301"/>
    <n v="4.5270269292365803"/>
    <n v="76.589882854570703"/>
    <n v="0"/>
    <n v="0"/>
    <n v="0"/>
    <n v="1.3367329999999999"/>
    <n v="3.288351"/>
    <n v="4.4963759999999997"/>
    <n v="0"/>
  </r>
  <r>
    <x v="2"/>
    <n v="22"/>
    <x v="0"/>
    <n v="3"/>
    <n v="-35"/>
    <n v="0"/>
    <n v="15"/>
    <n v="-3"/>
    <n v="-2"/>
    <n v="2"/>
    <n v="-1"/>
    <n v="1"/>
    <n v="1"/>
    <n v="1"/>
    <n v="0.17806071886945199"/>
    <n v="4.5903917754234804"/>
    <n v="75.018073504925397"/>
    <n v="-3"/>
    <n v="-3.16452"/>
    <n v="-3.7855910000000002"/>
    <n v="-4.2541570000000002"/>
    <n v="-4.3610819999999997"/>
    <n v="-4.4983329999999997"/>
    <n v="0.78559100000000015"/>
  </r>
  <r>
    <x v="2"/>
    <n v="23"/>
    <x v="2"/>
    <n v="8"/>
    <n v="-45"/>
    <n v="0"/>
    <n v="5"/>
    <n v="-3"/>
    <n v="2"/>
    <n v="1"/>
    <n v="1"/>
    <n v="1"/>
    <n v="2"/>
    <n v="1"/>
    <n v="0.167814477697971"/>
    <n v="2.4592589295170302"/>
    <n v="66.189610554899701"/>
    <n v="-3"/>
    <n v="-3.421119"/>
    <n v="-4.1764539999999997"/>
    <n v="-4.498545"/>
    <n v="-4.4985549999999996"/>
    <n v="-4.4985600000000003"/>
    <n v="1.1764539999999997"/>
  </r>
  <r>
    <x v="2"/>
    <n v="24"/>
    <x v="1"/>
    <n v="1"/>
    <n v="-35"/>
    <n v="0"/>
    <n v="15"/>
    <n v="0"/>
    <n v="1"/>
    <n v="1"/>
    <n v="1"/>
    <n v="1"/>
    <n v="2"/>
    <n v="1"/>
    <n v="0.147772333042754"/>
    <n v="2.5257568648742201"/>
    <n v="75.767487754044495"/>
    <n v="0"/>
    <n v="-6.180956E-2"/>
    <n v="-1.5838110000000001"/>
    <n v="-2.9730430000000001"/>
    <n v="-4.2423729999999997"/>
    <n v="-4.4946679999999999"/>
    <n v="1.5838110000000001"/>
  </r>
  <r>
    <x v="3"/>
    <n v="1"/>
    <x v="1"/>
    <n v="1"/>
    <n v="-35"/>
    <n v="0"/>
    <n v="15"/>
    <n v="0"/>
    <n v="-1"/>
    <n v="-1"/>
    <n v="1"/>
    <n v="-2"/>
    <n v="-2"/>
    <n v="-1"/>
    <n v="0.26624552743470398"/>
    <n v="15.510476741044601"/>
    <n v="78.777181570813795"/>
    <n v="0"/>
    <n v="-5.4538969999999999E-2"/>
    <n v="0.59511029999999998"/>
    <n v="1.4514640000000001"/>
    <n v="2.052502"/>
    <n v="3.194906"/>
    <n v="0.59511029999999998"/>
  </r>
  <r>
    <x v="3"/>
    <n v="2"/>
    <x v="2"/>
    <n v="8"/>
    <n v="-45"/>
    <n v="0"/>
    <n v="5"/>
    <n v="-3"/>
    <n v="1"/>
    <n v="2"/>
    <n v="1"/>
    <n v="2"/>
    <n v="2"/>
    <n v="2"/>
    <n v="0.15426744192758901"/>
    <n v="5.1615003708189402"/>
    <n v="68.170171036147494"/>
    <n v="-3"/>
    <n v="-2.9763999999999999"/>
    <n v="-2.4657520000000002"/>
    <n v="-1.9894510000000001"/>
    <n v="-2.3373360000000001"/>
    <n v="-3.1346270000000001"/>
    <n v="0.53424799999999983"/>
  </r>
  <r>
    <x v="3"/>
    <n v="3"/>
    <x v="0"/>
    <n v="3"/>
    <n v="-35"/>
    <n v="0"/>
    <n v="15"/>
    <n v="-3"/>
    <n v="1"/>
    <n v="1"/>
    <n v="-2"/>
    <n v="-1"/>
    <n v="1"/>
    <n v="1"/>
    <n v="0.198957857535149"/>
    <n v="7.6838157832697203"/>
    <n v="77.642505472256801"/>
    <n v="-3"/>
    <n v="-2.7207490000000001"/>
    <n v="-3.6545779999999999"/>
    <n v="-4.077032"/>
    <n v="-3.6728160000000001"/>
    <n v="-3.4533070000000001"/>
    <n v="0.65457799999999988"/>
  </r>
  <r>
    <x v="3"/>
    <n v="4"/>
    <x v="0"/>
    <n v="6"/>
    <n v="-35"/>
    <n v="3"/>
    <n v="15"/>
    <n v="3"/>
    <n v="-1"/>
    <n v="1"/>
    <n v="-2"/>
    <n v="-1"/>
    <n v="-1"/>
    <n v="-1"/>
    <n v="0.32714881993488498"/>
    <n v="13.755379421008501"/>
    <n v="81.163391992031407"/>
    <n v="0"/>
    <n v="-6.9023249999999994E-2"/>
    <n v="0.71509909999999999"/>
    <n v="1.595906"/>
    <n v="2.5567799999999998"/>
    <n v="3.284046"/>
    <n v="0.71509909999999999"/>
  </r>
  <r>
    <x v="3"/>
    <n v="5"/>
    <x v="2"/>
    <n v="4"/>
    <n v="-45"/>
    <n v="0"/>
    <n v="5"/>
    <n v="3"/>
    <n v="2"/>
    <n v="2"/>
    <n v="2"/>
    <n v="2"/>
    <n v="2"/>
    <n v="2"/>
    <n v="0.28758566569222499"/>
    <n v="3.1166583880231502"/>
    <n v="66.1029140632902"/>
    <n v="3"/>
    <n v="2.9685990000000002"/>
    <n v="1.4361999999999999"/>
    <n v="0.16353110000000001"/>
    <n v="-1.1083069999999999"/>
    <n v="-1.8990959999999999"/>
    <n v="1.5638000000000001"/>
  </r>
  <r>
    <x v="3"/>
    <n v="6"/>
    <x v="1"/>
    <n v="5"/>
    <n v="-35"/>
    <n v="0"/>
    <n v="15"/>
    <n v="0"/>
    <n v="-2"/>
    <n v="2"/>
    <n v="2"/>
    <n v="1"/>
    <n v="-1"/>
    <n v="1"/>
    <n v="0.26107570016165998"/>
    <n v="13.4569526243188"/>
    <n v="77.991986084850396"/>
    <n v="3"/>
    <n v="2.9998860000000001"/>
    <n v="2.781809"/>
    <n v="1.5358069999999999"/>
    <n v="3.4282720000000003E-2"/>
    <n v="-1.420444"/>
    <n v="0.21819100000000002"/>
  </r>
  <r>
    <x v="3"/>
    <n v="7"/>
    <x v="0"/>
    <n v="2"/>
    <n v="-35"/>
    <n v="-3"/>
    <n v="15"/>
    <n v="-3"/>
    <n v="-2"/>
    <n v="2"/>
    <n v="1"/>
    <n v="-1"/>
    <n v="-1"/>
    <n v="-1"/>
    <n v="0.26846605378371502"/>
    <n v="10.3239779655175"/>
    <n v="76.677460123762003"/>
    <n v="-3"/>
    <n v="-3"/>
    <n v="-2.0352860000000002"/>
    <n v="-0.76173860000000004"/>
    <n v="0.1387178"/>
    <n v="0.89571789999999996"/>
    <n v="0.96471399999999985"/>
  </r>
  <r>
    <x v="3"/>
    <n v="8"/>
    <x v="2"/>
    <n v="6"/>
    <n v="-35"/>
    <n v="3"/>
    <n v="15"/>
    <n v="3"/>
    <n v="2"/>
    <n v="1"/>
    <n v="2"/>
    <n v="1"/>
    <n v="1"/>
    <n v="1"/>
    <n v="0.33630097497849598"/>
    <n v="14.863003609221501"/>
    <n v="79.753531226932296"/>
    <n v="0"/>
    <n v="-8.975287E-4"/>
    <n v="0.92228969999999999"/>
    <n v="2.0785640000000001"/>
    <n v="3.0570550000000001"/>
    <n v="3.4627490000000001"/>
    <n v="0.92228969999999999"/>
  </r>
  <r>
    <x v="3"/>
    <n v="9"/>
    <x v="1"/>
    <n v="3"/>
    <n v="-35"/>
    <n v="0"/>
    <n v="15"/>
    <n v="-3"/>
    <n v="-2"/>
    <n v="-2"/>
    <n v="2"/>
    <n v="-2"/>
    <n v="-2"/>
    <n v="-2"/>
    <n v="0.30282464951351901"/>
    <n v="19.228571860157199"/>
    <n v="84.122574471215003"/>
    <n v="-3"/>
    <n v="-2.8861469999999998"/>
    <n v="-3.346689"/>
    <n v="-3.6827670000000001"/>
    <n v="-4.0381330000000002"/>
    <n v="-3.600355"/>
    <n v="0.34668900000000002"/>
  </r>
  <r>
    <x v="3"/>
    <n v="10"/>
    <x v="1"/>
    <n v="8"/>
    <n v="-45"/>
    <n v="0"/>
    <n v="5"/>
    <n v="-3"/>
    <n v="2"/>
    <n v="2"/>
    <n v="2"/>
    <n v="2"/>
    <n v="2"/>
    <n v="2"/>
    <n v="0.24803520438613"/>
    <n v="8.4712330327001801"/>
    <n v="67.851167319216003"/>
    <n v="-3"/>
    <n v="-2.8753489999999999"/>
    <n v="-1.397378"/>
    <n v="7.7695829999999994E-2"/>
    <n v="1.4581569999999999"/>
    <n v="2.8596529999999998"/>
    <n v="1.602622"/>
  </r>
  <r>
    <x v="3"/>
    <n v="11"/>
    <x v="2"/>
    <n v="1"/>
    <n v="-35"/>
    <n v="0"/>
    <n v="15"/>
    <n v="0"/>
    <n v="2"/>
    <n v="1"/>
    <n v="1"/>
    <n v="1"/>
    <n v="1"/>
    <n v="1"/>
    <n v="0.21075363363410299"/>
    <n v="5.6199367309823201"/>
    <n v="76.202770630909697"/>
    <n v="0"/>
    <n v="5.330215E-2"/>
    <n v="-0.25890920000000001"/>
    <n v="0.23782139999999999"/>
    <n v="-0.81232729999999997"/>
    <n v="-2.5400960000000001"/>
    <n v="0.25890920000000001"/>
  </r>
  <r>
    <x v="3"/>
    <n v="12"/>
    <x v="0"/>
    <n v="7"/>
    <n v="-35"/>
    <n v="0"/>
    <n v="15"/>
    <n v="3"/>
    <n v="-2"/>
    <n v="2"/>
    <n v="-2"/>
    <n v="0"/>
    <n v="1"/>
    <n v="-1"/>
    <n v="0.31840694918822998"/>
    <n v="3.6190310440854301"/>
    <n v="76.341096449018906"/>
    <n v="3"/>
    <n v="3"/>
    <n v="3.0531000000000001"/>
    <n v="3.7371780000000001"/>
    <n v="4.2828229999999996"/>
    <n v="4.0147789999999999"/>
    <n v="5.3100000000000147E-2"/>
  </r>
  <r>
    <x v="3"/>
    <n v="13"/>
    <x v="2"/>
    <n v="3"/>
    <n v="-35"/>
    <n v="0"/>
    <n v="15"/>
    <n v="-3"/>
    <n v="2"/>
    <n v="1"/>
    <n v="2"/>
    <n v="1"/>
    <n v="1"/>
    <n v="1"/>
    <n v="0.27641043611632699"/>
    <n v="23.838045173509901"/>
    <n v="79.699672652685507"/>
    <n v="-3"/>
    <n v="-3"/>
    <n v="-3.1900360000000001"/>
    <n v="-3.783229"/>
    <n v="-3.8500009999999998"/>
    <n v="-3.9318789999999999"/>
    <n v="0.19003600000000009"/>
  </r>
  <r>
    <x v="3"/>
    <n v="14"/>
    <x v="2"/>
    <n v="5"/>
    <n v="-35"/>
    <n v="0"/>
    <n v="15"/>
    <n v="0"/>
    <n v="-2"/>
    <n v="-2"/>
    <n v="2"/>
    <n v="-2"/>
    <n v="-2"/>
    <n v="-2"/>
    <n v="0.198206663562734"/>
    <n v="16.528933460569501"/>
    <n v="82.0290884861367"/>
    <n v="3"/>
    <n v="3"/>
    <n v="3.032041"/>
    <n v="3.4704449999999998"/>
    <n v="1.728748"/>
    <n v="-6.8224720000000003E-2"/>
    <n v="3.2040999999999986E-2"/>
  </r>
  <r>
    <x v="3"/>
    <n v="15"/>
    <x v="0"/>
    <n v="4"/>
    <n v="-45"/>
    <n v="0"/>
    <n v="5"/>
    <n v="3"/>
    <n v="-2"/>
    <n v="2"/>
    <n v="-2"/>
    <n v="-1"/>
    <n v="0"/>
    <n v="-1"/>
    <n v="0.142288814703704"/>
    <n v="2.04596532632016"/>
    <n v="67.327101537333903"/>
    <n v="3"/>
    <n v="3.0175260000000002"/>
    <n v="3.4658099999999998"/>
    <n v="3.8508309999999999"/>
    <n v="4.1997819999999999"/>
    <n v="4.431686"/>
    <n v="0.46580999999999984"/>
  </r>
  <r>
    <x v="3"/>
    <n v="16"/>
    <x v="1"/>
    <n v="7"/>
    <n v="-35"/>
    <n v="0"/>
    <n v="15"/>
    <n v="3"/>
    <n v="-2"/>
    <n v="-2"/>
    <n v="-1"/>
    <n v="-2"/>
    <n v="-2"/>
    <n v="-2"/>
    <n v="0.317607862790176"/>
    <n v="14.5252824075841"/>
    <n v="83.463036287984707"/>
    <n v="3"/>
    <n v="2.7823319999999998"/>
    <n v="3.2444470000000001"/>
    <n v="3.5868419999999999"/>
    <n v="4.0381309999999999"/>
    <n v="4.3133160000000004"/>
    <n v="0.24444700000000008"/>
  </r>
  <r>
    <x v="3"/>
    <n v="17"/>
    <x v="2"/>
    <n v="2"/>
    <n v="-35"/>
    <n v="-3"/>
    <n v="15"/>
    <n v="-3"/>
    <n v="-1"/>
    <n v="-1"/>
    <n v="1"/>
    <n v="1"/>
    <n v="1"/>
    <n v="-1"/>
    <n v="0.224774542511925"/>
    <n v="15.773999334837701"/>
    <n v="80.249513131743299"/>
    <n v="-3"/>
    <n v="-2.7592310000000002"/>
    <n v="-1.132231"/>
    <n v="-0.65589339999999996"/>
    <n v="0.31001630000000002"/>
    <n v="0.52958050000000001"/>
    <n v="1.867769"/>
  </r>
  <r>
    <x v="3"/>
    <n v="18"/>
    <x v="1"/>
    <n v="6"/>
    <n v="-35"/>
    <n v="3"/>
    <n v="15"/>
    <n v="3"/>
    <n v="-1"/>
    <n v="-2"/>
    <n v="-2"/>
    <n v="1"/>
    <n v="-1"/>
    <n v="-1"/>
    <n v="0.27907726208313"/>
    <n v="18.012371046645502"/>
    <n v="81.273251368261199"/>
    <n v="0"/>
    <n v="6.6867960000000004E-2"/>
    <n v="1.53366"/>
    <n v="2.894936"/>
    <n v="3.886771"/>
    <n v="4.4988460000000003"/>
    <n v="1.53366"/>
  </r>
  <r>
    <x v="3"/>
    <n v="19"/>
    <x v="0"/>
    <n v="1"/>
    <n v="-35"/>
    <n v="0"/>
    <n v="15"/>
    <n v="0"/>
    <n v="2"/>
    <n v="1"/>
    <n v="1"/>
    <n v="2"/>
    <n v="1"/>
    <n v="1"/>
    <n v="0.13675553833043899"/>
    <n v="4.6589829313160704"/>
    <n v="76.710137899979898"/>
    <n v="0"/>
    <n v="0"/>
    <n v="0"/>
    <n v="-0.73127629999999999"/>
    <n v="-2.1439110000000001"/>
    <n v="-3.0166219999999999"/>
    <n v="0"/>
  </r>
  <r>
    <x v="3"/>
    <n v="20"/>
    <x v="0"/>
    <n v="8"/>
    <n v="-45"/>
    <n v="0"/>
    <n v="5"/>
    <n v="-3"/>
    <n v="0"/>
    <n v="-1"/>
    <n v="1"/>
    <n v="-2"/>
    <n v="-1"/>
    <n v="-1"/>
    <n v="0.168388464883652"/>
    <n v="7.9655147035485099"/>
    <n v="68.188745904493402"/>
    <n v="-3"/>
    <n v="-3.0006599999999999"/>
    <n v="-2.8864670000000001"/>
    <n v="-2.0519560000000001"/>
    <n v="-0.2278048"/>
    <n v="1.445174"/>
    <n v="0.11353299999999988"/>
  </r>
  <r>
    <x v="3"/>
    <n v="21"/>
    <x v="1"/>
    <n v="2"/>
    <n v="-35"/>
    <n v="-3"/>
    <n v="15"/>
    <n v="-3"/>
    <n v="-2"/>
    <n v="2"/>
    <n v="-2"/>
    <n v="1"/>
    <n v="1"/>
    <n v="0"/>
    <n v="0.11388474320943801"/>
    <n v="3.5970485088197202"/>
    <n v="78.830648595139095"/>
    <n v="-3"/>
    <n v="-2.6752739999999999"/>
    <n v="-1.5750109999999999"/>
    <n v="-0.42669760000000001"/>
    <n v="0.66970810000000003"/>
    <n v="1.6564540000000001"/>
    <n v="1.4249890000000001"/>
  </r>
  <r>
    <x v="3"/>
    <n v="22"/>
    <x v="2"/>
    <n v="7"/>
    <n v="-35"/>
    <n v="0"/>
    <n v="15"/>
    <n v="3"/>
    <n v="1"/>
    <n v="1"/>
    <n v="2"/>
    <n v="1"/>
    <n v="1"/>
    <n v="1"/>
    <n v="0.125151460301101"/>
    <n v="2.0830162067185798"/>
    <n v="76.482270248571396"/>
    <n v="3"/>
    <n v="3.0396169999999998"/>
    <n v="3.4350969999999998"/>
    <n v="4.1535880000000001"/>
    <n v="4.2923790000000004"/>
    <n v="4.4984060000000001"/>
    <n v="0.43509699999999984"/>
  </r>
  <r>
    <x v="3"/>
    <n v="23"/>
    <x v="1"/>
    <n v="4"/>
    <n v="-45"/>
    <n v="0"/>
    <n v="5"/>
    <n v="3"/>
    <n v="1"/>
    <n v="-1"/>
    <n v="1"/>
    <n v="2"/>
    <n v="1"/>
    <n v="1"/>
    <n v="0.16701137985423201"/>
    <n v="3.3264483247318801"/>
    <n v="67.861830846806896"/>
    <n v="3"/>
    <n v="2.9088440000000002"/>
    <n v="2.9527160000000001"/>
    <n v="3.4405649999999999"/>
    <n v="4.144037"/>
    <n v="4.4959709999999999"/>
    <n v="4.7283999999999882E-2"/>
  </r>
  <r>
    <x v="3"/>
    <n v="24"/>
    <x v="0"/>
    <n v="5"/>
    <n v="-35"/>
    <n v="0"/>
    <n v="15"/>
    <n v="0"/>
    <n v="-1"/>
    <n v="1"/>
    <n v="-1"/>
    <n v="1"/>
    <n v="1"/>
    <n v="-1"/>
    <n v="0.21009326286692101"/>
    <n v="6.4995114528332998"/>
    <n v="77.858932059810101"/>
    <n v="3"/>
    <n v="2.9424359999999998"/>
    <n v="2.8827729999999998"/>
    <n v="1.6530879999999999"/>
    <n v="0.38671689999999997"/>
    <n v="-0.63927820000000002"/>
    <n v="0.11722700000000019"/>
  </r>
  <r>
    <x v="4"/>
    <n v="1"/>
    <x v="1"/>
    <n v="1"/>
    <n v="-35"/>
    <n v="0"/>
    <n v="15"/>
    <n v="0"/>
    <n v="-1"/>
    <n v="1"/>
    <n v="0"/>
    <n v="-1"/>
    <n v="0"/>
    <n v="-1"/>
    <n v="0.13254379610922901"/>
    <n v="3.39200130620475"/>
    <n v="75.761618820548094"/>
    <n v="0"/>
    <n v="-3.6861619999999998E-2"/>
    <n v="2.741505E-2"/>
    <n v="2.6204890000000002E-2"/>
    <n v="0.17979349999999999"/>
    <n v="-0.76023390000000002"/>
    <n v="2.741505E-2"/>
  </r>
  <r>
    <x v="4"/>
    <n v="2"/>
    <x v="2"/>
    <n v="8"/>
    <n v="-45"/>
    <n v="0"/>
    <n v="5"/>
    <n v="-3"/>
    <n v="1"/>
    <n v="1"/>
    <n v="1"/>
    <n v="0"/>
    <n v="1"/>
    <n v="0"/>
    <n v="0.115849750173337"/>
    <n v="2.7169126303341899"/>
    <n v="68.424387754903293"/>
    <n v="-3"/>
    <n v="-2.7610060000000001"/>
    <n v="-3.1750340000000001"/>
    <n v="-3.5563639999999999"/>
    <n v="-3.8507959999999999"/>
    <n v="-4.1248690000000003"/>
    <n v="0.17503400000000013"/>
  </r>
  <r>
    <x v="4"/>
    <n v="3"/>
    <x v="0"/>
    <n v="3"/>
    <n v="-35"/>
    <n v="0"/>
    <n v="15"/>
    <n v="-3"/>
    <n v="0"/>
    <n v="1"/>
    <n v="-1"/>
    <n v="1"/>
    <n v="1"/>
    <n v="1"/>
    <n v="0.158928916016155"/>
    <n v="1.5545534832536001"/>
    <n v="74.989280291441702"/>
    <n v="-3"/>
    <n v="-3"/>
    <n v="-3.6557590000000002"/>
    <n v="-4.2097040000000003"/>
    <n v="-4.498062"/>
    <n v="-4.4980510000000002"/>
    <n v="0.6557590000000002"/>
  </r>
  <r>
    <x v="4"/>
    <n v="4"/>
    <x v="0"/>
    <n v="6"/>
    <n v="-35"/>
    <n v="3"/>
    <n v="15"/>
    <n v="3"/>
    <n v="-2"/>
    <n v="0"/>
    <n v="0"/>
    <n v="-2"/>
    <n v="-1"/>
    <n v="-1"/>
    <n v="0.19278920164268901"/>
    <n v="2.4081407507824499"/>
    <n v="35.441003000938501"/>
    <n v="0"/>
    <n v="1.3533989999999999E-2"/>
    <n v="-4.5372750000000003E-2"/>
    <n v="-0.1472591"/>
    <n v="-0.23846300000000001"/>
    <n v="2.4555469999999999E-2"/>
    <n v="4.5372750000000003E-2"/>
  </r>
  <r>
    <x v="4"/>
    <n v="5"/>
    <x v="2"/>
    <n v="4"/>
    <n v="-45"/>
    <n v="0"/>
    <n v="5"/>
    <n v="3"/>
    <n v="2"/>
    <n v="0"/>
    <n v="2"/>
    <n v="2"/>
    <n v="-1"/>
    <n v="2"/>
    <n v="0.138287225086063"/>
    <n v="2.57593263682356"/>
    <n v="68.363547707212803"/>
    <n v="3"/>
    <n v="3"/>
    <n v="2.5876039999999998"/>
    <n v="1.131235"/>
    <n v="0.30691109999999999"/>
    <n v="0.3646819"/>
    <n v="0.41239600000000021"/>
  </r>
  <r>
    <x v="4"/>
    <n v="6"/>
    <x v="1"/>
    <n v="5"/>
    <n v="-35"/>
    <n v="0"/>
    <n v="15"/>
    <n v="0"/>
    <n v="1"/>
    <n v="1"/>
    <n v="1"/>
    <n v="-1"/>
    <n v="0"/>
    <n v="0"/>
    <n v="0.10815834787275"/>
    <n v="1.2810880236639299"/>
    <n v="76.497725026626398"/>
    <n v="3"/>
    <n v="3"/>
    <n v="2.9117890000000002"/>
    <n v="2.4830999999999999"/>
    <n v="2.236354"/>
    <n v="2.172085"/>
    <n v="8.8210999999999817E-2"/>
  </r>
  <r>
    <x v="4"/>
    <n v="7"/>
    <x v="0"/>
    <n v="2"/>
    <n v="-35"/>
    <n v="-3"/>
    <n v="15"/>
    <n v="-3"/>
    <n v="-2"/>
    <n v="0"/>
    <n v="0"/>
    <n v="-1"/>
    <n v="0"/>
    <n v="-1"/>
    <n v="0.143129911924995"/>
    <n v="3.2754779075271498"/>
    <n v="78.060950891193301"/>
    <n v="-3"/>
    <n v="-2.9699990000000001"/>
    <n v="-2.6854900000000002"/>
    <n v="-2.881259"/>
    <n v="-3.2703579999999999"/>
    <n v="-3.2869120000000001"/>
    <n v="0.31450999999999985"/>
  </r>
  <r>
    <x v="4"/>
    <n v="8"/>
    <x v="2"/>
    <n v="6"/>
    <n v="-35"/>
    <n v="3"/>
    <n v="15"/>
    <n v="3"/>
    <n v="2"/>
    <n v="2"/>
    <n v="2"/>
    <n v="2"/>
    <n v="2"/>
    <n v="2"/>
    <n v="0.103195817251945"/>
    <n v="1.6283276977238601"/>
    <n v="76.571296327001804"/>
    <n v="0"/>
    <n v="0.16092390000000001"/>
    <n v="0.18046309999999999"/>
    <n v="0.17541129999999999"/>
    <n v="0.1401307"/>
    <n v="0.2488813"/>
    <n v="0.18046309999999999"/>
  </r>
  <r>
    <x v="4"/>
    <n v="9"/>
    <x v="1"/>
    <n v="3"/>
    <n v="-35"/>
    <n v="0"/>
    <n v="15"/>
    <n v="-3"/>
    <n v="0"/>
    <n v="1"/>
    <n v="0"/>
    <n v="-1"/>
    <n v="0"/>
    <n v="-1"/>
    <n v="0.12510640829780101"/>
    <n v="1.0297172775040799"/>
    <n v="76.688683884111995"/>
    <n v="-3"/>
    <n v="-3"/>
    <n v="-3.6118969999999999"/>
    <n v="-4.1327249999999998"/>
    <n v="-4.498024"/>
    <n v="-4.498094"/>
    <n v="0.61189699999999991"/>
  </r>
  <r>
    <x v="4"/>
    <n v="10"/>
    <x v="1"/>
    <n v="8"/>
    <n v="-45"/>
    <n v="0"/>
    <n v="5"/>
    <n v="-3"/>
    <n v="-1"/>
    <n v="-1"/>
    <n v="-1"/>
    <n v="-1"/>
    <n v="0"/>
    <n v="-1"/>
    <n v="0.108966442994836"/>
    <n v="2.6561673127235599"/>
    <n v="67.082038510833399"/>
    <n v="-3"/>
    <n v="-2.9967760000000001"/>
    <n v="-2.7009889999999999"/>
    <n v="-2.4910830000000002"/>
    <n v="-2.1631339999999999"/>
    <n v="-1.845647"/>
    <n v="0.29901100000000014"/>
  </r>
  <r>
    <x v="4"/>
    <n v="11"/>
    <x v="2"/>
    <n v="1"/>
    <n v="-35"/>
    <n v="0"/>
    <n v="15"/>
    <n v="0"/>
    <n v="1"/>
    <n v="1"/>
    <n v="1"/>
    <n v="0"/>
    <n v="1"/>
    <n v="1"/>
    <n v="0.103434122456651"/>
    <n v="1.23669958624569"/>
    <n v="76.419118785489403"/>
    <n v="0"/>
    <n v="-1.115906E-4"/>
    <n v="-0.66792960000000001"/>
    <n v="-1.268645"/>
    <n v="-1.8965320000000001"/>
    <n v="-2.4514490000000002"/>
    <n v="0.66792960000000001"/>
  </r>
  <r>
    <x v="4"/>
    <n v="12"/>
    <x v="0"/>
    <n v="7"/>
    <n v="-35"/>
    <n v="0"/>
    <n v="15"/>
    <n v="3"/>
    <n v="-1"/>
    <n v="-1"/>
    <n v="-1"/>
    <n v="-1"/>
    <n v="-2"/>
    <n v="-1"/>
    <n v="0.116670045325908"/>
    <n v="1.91854309858095"/>
    <n v="78.092316247155296"/>
    <n v="3"/>
    <n v="3"/>
    <n v="2.922275"/>
    <n v="2.9166590000000001"/>
    <n v="3.0103330000000001"/>
    <n v="3.0814439999999998"/>
    <n v="7.7725000000000044E-2"/>
  </r>
  <r>
    <x v="4"/>
    <n v="13"/>
    <x v="2"/>
    <n v="3"/>
    <n v="-35"/>
    <n v="0"/>
    <n v="15"/>
    <n v="-3"/>
    <n v="1"/>
    <n v="0"/>
    <n v="1"/>
    <n v="1"/>
    <n v="0"/>
    <n v="1"/>
    <n v="0.107097228299109"/>
    <n v="1.4437052112741799"/>
    <n v="76.852460574010706"/>
    <n v="-3"/>
    <n v="-3"/>
    <n v="-3.12079"/>
    <n v="-3.2520359999999999"/>
    <n v="-3.475895"/>
    <n v="-3.7439800000000001"/>
    <n v="0.12078999999999995"/>
  </r>
  <r>
    <x v="4"/>
    <n v="14"/>
    <x v="2"/>
    <n v="5"/>
    <n v="-35"/>
    <n v="0"/>
    <n v="15"/>
    <n v="0"/>
    <n v="2"/>
    <n v="2"/>
    <n v="2"/>
    <n v="2"/>
    <n v="2"/>
    <n v="2"/>
    <n v="0.10695518677735"/>
    <n v="1.44987111595916"/>
    <n v="77.530040559801606"/>
    <n v="3"/>
    <n v="3.0210050000000002"/>
    <n v="2.741984"/>
    <n v="2.4816950000000002"/>
    <n v="2.415178"/>
    <n v="2.4105699999999999"/>
    <n v="0.25801600000000002"/>
  </r>
  <r>
    <x v="4"/>
    <n v="15"/>
    <x v="0"/>
    <n v="4"/>
    <n v="-45"/>
    <n v="0"/>
    <n v="5"/>
    <n v="3"/>
    <n v="-2"/>
    <n v="-2"/>
    <n v="-1"/>
    <n v="-2"/>
    <n v="-1"/>
    <n v="-2"/>
    <n v="0.14686249193803"/>
    <n v="2.5733489812847301"/>
    <n v="67.735846678685505"/>
    <n v="3"/>
    <n v="2.998364"/>
    <n v="2.1262539999999999"/>
    <n v="1.370903"/>
    <n v="0.61334909999999998"/>
    <n v="-0.18051590000000001"/>
    <n v="0.87374600000000013"/>
  </r>
  <r>
    <x v="4"/>
    <n v="16"/>
    <x v="1"/>
    <n v="7"/>
    <n v="-35"/>
    <n v="0"/>
    <n v="15"/>
    <n v="3"/>
    <n v="-1"/>
    <n v="-2"/>
    <n v="-1"/>
    <n v="-2"/>
    <n v="-2"/>
    <n v="-2"/>
    <n v="0.117330054834992"/>
    <n v="1.23640190540797"/>
    <n v="77.486805473209202"/>
    <n v="3"/>
    <n v="2.9657969999999998"/>
    <n v="2.8226200000000001"/>
    <n v="2.721041"/>
    <n v="2.6270500000000001"/>
    <n v="2.5598920000000001"/>
    <n v="0.17737999999999987"/>
  </r>
  <r>
    <x v="4"/>
    <n v="17"/>
    <x v="2"/>
    <n v="2"/>
    <n v="-35"/>
    <n v="-3"/>
    <n v="15"/>
    <n v="-3"/>
    <n v="2"/>
    <n v="1"/>
    <n v="2"/>
    <n v="2"/>
    <n v="1"/>
    <n v="2"/>
    <n v="0.121650673033577"/>
    <n v="0.429620845210886"/>
    <n v="77.171947976078002"/>
    <n v="-3"/>
    <n v="-3.0056579999999999"/>
    <n v="-3.2390560000000002"/>
    <n v="-3.4821759999999999"/>
    <n v="-3.7499549999999999"/>
    <n v="-3.9198689999999998"/>
    <n v="0.23905600000000016"/>
  </r>
  <r>
    <x v="4"/>
    <n v="18"/>
    <x v="1"/>
    <n v="6"/>
    <n v="-35"/>
    <n v="3"/>
    <n v="15"/>
    <n v="3"/>
    <n v="-2"/>
    <n v="-2"/>
    <n v="2"/>
    <n v="-2"/>
    <n v="-2"/>
    <n v="-2"/>
    <n v="0.177952374033331"/>
    <n v="2.5363757395257598"/>
    <n v="78.428212668201397"/>
    <n v="0"/>
    <n v="6.6112749999999998E-3"/>
    <n v="0.34965570000000001"/>
    <n v="0.6485938"/>
    <n v="0.87295290000000003"/>
    <n v="1.0300389999999999"/>
    <n v="0.34965570000000001"/>
  </r>
  <r>
    <x v="4"/>
    <n v="19"/>
    <x v="0"/>
    <n v="1"/>
    <n v="-35"/>
    <n v="0"/>
    <n v="15"/>
    <n v="0"/>
    <n v="-1"/>
    <n v="-1"/>
    <n v="-2"/>
    <n v="-1"/>
    <n v="-1"/>
    <n v="-1"/>
    <n v="0.14153723020185499"/>
    <n v="1.42070384875371"/>
    <n v="76.823546540010994"/>
    <n v="0"/>
    <n v="0"/>
    <n v="-0.25696970000000002"/>
    <n v="-1.0679860000000001"/>
    <n v="-1.603243"/>
    <n v="-2.121553"/>
    <n v="0.25696970000000002"/>
  </r>
  <r>
    <x v="4"/>
    <n v="20"/>
    <x v="0"/>
    <n v="8"/>
    <n v="-45"/>
    <n v="0"/>
    <n v="5"/>
    <n v="-3"/>
    <n v="-1"/>
    <n v="-1"/>
    <n v="-2"/>
    <n v="-2"/>
    <n v="-1"/>
    <n v="-1"/>
    <n v="0.13635595877797901"/>
    <n v="3.64433107924128"/>
    <n v="67.327244373328199"/>
    <n v="-3"/>
    <n v="-3.2953600000000001"/>
    <n v="-3.0503969999999998"/>
    <n v="-2.7194419999999999"/>
    <n v="-2.378714"/>
    <n v="-1.86067"/>
    <n v="5.0396999999999803E-2"/>
  </r>
  <r>
    <x v="4"/>
    <n v="21"/>
    <x v="1"/>
    <n v="2"/>
    <n v="-35"/>
    <n v="-3"/>
    <n v="15"/>
    <n v="-3"/>
    <n v="0"/>
    <n v="0"/>
    <n v="0"/>
    <n v="0"/>
    <n v="0"/>
    <n v="0"/>
    <n v="0.128996276652035"/>
    <n v="0.75047726894659395"/>
    <n v="76.718775843219404"/>
    <n v="-3"/>
    <n v="-3.1333700000000002"/>
    <n v="-3.7674820000000002"/>
    <n v="-4.0737649999999999"/>
    <n v="-4.197635"/>
    <n v="-4.2837529999999999"/>
    <n v="0.76748200000000022"/>
  </r>
  <r>
    <x v="4"/>
    <n v="22"/>
    <x v="2"/>
    <n v="7"/>
    <n v="-35"/>
    <n v="0"/>
    <n v="15"/>
    <n v="3"/>
    <n v="0"/>
    <n v="1"/>
    <n v="0"/>
    <n v="0"/>
    <n v="1"/>
    <n v="1"/>
    <n v="0.114342449548489"/>
    <n v="0.83388974167975904"/>
    <n v="77.475459683762395"/>
    <n v="3"/>
    <n v="2.9990239999999999"/>
    <n v="3.214823"/>
    <n v="3.4156659999999999"/>
    <n v="3.6051250000000001"/>
    <n v="3.7482340000000001"/>
    <n v="0.21482299999999999"/>
  </r>
  <r>
    <x v="4"/>
    <n v="23"/>
    <x v="1"/>
    <n v="4"/>
    <n v="-45"/>
    <n v="0"/>
    <n v="5"/>
    <n v="3"/>
    <n v="1"/>
    <n v="1"/>
    <n v="2"/>
    <n v="1"/>
    <n v="1"/>
    <n v="1"/>
    <n v="0.112656792953715"/>
    <n v="2.0318072131270801"/>
    <n v="67.376430370157294"/>
    <n v="3"/>
    <n v="3"/>
    <n v="2.0343939999999998"/>
    <n v="1.2481230000000001"/>
    <n v="0.50318609999999997"/>
    <n v="-0.25756489999999999"/>
    <n v="0.96560600000000019"/>
  </r>
  <r>
    <x v="4"/>
    <n v="24"/>
    <x v="0"/>
    <n v="5"/>
    <n v="-35"/>
    <n v="0"/>
    <n v="15"/>
    <n v="0"/>
    <n v="-1"/>
    <n v="-1"/>
    <n v="0"/>
    <n v="0"/>
    <n v="0"/>
    <n v="0"/>
    <n v="0.13357601775431399"/>
    <n v="3.1871858174762502"/>
    <n v="77.813792816847396"/>
    <n v="3"/>
    <n v="2.949408"/>
    <n v="2.3840430000000001"/>
    <n v="2.060022"/>
    <n v="1.8288530000000001"/>
    <n v="1.5898779999999999"/>
    <n v="0.61595699999999987"/>
  </r>
  <r>
    <x v="5"/>
    <n v="1"/>
    <x v="1"/>
    <n v="1"/>
    <n v="-35"/>
    <n v="0"/>
    <n v="15"/>
    <n v="0"/>
    <n v="1"/>
    <n v="-1"/>
    <n v="2"/>
    <n v="-1"/>
    <n v="0"/>
    <n v="0"/>
    <n v="0.17190008814791"/>
    <n v="4.9044972823157602"/>
    <n v="77.537247105534803"/>
    <n v="0"/>
    <n v="0"/>
    <n v="-0.1794114"/>
    <n v="-0.1000016"/>
    <n v="1.3995150000000001"/>
    <n v="2.9539780000000002"/>
    <n v="0.1794114"/>
  </r>
  <r>
    <x v="5"/>
    <n v="2"/>
    <x v="2"/>
    <n v="8"/>
    <n v="-45"/>
    <n v="0"/>
    <n v="5"/>
    <n v="-3"/>
    <n v="-1"/>
    <n v="-1"/>
    <n v="1"/>
    <n v="-1"/>
    <n v="0"/>
    <n v="-1"/>
    <n v="0.22453222471078901"/>
    <n v="6.3066211942363797"/>
    <n v="67.064044808793398"/>
    <n v="-3"/>
    <n v="-3"/>
    <n v="-1.2895129999999999"/>
    <n v="-1.2777959999999999"/>
    <n v="-2.0281920000000002"/>
    <n v="-2.5192410000000001"/>
    <n v="1.7104870000000001"/>
  </r>
  <r>
    <x v="5"/>
    <n v="3"/>
    <x v="0"/>
    <n v="3"/>
    <n v="-35"/>
    <n v="0"/>
    <n v="15"/>
    <n v="-3"/>
    <n v="-2"/>
    <n v="2"/>
    <n v="-2"/>
    <n v="-2"/>
    <n v="-2"/>
    <n v="-1"/>
    <n v="0.13091766146978001"/>
    <n v="2.7175171579570501"/>
    <n v="76.134247019952198"/>
    <n v="-3"/>
    <n v="-3"/>
    <n v="-3.213622"/>
    <n v="-3.959746"/>
    <n v="-4.1508690000000001"/>
    <n v="-4.3256399999999999"/>
    <n v="0.21362199999999998"/>
  </r>
  <r>
    <x v="5"/>
    <n v="4"/>
    <x v="0"/>
    <n v="6"/>
    <n v="-35"/>
    <n v="3"/>
    <n v="15"/>
    <n v="3"/>
    <n v="-2"/>
    <n v="2"/>
    <n v="-2"/>
    <n v="-1"/>
    <n v="-1"/>
    <n v="-1"/>
    <n v="0.14375461065983899"/>
    <n v="3.0787923663578001"/>
    <n v="76.186644050977193"/>
    <n v="0"/>
    <n v="0"/>
    <n v="0.77236740000000004"/>
    <n v="2.3342269999999998"/>
    <n v="3.8539690000000002"/>
    <n v="4.4969229999999998"/>
    <n v="0.77236740000000004"/>
  </r>
  <r>
    <x v="5"/>
    <n v="5"/>
    <x v="2"/>
    <n v="4"/>
    <n v="-45"/>
    <n v="0"/>
    <n v="5"/>
    <n v="3"/>
    <n v="1"/>
    <n v="1"/>
    <n v="2"/>
    <n v="2"/>
    <n v="2"/>
    <n v="1"/>
    <n v="0.12893596889721801"/>
    <n v="3.1477809398733001"/>
    <n v="67.292221967294395"/>
    <n v="3"/>
    <n v="3"/>
    <n v="2.5378509999999999"/>
    <n v="0.68093939999999997"/>
    <n v="-1.017935"/>
    <n v="-2.449424"/>
    <n v="0.46214900000000014"/>
  </r>
  <r>
    <x v="5"/>
    <n v="6"/>
    <x v="1"/>
    <n v="5"/>
    <n v="-35"/>
    <n v="0"/>
    <n v="15"/>
    <n v="0"/>
    <n v="-2"/>
    <n v="2"/>
    <n v="-2"/>
    <n v="0"/>
    <n v="2"/>
    <n v="-1"/>
    <n v="0.12736245351324499"/>
    <n v="4.4006535474825199"/>
    <n v="77.660949634224593"/>
    <n v="3"/>
    <n v="3"/>
    <n v="2.7286899999999998"/>
    <n v="1.280332"/>
    <n v="-0.29334450000000001"/>
    <n v="-1.5046809999999999"/>
    <n v="0.27131000000000016"/>
  </r>
  <r>
    <x v="5"/>
    <n v="7"/>
    <x v="0"/>
    <n v="2"/>
    <n v="-35"/>
    <n v="-3"/>
    <n v="15"/>
    <n v="-3"/>
    <n v="-2"/>
    <n v="2"/>
    <n v="-2"/>
    <n v="-1"/>
    <n v="1"/>
    <n v="-1"/>
    <n v="0.134781224745946"/>
    <n v="3.5861976236024602"/>
    <n v="78.644708371961499"/>
    <n v="-3"/>
    <n v="-2.9095339999999998"/>
    <n v="-1.2904979999999999"/>
    <n v="0.33160489999999998"/>
    <n v="1.8521300000000001"/>
    <n v="2.8526449999999999"/>
    <n v="1.7095020000000001"/>
  </r>
  <r>
    <x v="5"/>
    <n v="8"/>
    <x v="2"/>
    <n v="6"/>
    <n v="-35"/>
    <n v="3"/>
    <n v="15"/>
    <n v="3"/>
    <n v="1"/>
    <n v="-1"/>
    <n v="2"/>
    <n v="1"/>
    <n v="1"/>
    <n v="1"/>
    <n v="0.14800579363305499"/>
    <n v="2.1156044178540601"/>
    <n v="75.756526832773702"/>
    <n v="0"/>
    <n v="0"/>
    <n v="0.66601909999999998"/>
    <n v="2.0734870000000001"/>
    <n v="3.3397130000000002"/>
    <n v="4.1008979999999999"/>
    <n v="0.66601909999999998"/>
  </r>
  <r>
    <x v="5"/>
    <n v="9"/>
    <x v="1"/>
    <n v="3"/>
    <n v="-35"/>
    <n v="0"/>
    <n v="15"/>
    <n v="-3"/>
    <n v="1"/>
    <n v="1"/>
    <n v="1"/>
    <n v="-1"/>
    <n v="1"/>
    <n v="0"/>
    <n v="0.131830605406141"/>
    <n v="2.1834370302245301"/>
    <n v="77.093995907660201"/>
    <n v="-3"/>
    <n v="-3"/>
    <n v="-3.7564649999999999"/>
    <n v="-4.1768609999999997"/>
    <n v="-4.1664979999999998"/>
    <n v="-4.1525550000000004"/>
    <n v="0.75646499999999994"/>
  </r>
  <r>
    <x v="5"/>
    <n v="10"/>
    <x v="1"/>
    <n v="8"/>
    <n v="-45"/>
    <n v="0"/>
    <n v="5"/>
    <n v="-3"/>
    <n v="1"/>
    <n v="1"/>
    <n v="1"/>
    <n v="-1"/>
    <n v="0"/>
    <n v="-1"/>
    <n v="0.150426855269926"/>
    <n v="3.19930804106904"/>
    <n v="67.770950854183496"/>
    <n v="-3"/>
    <n v="-3"/>
    <n v="-2.1634859999999998"/>
    <n v="-0.52044690000000005"/>
    <n v="1.1610210000000001"/>
    <n v="2.850171"/>
    <n v="0.8365140000000002"/>
  </r>
  <r>
    <x v="5"/>
    <n v="11"/>
    <x v="2"/>
    <n v="1"/>
    <n v="-35"/>
    <n v="0"/>
    <n v="15"/>
    <n v="0"/>
    <n v="2"/>
    <n v="2"/>
    <n v="2"/>
    <n v="2"/>
    <n v="2"/>
    <n v="2"/>
    <n v="0.13478008984655099"/>
    <n v="4.7222378740672797"/>
    <n v="77.196781147520099"/>
    <n v="0"/>
    <n v="0"/>
    <n v="-1.3317600000000001"/>
    <n v="-2.8606609999999999"/>
    <n v="-3.8110689999999998"/>
    <n v="-4.2991089999999996"/>
    <n v="1.3317600000000001"/>
  </r>
  <r>
    <x v="5"/>
    <n v="12"/>
    <x v="0"/>
    <n v="7"/>
    <n v="-35"/>
    <n v="0"/>
    <n v="15"/>
    <n v="3"/>
    <n v="-2"/>
    <n v="2"/>
    <n v="-2"/>
    <n v="1"/>
    <n v="1"/>
    <n v="1"/>
    <n v="0.14422455139086801"/>
    <n v="2.3842297831977901"/>
    <n v="76.513419597671501"/>
    <n v="3"/>
    <n v="3"/>
    <n v="3.3227669999999998"/>
    <n v="4.0087590000000004"/>
    <n v="4.4963160000000002"/>
    <n v="4.4971870000000003"/>
    <n v="0.3227669999999998"/>
  </r>
  <r>
    <x v="5"/>
    <n v="13"/>
    <x v="2"/>
    <n v="3"/>
    <n v="-35"/>
    <n v="0"/>
    <n v="15"/>
    <n v="-3"/>
    <n v="-2"/>
    <n v="2"/>
    <n v="-2"/>
    <n v="-1"/>
    <n v="1"/>
    <n v="0"/>
    <n v="0.13064341900913201"/>
    <n v="3.4861226812147299"/>
    <n v="77.298975590682105"/>
    <n v="-3"/>
    <n v="-3"/>
    <n v="-3.7529659999999998"/>
    <n v="-4.0340569999999998"/>
    <n v="-4.2672410000000003"/>
    <n v="-4.2487550000000001"/>
    <n v="0.7529659999999998"/>
  </r>
  <r>
    <x v="5"/>
    <n v="14"/>
    <x v="2"/>
    <n v="5"/>
    <n v="-35"/>
    <n v="0"/>
    <n v="15"/>
    <n v="0"/>
    <n v="-2"/>
    <n v="2"/>
    <n v="-2"/>
    <n v="-1"/>
    <n v="1"/>
    <n v="-1"/>
    <n v="0.13175347708898999"/>
    <n v="3.79976501025561"/>
    <n v="78.474109288773207"/>
    <n v="3"/>
    <n v="3"/>
    <n v="2.054891"/>
    <n v="0.76636579999999999"/>
    <n v="-0.552651"/>
    <n v="-1.8507579999999999"/>
    <n v="0.94510899999999998"/>
  </r>
  <r>
    <x v="5"/>
    <n v="15"/>
    <x v="0"/>
    <n v="4"/>
    <n v="-45"/>
    <n v="0"/>
    <n v="5"/>
    <n v="3"/>
    <n v="-2"/>
    <n v="2"/>
    <n v="-2"/>
    <n v="-1"/>
    <n v="-1"/>
    <n v="-1"/>
    <n v="0.120509831454108"/>
    <n v="2.4521484580628701"/>
    <n v="68.012966653597005"/>
    <n v="3"/>
    <n v="3"/>
    <n v="1.5712459999999999"/>
    <n v="-1.0038190000000001E-2"/>
    <n v="-1.6001730000000001"/>
    <n v="-3.1350699999999998"/>
    <n v="1.4287540000000001"/>
  </r>
  <r>
    <x v="5"/>
    <n v="16"/>
    <x v="1"/>
    <n v="7"/>
    <n v="-35"/>
    <n v="0"/>
    <n v="15"/>
    <n v="3"/>
    <n v="1"/>
    <n v="-1"/>
    <n v="1"/>
    <n v="-1"/>
    <n v="-1"/>
    <n v="-1"/>
    <n v="0.12779448016306799"/>
    <n v="1.7733674946376199"/>
    <n v="77.645450370015695"/>
    <n v="3"/>
    <n v="3.1771669999999999"/>
    <n v="3.9325389999999998"/>
    <n v="4.4980370000000001"/>
    <n v="4.4981780000000002"/>
    <n v="4.4981780000000002"/>
    <n v="0.93253899999999978"/>
  </r>
  <r>
    <x v="5"/>
    <n v="17"/>
    <x v="2"/>
    <n v="2"/>
    <n v="-35"/>
    <n v="-3"/>
    <n v="15"/>
    <n v="-3"/>
    <n v="-2"/>
    <n v="2"/>
    <n v="-2"/>
    <n v="-1"/>
    <n v="1"/>
    <n v="1"/>
    <n v="0.142571437232104"/>
    <n v="2.9470320448465999"/>
    <n v="79.106912593531305"/>
    <n v="-3"/>
    <n v="-2.8221440000000002"/>
    <n v="-1.1011649999999999"/>
    <n v="0.66181049999999997"/>
    <n v="2.3097720000000002"/>
    <n v="2.9798049999999998"/>
    <n v="1.8988350000000001"/>
  </r>
  <r>
    <x v="5"/>
    <n v="18"/>
    <x v="1"/>
    <n v="6"/>
    <n v="-35"/>
    <n v="3"/>
    <n v="15"/>
    <n v="3"/>
    <n v="1"/>
    <n v="-1"/>
    <n v="1"/>
    <n v="-1"/>
    <n v="1"/>
    <n v="1"/>
    <n v="0.113347980913938"/>
    <n v="2.6265686141400901"/>
    <n v="76.739517408939903"/>
    <n v="0"/>
    <n v="4.0890250000000003E-2"/>
    <n v="1.8579509999999999"/>
    <n v="3.5994000000000002"/>
    <n v="4.4843209999999996"/>
    <n v="4.4979509999999996"/>
    <n v="1.8579509999999999"/>
  </r>
  <r>
    <x v="5"/>
    <n v="19"/>
    <x v="0"/>
    <n v="1"/>
    <n v="-35"/>
    <n v="0"/>
    <n v="15"/>
    <n v="0"/>
    <n v="-2"/>
    <n v="2"/>
    <n v="-2"/>
    <n v="0"/>
    <n v="1"/>
    <n v="0"/>
    <n v="0.109709871589969"/>
    <n v="2.89536175629115"/>
    <n v="78.365937116694795"/>
    <n v="0"/>
    <n v="-3.7940880000000001E-3"/>
    <n v="-1.1881079999999999"/>
    <n v="-2.4532729999999998"/>
    <n v="-3.4890189999999999"/>
    <n v="-3.9881289999999998"/>
    <n v="1.1881079999999999"/>
  </r>
  <r>
    <x v="5"/>
    <n v="20"/>
    <x v="0"/>
    <n v="8"/>
    <n v="-45"/>
    <n v="0"/>
    <n v="5"/>
    <n v="-3"/>
    <n v="-2"/>
    <n v="2"/>
    <n v="-2"/>
    <n v="0"/>
    <n v="1"/>
    <n v="0"/>
    <n v="0.13726790210319401"/>
    <n v="2.3400169693299699"/>
    <n v="68.768087714320501"/>
    <n v="-3"/>
    <n v="-3"/>
    <n v="-2.283671"/>
    <n v="-0.36452030000000002"/>
    <n v="1.5599229999999999"/>
    <n v="3.5586169999999999"/>
    <n v="0.71632899999999999"/>
  </r>
  <r>
    <x v="5"/>
    <n v="21"/>
    <x v="1"/>
    <n v="2"/>
    <n v="-35"/>
    <n v="-3"/>
    <n v="15"/>
    <n v="-3"/>
    <n v="-2"/>
    <n v="2"/>
    <n v="-2"/>
    <n v="0"/>
    <n v="1"/>
    <n v="0"/>
    <n v="0.102309023416119"/>
    <n v="3.3485923811129998"/>
    <n v="78.556277458874803"/>
    <n v="-3"/>
    <n v="-3"/>
    <n v="-1.402773"/>
    <n v="0.475935"/>
    <n v="2.140997"/>
    <n v="3.11978"/>
    <n v="1.597227"/>
  </r>
  <r>
    <x v="5"/>
    <n v="22"/>
    <x v="2"/>
    <n v="7"/>
    <n v="-35"/>
    <n v="0"/>
    <n v="15"/>
    <n v="3"/>
    <n v="-2"/>
    <n v="2"/>
    <n v="-2"/>
    <n v="1"/>
    <n v="1"/>
    <n v="0"/>
    <n v="0.12597507683169201"/>
    <n v="1.6673211849696801"/>
    <n v="77.016894934901899"/>
    <n v="3"/>
    <n v="3"/>
    <n v="3.4521069999999998"/>
    <n v="4.4996600000000004"/>
    <n v="4.4996809999999998"/>
    <n v="4.4998750000000003"/>
    <n v="0.45210699999999981"/>
  </r>
  <r>
    <x v="5"/>
    <n v="23"/>
    <x v="1"/>
    <n v="4"/>
    <n v="-45"/>
    <n v="0"/>
    <n v="5"/>
    <n v="3"/>
    <n v="-2"/>
    <n v="-2"/>
    <n v="1"/>
    <n v="-2"/>
    <n v="-2"/>
    <n v="-2"/>
    <n v="0.18012597859346099"/>
    <n v="8.5641140601183796"/>
    <n v="72.326975485999697"/>
    <n v="3"/>
    <n v="3"/>
    <n v="2.0826199999999999"/>
    <n v="0.24554709999999999"/>
    <n v="-1.6247290000000001"/>
    <n v="-3.1064080000000001"/>
    <n v="0.91738000000000008"/>
  </r>
  <r>
    <x v="5"/>
    <n v="24"/>
    <x v="0"/>
    <n v="5"/>
    <n v="-35"/>
    <n v="0"/>
    <n v="15"/>
    <n v="0"/>
    <n v="-2"/>
    <n v="2"/>
    <n v="-2"/>
    <n v="0"/>
    <n v="1"/>
    <n v="0"/>
    <n v="0.113281165788483"/>
    <n v="2.6114341734506001"/>
    <n v="78.125148237907595"/>
    <n v="3"/>
    <n v="2.7554430000000001"/>
    <n v="1.2406779999999999"/>
    <n v="-0.24922749999999999"/>
    <n v="-1.7338800000000001"/>
    <n v="-2.785326"/>
    <n v="1.7593220000000001"/>
  </r>
  <r>
    <x v="6"/>
    <n v="1"/>
    <x v="0"/>
    <n v="5"/>
    <n v="-35"/>
    <n v="0"/>
    <n v="15"/>
    <n v="0"/>
    <n v="1"/>
    <n v="2"/>
    <n v="1"/>
    <n v="1"/>
    <n v="1"/>
    <n v="1"/>
    <n v="0.30338228915173399"/>
    <n v="4.5680105962307396"/>
    <n v="78.020733387840295"/>
    <n v="3"/>
    <n v="3"/>
    <n v="3"/>
    <n v="3"/>
    <n v="3"/>
    <n v="3"/>
    <n v="0"/>
  </r>
  <r>
    <x v="6"/>
    <n v="2"/>
    <x v="1"/>
    <n v="4"/>
    <n v="-45"/>
    <n v="0"/>
    <n v="5"/>
    <n v="3"/>
    <n v="-2"/>
    <n v="-2"/>
    <n v="-2"/>
    <n v="-2"/>
    <n v="-2"/>
    <n v="-2"/>
    <n v="0.52215449918376799"/>
    <n v="4.2298999081549198"/>
    <n v="66.174270683418101"/>
    <n v="3"/>
    <n v="3"/>
    <n v="3"/>
    <n v="2.9948839999999999"/>
    <n v="2.9183620000000001"/>
    <n v="2.8951069999999999"/>
    <n v="0"/>
  </r>
  <r>
    <x v="6"/>
    <n v="3"/>
    <x v="2"/>
    <n v="7"/>
    <n v="-35"/>
    <n v="0"/>
    <n v="15"/>
    <n v="3"/>
    <n v="-1"/>
    <n v="-1"/>
    <n v="-1"/>
    <n v="-1"/>
    <n v="-1"/>
    <n v="-1"/>
    <n v="0.25105024893314898"/>
    <n v="2.69216714017587"/>
    <n v="75.699466472328496"/>
    <n v="3"/>
    <n v="3"/>
    <n v="3"/>
    <n v="3"/>
    <n v="3.2039339999999998"/>
    <n v="3.2796050000000001"/>
    <n v="0"/>
  </r>
  <r>
    <x v="6"/>
    <n v="4"/>
    <x v="1"/>
    <n v="2"/>
    <n v="-35"/>
    <n v="-3"/>
    <n v="15"/>
    <n v="-3"/>
    <n v="2"/>
    <n v="2"/>
    <n v="2"/>
    <n v="2"/>
    <n v="2"/>
    <n v="2"/>
    <n v="0.300033085088595"/>
    <n v="3.43854222154072"/>
    <n v="75.171989100146803"/>
    <n v="-3"/>
    <n v="-3"/>
    <n v="-3"/>
    <n v="-3"/>
    <n v="-2.6118579999999998"/>
    <n v="-2.421802"/>
    <n v="0"/>
  </r>
  <r>
    <x v="6"/>
    <n v="5"/>
    <x v="0"/>
    <n v="8"/>
    <n v="-45"/>
    <n v="0"/>
    <n v="5"/>
    <n v="-3"/>
    <n v="-1"/>
    <n v="0"/>
    <n v="1"/>
    <n v="0"/>
    <n v="-1"/>
    <n v="-1"/>
    <n v="0.51760381254338195"/>
    <n v="6.0465435040530604"/>
    <n v="34.339133562363003"/>
    <n v="-3"/>
    <n v="-3"/>
    <n v="-3"/>
    <n v="-3"/>
    <n v="-2.6853739999999999"/>
    <n v="-2.315725"/>
    <n v="0"/>
  </r>
  <r>
    <x v="6"/>
    <n v="6"/>
    <x v="0"/>
    <n v="1"/>
    <n v="-35"/>
    <n v="0"/>
    <n v="15"/>
    <n v="0"/>
    <n v="-2"/>
    <n v="1"/>
    <n v="1"/>
    <n v="-1"/>
    <n v="-1"/>
    <n v="-1"/>
    <n v="0.247511596271377"/>
    <n v="4.1058113347075196"/>
    <n v="77.469222463174702"/>
    <n v="0"/>
    <n v="0"/>
    <n v="0"/>
    <n v="0"/>
    <n v="8.1647809999999998E-6"/>
    <n v="-3.5409419999999997E-2"/>
    <n v="0"/>
  </r>
  <r>
    <x v="6"/>
    <n v="7"/>
    <x v="1"/>
    <n v="6"/>
    <n v="-35"/>
    <n v="3"/>
    <n v="15"/>
    <n v="3"/>
    <n v="1"/>
    <n v="-1"/>
    <n v="1"/>
    <n v="-1"/>
    <n v="-2"/>
    <n v="0"/>
    <n v="0.169527263453918"/>
    <n v="3.1794001733944"/>
    <n v="76.796061056777006"/>
    <n v="0"/>
    <n v="0"/>
    <n v="0"/>
    <n v="0"/>
    <n v="0"/>
    <n v="4.4408089999999997E-2"/>
    <n v="0"/>
  </r>
  <r>
    <x v="6"/>
    <n v="8"/>
    <x v="2"/>
    <n v="2"/>
    <n v="-35"/>
    <n v="-3"/>
    <n v="15"/>
    <n v="-3"/>
    <n v="1"/>
    <n v="1"/>
    <n v="1"/>
    <n v="1"/>
    <n v="1"/>
    <n v="1"/>
    <n v="0.236360807701188"/>
    <n v="2.52983448933858"/>
    <n v="74.011217925595503"/>
    <n v="-3"/>
    <n v="-3"/>
    <n v="-3"/>
    <n v="-2.8158569999999998"/>
    <n v="-2.840204"/>
    <n v="-3.1936550000000001"/>
    <n v="0"/>
  </r>
  <r>
    <x v="6"/>
    <n v="9"/>
    <x v="1"/>
    <n v="7"/>
    <n v="-35"/>
    <n v="0"/>
    <n v="15"/>
    <n v="3"/>
    <n v="1"/>
    <n v="1"/>
    <n v="2"/>
    <n v="2"/>
    <n v="1"/>
    <n v="1"/>
    <n v="0.160110978233339"/>
    <n v="2.0419673558387701"/>
    <n v="75.619574111919405"/>
    <n v="3"/>
    <n v="3"/>
    <n v="3"/>
    <n v="2.9999189999999998"/>
    <n v="3.0846110000000002"/>
    <n v="3.1022180000000001"/>
    <n v="0"/>
  </r>
  <r>
    <x v="6"/>
    <n v="10"/>
    <x v="0"/>
    <n v="4"/>
    <n v="-45"/>
    <n v="0"/>
    <n v="5"/>
    <n v="3"/>
    <n v="0"/>
    <n v="1"/>
    <n v="1"/>
    <n v="1"/>
    <n v="0"/>
    <n v="-1"/>
    <n v="0.27204607054587798"/>
    <n v="5.7374118720869598"/>
    <n v="66.908071457249207"/>
    <n v="3"/>
    <n v="3"/>
    <n v="3"/>
    <n v="3"/>
    <n v="2.63544"/>
    <n v="0.87476609999999999"/>
    <n v="0"/>
  </r>
  <r>
    <x v="6"/>
    <n v="11"/>
    <x v="2"/>
    <n v="5"/>
    <n v="-35"/>
    <n v="0"/>
    <n v="15"/>
    <n v="0"/>
    <n v="2"/>
    <n v="2"/>
    <n v="2"/>
    <n v="2"/>
    <n v="2"/>
    <n v="2"/>
    <n v="0.14230737537392299"/>
    <n v="1.6831070935626"/>
    <n v="74.694457511385394"/>
    <n v="3"/>
    <n v="3"/>
    <n v="3"/>
    <n v="3"/>
    <n v="2.9807429999999999"/>
    <n v="2.91012"/>
    <n v="0"/>
  </r>
  <r>
    <x v="6"/>
    <n v="12"/>
    <x v="2"/>
    <n v="3"/>
    <n v="-35"/>
    <n v="0"/>
    <n v="15"/>
    <n v="-3"/>
    <n v="1"/>
    <n v="1"/>
    <n v="1"/>
    <n v="1"/>
    <n v="1"/>
    <n v="1"/>
    <n v="0.13857799790251599"/>
    <n v="1.61365103655565"/>
    <n v="75.488695047824095"/>
    <n v="-3"/>
    <n v="-3"/>
    <n v="-3"/>
    <n v="-2.9818250000000002"/>
    <n v="-2.5561189999999998"/>
    <n v="-2.355515"/>
    <n v="0"/>
  </r>
  <r>
    <x v="6"/>
    <n v="13"/>
    <x v="0"/>
    <n v="7"/>
    <n v="-35"/>
    <n v="0"/>
    <n v="15"/>
    <n v="3"/>
    <n v="-1"/>
    <n v="0"/>
    <n v="1"/>
    <n v="0"/>
    <n v="-1"/>
    <n v="-1"/>
    <n v="0.27681481544855802"/>
    <n v="3.3446440464262102"/>
    <n v="75.455091893110804"/>
    <n v="3"/>
    <n v="3"/>
    <n v="3"/>
    <n v="2.986796"/>
    <n v="2.8738320000000002"/>
    <n v="2.6919729999999999"/>
    <n v="0"/>
  </r>
  <r>
    <x v="6"/>
    <n v="14"/>
    <x v="2"/>
    <n v="1"/>
    <n v="-35"/>
    <n v="0"/>
    <n v="15"/>
    <n v="0"/>
    <n v="2"/>
    <n v="2"/>
    <n v="2"/>
    <n v="2"/>
    <n v="2"/>
    <n v="2"/>
    <n v="0.119760264592392"/>
    <n v="3.2126308194814301"/>
    <n v="76.433745553482098"/>
    <n v="0"/>
    <n v="0"/>
    <n v="0"/>
    <n v="0"/>
    <n v="0.29689660000000001"/>
    <n v="0.4414672"/>
    <n v="0"/>
  </r>
  <r>
    <x v="6"/>
    <n v="15"/>
    <x v="1"/>
    <n v="8"/>
    <n v="-45"/>
    <n v="0"/>
    <n v="5"/>
    <n v="-3"/>
    <n v="1"/>
    <n v="-1"/>
    <n v="1"/>
    <n v="-1"/>
    <n v="-1"/>
    <n v="-1"/>
    <n v="0.19581311556917"/>
    <n v="4.2104009534824902"/>
    <n v="65.840592500524707"/>
    <n v="-3"/>
    <n v="-3"/>
    <n v="-3"/>
    <n v="-2.953093"/>
    <n v="-1.6405369999999999"/>
    <n v="-0.61270979999999997"/>
    <n v="0"/>
  </r>
  <r>
    <x v="6"/>
    <n v="16"/>
    <x v="1"/>
    <n v="3"/>
    <n v="-35"/>
    <n v="0"/>
    <n v="15"/>
    <n v="-3"/>
    <n v="-2"/>
    <n v="-2"/>
    <n v="2"/>
    <n v="-2"/>
    <n v="-2"/>
    <n v="-2"/>
    <n v="0.22884046456162099"/>
    <n v="4.8540085661566499"/>
    <n v="76.150552144619894"/>
    <n v="-3"/>
    <n v="-3"/>
    <n v="-3"/>
    <n v="-3"/>
    <n v="-2.7193800000000001"/>
    <n v="-2.4006449999999999"/>
    <n v="0"/>
  </r>
  <r>
    <x v="6"/>
    <n v="17"/>
    <x v="2"/>
    <n v="6"/>
    <n v="-35"/>
    <n v="3"/>
    <n v="15"/>
    <n v="3"/>
    <n v="-1"/>
    <n v="-1"/>
    <n v="0"/>
    <n v="-1"/>
    <n v="-1"/>
    <n v="-1"/>
    <n v="0.17811395172812799"/>
    <n v="1.3058075751326099"/>
    <n v="76.764795142527703"/>
    <n v="0"/>
    <n v="0"/>
    <n v="0"/>
    <n v="0"/>
    <n v="0"/>
    <n v="0.34955439999999999"/>
    <n v="0"/>
  </r>
  <r>
    <x v="6"/>
    <n v="18"/>
    <x v="0"/>
    <n v="2"/>
    <n v="-35"/>
    <n v="-3"/>
    <n v="15"/>
    <n v="-3"/>
    <n v="1"/>
    <n v="1"/>
    <n v="1"/>
    <n v="1"/>
    <n v="0"/>
    <n v="1"/>
    <n v="0.38066946735434498"/>
    <n v="4.7563191537705602"/>
    <n v="76.198006199354595"/>
    <n v="-3"/>
    <n v="-3"/>
    <n v="-3"/>
    <n v="-2.5582760000000002"/>
    <n v="-2.2143250000000001"/>
    <n v="-2.169387"/>
    <n v="0"/>
  </r>
  <r>
    <x v="6"/>
    <n v="19"/>
    <x v="1"/>
    <n v="5"/>
    <n v="-35"/>
    <n v="0"/>
    <n v="15"/>
    <n v="0"/>
    <n v="1"/>
    <n v="1"/>
    <n v="2"/>
    <n v="1"/>
    <n v="1"/>
    <n v="1"/>
    <n v="0.128809210732481"/>
    <n v="1.7293318815741201"/>
    <n v="75.360454701353703"/>
    <n v="3"/>
    <n v="3"/>
    <n v="3"/>
    <n v="3"/>
    <n v="3"/>
    <n v="2.797132"/>
    <n v="0"/>
  </r>
  <r>
    <x v="6"/>
    <n v="20"/>
    <x v="2"/>
    <n v="4"/>
    <n v="-45"/>
    <n v="0"/>
    <n v="5"/>
    <n v="3"/>
    <n v="1"/>
    <n v="-1"/>
    <n v="1"/>
    <n v="-1"/>
    <n v="-1"/>
    <n v="0"/>
    <n v="0.30294304598951299"/>
    <n v="6.1556034047721297"/>
    <n v="66.561095543077599"/>
    <n v="3"/>
    <n v="3"/>
    <n v="3"/>
    <n v="3"/>
    <n v="2.9979149999999999"/>
    <n v="2.3462329999999998"/>
    <n v="0"/>
  </r>
  <r>
    <x v="6"/>
    <n v="21"/>
    <x v="0"/>
    <n v="6"/>
    <n v="-35"/>
    <n v="3"/>
    <n v="15"/>
    <n v="3"/>
    <n v="-1"/>
    <n v="0"/>
    <n v="-2"/>
    <n v="-1"/>
    <n v="-1"/>
    <n v="-1"/>
    <n v="0.28921014120421801"/>
    <n v="4.3541548183612697"/>
    <n v="77.904801334513806"/>
    <n v="0"/>
    <n v="0"/>
    <n v="0"/>
    <n v="0.13282450000000001"/>
    <n v="0.18400059999999999"/>
    <n v="5.8676369999999999E-2"/>
    <n v="0"/>
  </r>
  <r>
    <x v="6"/>
    <n v="22"/>
    <x v="0"/>
    <n v="3"/>
    <n v="-35"/>
    <n v="0"/>
    <n v="15"/>
    <n v="-3"/>
    <n v="-2"/>
    <n v="-1"/>
    <n v="-1"/>
    <n v="-2"/>
    <n v="-1"/>
    <n v="-1"/>
    <n v="0.25172556475709301"/>
    <n v="3.49797496433243"/>
    <n v="76.121303991026593"/>
    <n v="-3"/>
    <n v="-3"/>
    <n v="-3"/>
    <n v="-2.3456990000000002"/>
    <n v="-1.6948700000000001"/>
    <n v="-1.3131330000000001"/>
    <n v="0"/>
  </r>
  <r>
    <x v="6"/>
    <n v="23"/>
    <x v="2"/>
    <n v="8"/>
    <n v="-45"/>
    <n v="0"/>
    <n v="5"/>
    <n v="-3"/>
    <n v="1"/>
    <n v="-1"/>
    <n v="2"/>
    <n v="-1"/>
    <n v="-1"/>
    <n v="0"/>
    <n v="0.199617108683323"/>
    <n v="3.6036308348663799"/>
    <n v="65.172100450242098"/>
    <n v="-3"/>
    <n v="-3"/>
    <n v="-3"/>
    <n v="-2.334765"/>
    <n v="-1.4871030000000001"/>
    <n v="-0.78674829999999996"/>
    <n v="0"/>
  </r>
  <r>
    <x v="6"/>
    <n v="24"/>
    <x v="1"/>
    <n v="1"/>
    <n v="-35"/>
    <n v="0"/>
    <n v="15"/>
    <n v="0"/>
    <n v="1"/>
    <n v="-1"/>
    <n v="1"/>
    <n v="-1"/>
    <n v="-1"/>
    <n v="-1"/>
    <n v="0.21408271226606199"/>
    <n v="3.8329115720590798"/>
    <n v="76.587149891705394"/>
    <n v="0"/>
    <n v="0"/>
    <n v="0"/>
    <n v="0"/>
    <n v="0"/>
    <n v="7.5497980000000006E-2"/>
    <n v="0"/>
  </r>
  <r>
    <x v="7"/>
    <n v="1"/>
    <x v="0"/>
    <n v="5"/>
    <n v="-35"/>
    <n v="0"/>
    <n v="15"/>
    <n v="0"/>
    <n v="-2"/>
    <n v="1"/>
    <n v="-1"/>
    <n v="-2"/>
    <n v="-1"/>
    <n v="-2"/>
    <n v="0.15864824566202301"/>
    <n v="19.878118777548298"/>
    <n v="90.621359272421799"/>
    <n v="3"/>
    <n v="2.809857"/>
    <n v="2.4089399999999999"/>
    <n v="0.74960119999999997"/>
    <n v="-0.79219139999999999"/>
    <n v="-1.142809"/>
    <n v="0.59106000000000014"/>
  </r>
  <r>
    <x v="7"/>
    <n v="2"/>
    <x v="1"/>
    <n v="4"/>
    <n v="-45"/>
    <n v="0"/>
    <n v="5"/>
    <n v="3"/>
    <n v="1"/>
    <n v="1"/>
    <n v="1"/>
    <n v="1"/>
    <n v="1"/>
    <n v="1"/>
    <n v="0.177439699728662"/>
    <n v="6.5523878248534597"/>
    <n v="70.448398589454101"/>
    <n v="3"/>
    <n v="3.0640429999999999"/>
    <n v="3.2991290000000002"/>
    <n v="3.6116139999999999"/>
    <n v="3.8765520000000002"/>
    <n v="4.107183"/>
    <n v="0.2991290000000002"/>
  </r>
  <r>
    <x v="7"/>
    <n v="3"/>
    <x v="2"/>
    <n v="7"/>
    <n v="-35"/>
    <n v="0"/>
    <n v="15"/>
    <n v="3"/>
    <n v="1"/>
    <n v="1"/>
    <n v="1"/>
    <n v="1"/>
    <n v="2"/>
    <n v="1"/>
    <n v="0.15726134757377699"/>
    <n v="5.4106261456789699"/>
    <n v="77.231674235962302"/>
    <n v="3"/>
    <n v="2.9831650000000001"/>
    <n v="3.334355"/>
    <n v="3.4836990000000001"/>
    <n v="3.5123669999999998"/>
    <n v="3.3249089999999999"/>
    <n v="0.33435499999999996"/>
  </r>
  <r>
    <x v="7"/>
    <n v="4"/>
    <x v="1"/>
    <n v="2"/>
    <n v="-35"/>
    <n v="-3"/>
    <n v="15"/>
    <n v="-3"/>
    <n v="-2"/>
    <n v="2"/>
    <n v="-1"/>
    <n v="-1"/>
    <n v="0"/>
    <n v="-2"/>
    <n v="0.184187279177355"/>
    <n v="21.359820447679098"/>
    <n v="83.416433303269301"/>
    <n v="-3"/>
    <n v="-2.5438230000000002"/>
    <n v="-0.5476124"/>
    <n v="0.90950880000000001"/>
    <n v="1.952494"/>
    <n v="2.3440379999999998"/>
    <n v="2.4523875999999998"/>
  </r>
  <r>
    <x v="7"/>
    <n v="5"/>
    <x v="0"/>
    <n v="8"/>
    <n v="-45"/>
    <n v="0"/>
    <n v="5"/>
    <n v="-3"/>
    <n v="-1"/>
    <n v="1"/>
    <n v="-2"/>
    <n v="-2"/>
    <n v="-1"/>
    <n v="0"/>
    <n v="0.20271626362178299"/>
    <n v="5.20612091547543"/>
    <n v="69.9228938099792"/>
    <n v="-3"/>
    <n v="-2.9349080000000001"/>
    <n v="-2.6448939999999999"/>
    <n v="-1.067156"/>
    <n v="0.60824560000000005"/>
    <n v="2.2702439999999999"/>
    <n v="0.35510600000000014"/>
  </r>
  <r>
    <x v="7"/>
    <n v="6"/>
    <x v="0"/>
    <n v="1"/>
    <n v="-35"/>
    <n v="0"/>
    <n v="15"/>
    <n v="0"/>
    <n v="-2"/>
    <n v="1"/>
    <n v="-1"/>
    <n v="-1"/>
    <n v="-2"/>
    <n v="-2"/>
    <n v="0.155363063440983"/>
    <n v="3.4278442877578401"/>
    <n v="78.758379568214906"/>
    <n v="0"/>
    <n v="0"/>
    <n v="9.6804860000000006E-2"/>
    <n v="9.0080880000000002E-2"/>
    <n v="0.1157"/>
    <n v="0.16857030000000001"/>
    <n v="9.6804860000000006E-2"/>
  </r>
  <r>
    <x v="7"/>
    <n v="7"/>
    <x v="1"/>
    <n v="6"/>
    <n v="-35"/>
    <n v="3"/>
    <n v="15"/>
    <n v="3"/>
    <n v="1"/>
    <n v="0"/>
    <n v="2"/>
    <n v="1"/>
    <n v="1"/>
    <n v="2"/>
    <n v="0.11951622058372"/>
    <n v="2.91123944942"/>
    <n v="78.195584181877706"/>
    <n v="0"/>
    <n v="7.4293670000000006E-2"/>
    <n v="0.35811779999999999"/>
    <n v="0.63046000000000002"/>
    <n v="0.73406680000000002"/>
    <n v="1.255145"/>
    <n v="0.35811779999999999"/>
  </r>
  <r>
    <x v="7"/>
    <n v="8"/>
    <x v="2"/>
    <n v="2"/>
    <n v="-35"/>
    <n v="-3"/>
    <n v="15"/>
    <n v="-3"/>
    <n v="2"/>
    <n v="2"/>
    <n v="2"/>
    <n v="2"/>
    <n v="2"/>
    <n v="2"/>
    <n v="0.10472308388169201"/>
    <n v="1.5169675095659401"/>
    <n v="78.539106570276402"/>
    <n v="-3"/>
    <n v="-2.9466540000000001"/>
    <n v="-2.7499410000000002"/>
    <n v="-2.5416180000000002"/>
    <n v="-2.5821519999999998"/>
    <n v="-2.528562"/>
    <n v="0.25005899999999981"/>
  </r>
  <r>
    <x v="7"/>
    <n v="9"/>
    <x v="1"/>
    <n v="7"/>
    <n v="-35"/>
    <n v="0"/>
    <n v="15"/>
    <n v="3"/>
    <n v="2"/>
    <n v="-2"/>
    <n v="2"/>
    <n v="0"/>
    <n v="1"/>
    <n v="-1"/>
    <n v="0.102319471508342"/>
    <n v="1.3633499681541601"/>
    <n v="76.344231914864395"/>
    <n v="3"/>
    <n v="3"/>
    <n v="3.3256869999999998"/>
    <n v="3.5390239999999999"/>
    <n v="3.6366860000000001"/>
    <n v="3.7081149999999998"/>
    <n v="0.32568699999999984"/>
  </r>
  <r>
    <x v="7"/>
    <n v="10"/>
    <x v="0"/>
    <n v="4"/>
    <n v="-45"/>
    <n v="0"/>
    <n v="5"/>
    <n v="3"/>
    <n v="-1"/>
    <n v="1"/>
    <n v="-2"/>
    <n v="-2"/>
    <n v="-2"/>
    <n v="-2"/>
    <n v="0.12994548461877001"/>
    <n v="2.4167718863693901"/>
    <n v="68.608821207025699"/>
    <n v="3"/>
    <n v="3"/>
    <n v="3.102039"/>
    <n v="3.3233709999999999"/>
    <n v="3.4962849999999999"/>
    <n v="3.566138"/>
    <n v="0.10203899999999999"/>
  </r>
  <r>
    <x v="7"/>
    <n v="11"/>
    <x v="2"/>
    <n v="5"/>
    <n v="-35"/>
    <n v="0"/>
    <n v="15"/>
    <n v="0"/>
    <n v="2"/>
    <n v="0"/>
    <n v="2"/>
    <n v="2"/>
    <n v="2"/>
    <n v="1"/>
    <n v="0.121169581108667"/>
    <n v="1.32058709907967"/>
    <n v="76.793516514997904"/>
    <n v="3"/>
    <n v="3"/>
    <n v="3.0154380000000001"/>
    <n v="3.0417209999999999"/>
    <n v="3.1123880000000002"/>
    <n v="3.2797939999999999"/>
    <n v="1.5438000000000063E-2"/>
  </r>
  <r>
    <x v="7"/>
    <n v="12"/>
    <x v="2"/>
    <n v="3"/>
    <n v="-35"/>
    <n v="0"/>
    <n v="15"/>
    <n v="-3"/>
    <n v="2"/>
    <n v="1"/>
    <n v="2"/>
    <n v="2"/>
    <n v="2"/>
    <n v="2"/>
    <n v="0.10042931361302"/>
    <n v="0.95558588215997697"/>
    <n v="78.372206062544294"/>
    <n v="-3"/>
    <n v="-3.0514220000000001"/>
    <n v="-2.9102570000000001"/>
    <n v="-2.802543"/>
    <n v="-2.8892950000000002"/>
    <n v="-2.909802"/>
    <n v="8.9742999999999906E-2"/>
  </r>
  <r>
    <x v="7"/>
    <n v="13"/>
    <x v="0"/>
    <n v="7"/>
    <n v="-35"/>
    <n v="0"/>
    <n v="15"/>
    <n v="3"/>
    <n v="-2"/>
    <n v="1"/>
    <n v="-2"/>
    <n v="-1"/>
    <n v="-1"/>
    <n v="-1"/>
    <n v="0.107006425403226"/>
    <n v="2.48147997117408"/>
    <n v="78.721812466819003"/>
    <n v="3"/>
    <n v="3"/>
    <n v="2.8746019999999999"/>
    <n v="3.3535529999999998"/>
    <n v="3.4044469999999998"/>
    <n v="3.5343089999999999"/>
    <n v="0.12539800000000012"/>
  </r>
  <r>
    <x v="7"/>
    <n v="14"/>
    <x v="2"/>
    <n v="1"/>
    <n v="-35"/>
    <n v="0"/>
    <n v="15"/>
    <n v="0"/>
    <n v="1"/>
    <n v="1"/>
    <n v="2"/>
    <n v="1"/>
    <n v="1"/>
    <n v="1"/>
    <n v="0.115183225560817"/>
    <n v="2.36703568280236"/>
    <n v="79.212017018263793"/>
    <n v="0"/>
    <n v="0"/>
    <n v="-4.8631889999999997E-2"/>
    <n v="-0.93671789999999999"/>
    <n v="-2.3942480000000002"/>
    <n v="-3.1243720000000001"/>
    <n v="4.8631889999999997E-2"/>
  </r>
  <r>
    <x v="7"/>
    <n v="15"/>
    <x v="1"/>
    <n v="8"/>
    <n v="-45"/>
    <n v="0"/>
    <n v="5"/>
    <n v="-3"/>
    <n v="0"/>
    <n v="2"/>
    <n v="2"/>
    <n v="2"/>
    <n v="2"/>
    <n v="2"/>
    <n v="0.119196993047124"/>
    <n v="1.91882542991083"/>
    <n v="68.508969841092906"/>
    <n v="-3"/>
    <n v="-3.171192"/>
    <n v="-3.0714480000000002"/>
    <n v="-3.350835"/>
    <n v="-3.5555970000000001"/>
    <n v="-3.5978680000000001"/>
    <n v="7.1448000000000178E-2"/>
  </r>
  <r>
    <x v="7"/>
    <n v="16"/>
    <x v="1"/>
    <n v="3"/>
    <n v="-35"/>
    <n v="0"/>
    <n v="15"/>
    <n v="-3"/>
    <n v="1"/>
    <n v="-1"/>
    <n v="1"/>
    <n v="1"/>
    <n v="1"/>
    <n v="1"/>
    <n v="0.10385006854840099"/>
    <n v="0.70568880792596"/>
    <n v="76.870208119432803"/>
    <n v="-3"/>
    <n v="-3"/>
    <n v="-3.1833300000000002"/>
    <n v="-3.2317119999999999"/>
    <n v="-3.327467"/>
    <n v="-3.2641990000000001"/>
    <n v="0.18333000000000022"/>
  </r>
  <r>
    <x v="7"/>
    <n v="17"/>
    <x v="2"/>
    <n v="6"/>
    <n v="-35"/>
    <n v="3"/>
    <n v="15"/>
    <n v="3"/>
    <n v="-1"/>
    <n v="-1"/>
    <n v="1"/>
    <n v="-2"/>
    <n v="-1"/>
    <n v="-1"/>
    <n v="0.178525293304827"/>
    <n v="5.8022604498264698"/>
    <n v="79.530412130327093"/>
    <n v="0"/>
    <n v="3.0827350000000001E-3"/>
    <n v="0.10743"/>
    <n v="0.1967064"/>
    <n v="0.23812040000000001"/>
    <n v="0.28905740000000002"/>
    <n v="0.10743"/>
  </r>
  <r>
    <x v="7"/>
    <n v="18"/>
    <x v="0"/>
    <n v="2"/>
    <n v="-35"/>
    <n v="-3"/>
    <n v="15"/>
    <n v="-3"/>
    <n v="-2"/>
    <n v="2"/>
    <n v="-2"/>
    <n v="-2"/>
    <n v="-1"/>
    <n v="-1"/>
    <n v="0.166500265529616"/>
    <n v="5.8479113515587899"/>
    <n v="79.205081125241904"/>
    <n v="-3"/>
    <n v="-3.027698"/>
    <n v="-2.8587150000000001"/>
    <n v="-2.7153649999999998"/>
    <n v="-2.7682790000000002"/>
    <n v="-2.879626"/>
    <n v="0.14128499999999988"/>
  </r>
  <r>
    <x v="7"/>
    <n v="19"/>
    <x v="1"/>
    <n v="5"/>
    <n v="-35"/>
    <n v="0"/>
    <n v="15"/>
    <n v="0"/>
    <n v="1"/>
    <n v="-1"/>
    <n v="1"/>
    <n v="1"/>
    <n v="1"/>
    <n v="2"/>
    <n v="9.8686666995008498E-2"/>
    <n v="1.3881582436356299"/>
    <n v="78.205882926741594"/>
    <n v="3"/>
    <n v="3"/>
    <n v="2.8624930000000002"/>
    <n v="2.8237749999999999"/>
    <n v="2.7875839999999998"/>
    <n v="2.8557229999999998"/>
    <n v="0.13750699999999982"/>
  </r>
  <r>
    <x v="7"/>
    <n v="20"/>
    <x v="2"/>
    <n v="4"/>
    <n v="-45"/>
    <n v="0"/>
    <n v="5"/>
    <n v="3"/>
    <n v="2"/>
    <n v="2"/>
    <n v="2"/>
    <n v="2"/>
    <n v="2"/>
    <n v="2"/>
    <n v="0.138039705284454"/>
    <n v="2.5371698661359101"/>
    <n v="67.480772478556602"/>
    <n v="3"/>
    <n v="2.9676640000000001"/>
    <n v="3.3272819999999999"/>
    <n v="3.357424"/>
    <n v="3.2962660000000001"/>
    <n v="3.2197429999999998"/>
    <n v="0.32728199999999985"/>
  </r>
  <r>
    <x v="7"/>
    <n v="21"/>
    <x v="0"/>
    <n v="6"/>
    <n v="-35"/>
    <n v="3"/>
    <n v="15"/>
    <n v="3"/>
    <n v="-2"/>
    <n v="1"/>
    <n v="-2"/>
    <n v="-2"/>
    <n v="-1"/>
    <n v="-2"/>
    <n v="0.155626212630877"/>
    <n v="3.79935792586293"/>
    <n v="79.1375396463838"/>
    <n v="0"/>
    <n v="0"/>
    <n v="-0.16063150000000001"/>
    <n v="-8.3300470000000001E-2"/>
    <n v="-0.1091524"/>
    <n v="-0.11376500000000001"/>
    <n v="0.16063150000000001"/>
  </r>
  <r>
    <x v="7"/>
    <n v="22"/>
    <x v="0"/>
    <n v="3"/>
    <n v="-35"/>
    <n v="0"/>
    <n v="15"/>
    <n v="-3"/>
    <n v="0"/>
    <n v="0"/>
    <n v="-1"/>
    <n v="0"/>
    <n v="1"/>
    <n v="0"/>
    <n v="0.12932420584859999"/>
    <n v="1.6471170988177699"/>
    <n v="78.684532896025203"/>
    <n v="-3"/>
    <n v="-3.074074"/>
    <n v="-3.4412250000000002"/>
    <n v="-3.7030789999999998"/>
    <n v="-4.1153240000000002"/>
    <n v="-4.3453730000000004"/>
    <n v="0.4412250000000002"/>
  </r>
  <r>
    <x v="7"/>
    <n v="23"/>
    <x v="2"/>
    <n v="8"/>
    <n v="-45"/>
    <n v="0"/>
    <n v="5"/>
    <n v="-3"/>
    <n v="-1"/>
    <n v="1"/>
    <n v="1"/>
    <n v="-1"/>
    <n v="-1"/>
    <n v="-1"/>
    <n v="0.37917611064751"/>
    <n v="26.344037676328298"/>
    <n v="33.3331981049935"/>
    <n v="-3"/>
    <n v="-3.0162770000000001"/>
    <n v="-3.1451280000000001"/>
    <n v="-3.260948"/>
    <n v="-3.2931300000000001"/>
    <n v="-3.2634180000000002"/>
    <n v="0.14512800000000015"/>
  </r>
  <r>
    <x v="7"/>
    <n v="24"/>
    <x v="1"/>
    <n v="1"/>
    <n v="-35"/>
    <n v="0"/>
    <n v="15"/>
    <n v="0"/>
    <n v="2"/>
    <n v="2"/>
    <n v="2"/>
    <n v="2"/>
    <n v="0"/>
    <n v="2"/>
    <n v="0.32412902820831102"/>
    <n v="25.0102908413187"/>
    <n v="84.8941267189455"/>
    <n v="0"/>
    <n v="0"/>
    <n v="-2.6493900000000001E-2"/>
    <n v="-4.9047430000000003E-2"/>
    <n v="0.40343590000000001"/>
    <n v="0.72333040000000004"/>
    <n v="2.6493900000000001E-2"/>
  </r>
  <r>
    <x v="8"/>
    <n v="1"/>
    <x v="1"/>
    <n v="1"/>
    <n v="-35"/>
    <n v="0"/>
    <n v="15"/>
    <n v="0"/>
    <n v="2"/>
    <n v="2"/>
    <n v="1"/>
    <n v="-1"/>
    <n v="1"/>
    <n v="1"/>
    <n v="0.146376714287236"/>
    <n v="4.0498228564824297"/>
    <n v="77.177955040189801"/>
    <n v="0"/>
    <n v="0"/>
    <n v="-5.0430229999999998E-4"/>
    <n v="6.7695999999999997E-3"/>
    <n v="-3.023935E-5"/>
    <n v="0.19662489999999999"/>
    <n v="5.0430229999999998E-4"/>
  </r>
  <r>
    <x v="8"/>
    <n v="2"/>
    <x v="2"/>
    <n v="8"/>
    <n v="-45"/>
    <n v="0"/>
    <n v="5"/>
    <n v="-3"/>
    <n v="2"/>
    <n v="2"/>
    <n v="2"/>
    <n v="2"/>
    <n v="2"/>
    <n v="2"/>
    <n v="0.10118488842420401"/>
    <n v="2.4646166226310702"/>
    <n v="68.251908340140503"/>
    <n v="-3"/>
    <n v="-3"/>
    <n v="-2.9964010000000001"/>
    <n v="-1.760062"/>
    <n v="-0.33978809999999998"/>
    <n v="1.0843419999999999"/>
    <n v="3.5989999999999078E-3"/>
  </r>
  <r>
    <x v="8"/>
    <n v="3"/>
    <x v="0"/>
    <n v="3"/>
    <n v="-35"/>
    <n v="0"/>
    <n v="15"/>
    <n v="-3"/>
    <n v="-1"/>
    <n v="-1"/>
    <n v="-1"/>
    <n v="-2"/>
    <n v="-1"/>
    <n v="-1"/>
    <n v="0.110109680434826"/>
    <n v="1.0314539715886299"/>
    <n v="76.470740894403903"/>
    <n v="-3"/>
    <n v="-3"/>
    <n v="-3.0758049999999999"/>
    <n v="-3.2702149999999999"/>
    <n v="-3.3857309999999998"/>
    <n v="-3.5900850000000002"/>
    <n v="7.58049999999999E-2"/>
  </r>
  <r>
    <x v="8"/>
    <n v="4"/>
    <x v="0"/>
    <n v="6"/>
    <n v="-35"/>
    <n v="3"/>
    <n v="15"/>
    <n v="3"/>
    <n v="-1"/>
    <n v="-1"/>
    <n v="-1"/>
    <n v="-2"/>
    <n v="-1"/>
    <n v="0"/>
    <n v="0.102644767515296"/>
    <n v="1.37161249044976"/>
    <n v="78.8965878073178"/>
    <n v="0"/>
    <n v="1.282119E-3"/>
    <n v="9.6905030000000003E-2"/>
    <n v="0.68647659999999999"/>
    <n v="1.7724059999999999"/>
    <n v="2.7525659999999998"/>
    <n v="9.6905030000000003E-2"/>
  </r>
  <r>
    <x v="8"/>
    <n v="5"/>
    <x v="2"/>
    <n v="4"/>
    <n v="-45"/>
    <n v="0"/>
    <n v="5"/>
    <n v="3"/>
    <n v="0"/>
    <n v="2"/>
    <n v="1"/>
    <n v="1"/>
    <n v="1"/>
    <n v="-1"/>
    <n v="0.144964509315299"/>
    <n v="5.2277707929637396"/>
    <n v="69.587479005674297"/>
    <n v="3"/>
    <n v="3"/>
    <n v="2.087907"/>
    <n v="1.056902"/>
    <n v="1.614511"/>
    <n v="2.561741"/>
    <n v="0.91209300000000004"/>
  </r>
  <r>
    <x v="8"/>
    <n v="6"/>
    <x v="1"/>
    <n v="5"/>
    <n v="-35"/>
    <n v="0"/>
    <n v="15"/>
    <n v="0"/>
    <n v="2"/>
    <n v="2"/>
    <n v="2"/>
    <n v="-1"/>
    <n v="-1"/>
    <n v="1"/>
    <n v="0.12036108451861501"/>
    <n v="1.4973666149793701"/>
    <n v="77.569747206696107"/>
    <n v="3"/>
    <n v="3.0035569999999998"/>
    <n v="3.0657770000000002"/>
    <n v="3.3160340000000001"/>
    <n v="3.5382899999999999"/>
    <n v="3.4584480000000002"/>
    <n v="6.5777000000000196E-2"/>
  </r>
  <r>
    <x v="8"/>
    <n v="7"/>
    <x v="0"/>
    <n v="2"/>
    <n v="-35"/>
    <n v="-3"/>
    <n v="15"/>
    <n v="-3"/>
    <n v="-2"/>
    <n v="0"/>
    <n v="-1"/>
    <n v="-2"/>
    <n v="-1"/>
    <n v="-2"/>
    <n v="0.113213327475353"/>
    <n v="2.6670534136675799"/>
    <n v="77.515426788014096"/>
    <n v="-3"/>
    <n v="-3"/>
    <n v="-3.2360129999999998"/>
    <n v="-3.3006329999999999"/>
    <n v="-3.1851790000000002"/>
    <n v="-2.9640469999999999"/>
    <n v="0.23601299999999981"/>
  </r>
  <r>
    <x v="8"/>
    <n v="8"/>
    <x v="2"/>
    <n v="6"/>
    <n v="-35"/>
    <n v="3"/>
    <n v="15"/>
    <n v="3"/>
    <n v="1"/>
    <n v="2"/>
    <n v="2"/>
    <n v="2"/>
    <n v="1"/>
    <n v="2"/>
    <n v="9.9832086197820899E-2"/>
    <n v="2.0483518108724201"/>
    <n v="77.306993376075596"/>
    <n v="0"/>
    <n v="0"/>
    <n v="-0.63273199999999996"/>
    <n v="-0.1110244"/>
    <n v="0.88766310000000004"/>
    <n v="1.949139"/>
    <n v="0.63273199999999996"/>
  </r>
  <r>
    <x v="8"/>
    <n v="9"/>
    <x v="1"/>
    <n v="3"/>
    <n v="-35"/>
    <n v="0"/>
    <n v="15"/>
    <n v="-3"/>
    <n v="-2"/>
    <n v="-2"/>
    <n v="0"/>
    <n v="-2"/>
    <n v="-2"/>
    <n v="-2"/>
    <n v="0.156497735866827"/>
    <n v="3.93534041755803"/>
    <n v="78.873243780721296"/>
    <n v="-3"/>
    <n v="-3"/>
    <n v="-3.3404470000000002"/>
    <n v="-3.6780650000000001"/>
    <n v="-3.9531550000000002"/>
    <n v="-3.3058930000000002"/>
    <n v="0.34044700000000017"/>
  </r>
  <r>
    <x v="8"/>
    <n v="10"/>
    <x v="1"/>
    <n v="8"/>
    <n v="-45"/>
    <n v="0"/>
    <n v="5"/>
    <n v="-3"/>
    <n v="-2"/>
    <n v="-1"/>
    <n v="-1"/>
    <n v="-2"/>
    <n v="-2"/>
    <n v="-2"/>
    <n v="0.16377147374006401"/>
    <n v="5.5866083867939098"/>
    <n v="68.295904808515104"/>
    <n v="-3"/>
    <n v="-2.8985799999999999"/>
    <n v="-1.9538120000000001"/>
    <n v="-0.60696170000000005"/>
    <n v="0.81933529999999999"/>
    <n v="1.5455650000000001"/>
    <n v="1.0461879999999999"/>
  </r>
  <r>
    <x v="8"/>
    <n v="11"/>
    <x v="2"/>
    <n v="1"/>
    <n v="-35"/>
    <n v="0"/>
    <n v="15"/>
    <n v="0"/>
    <n v="1"/>
    <n v="1"/>
    <n v="1"/>
    <n v="2"/>
    <n v="1"/>
    <n v="2"/>
    <n v="0.120828997418717"/>
    <n v="1.7214253290246699"/>
    <n v="78.795779055392302"/>
    <n v="0"/>
    <n v="-0.28685709999999998"/>
    <n v="-1.024454"/>
    <n v="-2.292081"/>
    <n v="-3.2861370000000001"/>
    <n v="-3.9013390000000001"/>
    <n v="1.024454"/>
  </r>
  <r>
    <x v="8"/>
    <n v="12"/>
    <x v="0"/>
    <n v="7"/>
    <n v="-35"/>
    <n v="0"/>
    <n v="15"/>
    <n v="3"/>
    <n v="-1"/>
    <n v="-1"/>
    <n v="-1"/>
    <n v="-1"/>
    <n v="0"/>
    <n v="-1"/>
    <n v="0.14439140546321499"/>
    <n v="7.7466824597757"/>
    <n v="83.090437853484303"/>
    <n v="3"/>
    <n v="3.0027910000000002"/>
    <n v="3.1410830000000001"/>
    <n v="3.2944429999999998"/>
    <n v="3.4867400000000002"/>
    <n v="3.6917110000000002"/>
    <n v="0.14108300000000007"/>
  </r>
  <r>
    <x v="8"/>
    <n v="13"/>
    <x v="2"/>
    <n v="3"/>
    <n v="-35"/>
    <n v="0"/>
    <n v="15"/>
    <n v="-3"/>
    <n v="0"/>
    <n v="0"/>
    <n v="-1"/>
    <n v="2"/>
    <n v="1"/>
    <n v="1"/>
    <n v="0.104734821727497"/>
    <n v="9.0817147674596299"/>
    <n v="77.028822447227398"/>
    <n v="-3"/>
    <n v="-3.124323"/>
    <n v="-3.9744959999999998"/>
    <n v="-4.4716149999999999"/>
    <n v="-4.4586199999999998"/>
    <n v="-4.3304640000000001"/>
    <n v="0.97449599999999981"/>
  </r>
  <r>
    <x v="8"/>
    <n v="14"/>
    <x v="2"/>
    <n v="5"/>
    <n v="-35"/>
    <n v="0"/>
    <n v="15"/>
    <n v="0"/>
    <n v="2"/>
    <n v="2"/>
    <n v="2"/>
    <n v="2"/>
    <n v="2"/>
    <n v="2"/>
    <n v="9.8138703229052104E-2"/>
    <n v="0.73238158076547399"/>
    <n v="76.423999875085102"/>
    <n v="3"/>
    <n v="3"/>
    <n v="2.8250820000000001"/>
    <n v="2.7973129999999999"/>
    <n v="3.1144699999999998"/>
    <n v="3.4699559999999998"/>
    <n v="0.17491799999999991"/>
  </r>
  <r>
    <x v="8"/>
    <n v="15"/>
    <x v="0"/>
    <n v="4"/>
    <n v="-45"/>
    <n v="0"/>
    <n v="5"/>
    <n v="3"/>
    <n v="-1"/>
    <n v="-1"/>
    <n v="-1"/>
    <n v="-1"/>
    <n v="1"/>
    <n v="0"/>
    <n v="0.14309778030827999"/>
    <n v="6.3275778809882901"/>
    <n v="69.009465806536994"/>
    <n v="3"/>
    <n v="3"/>
    <n v="2.6087039999999999"/>
    <n v="1.9201060000000001"/>
    <n v="0.139712"/>
    <n v="-1.4836590000000001"/>
    <n v="0.39129600000000009"/>
  </r>
  <r>
    <x v="8"/>
    <n v="16"/>
    <x v="1"/>
    <n v="7"/>
    <n v="-35"/>
    <n v="0"/>
    <n v="15"/>
    <n v="3"/>
    <n v="0"/>
    <n v="-1"/>
    <n v="-1"/>
    <n v="-1"/>
    <n v="-1"/>
    <n v="1"/>
    <n v="9.5881084252311705E-2"/>
    <n v="0.69718370123894402"/>
    <n v="77.086533343976399"/>
    <n v="3"/>
    <n v="2.9997319999999998"/>
    <n v="2.7440009999999999"/>
    <n v="2.757088"/>
    <n v="2.9046949999999998"/>
    <n v="3.0315690000000002"/>
    <n v="0.25599900000000009"/>
  </r>
  <r>
    <x v="8"/>
    <n v="17"/>
    <x v="2"/>
    <n v="2"/>
    <n v="-35"/>
    <n v="-3"/>
    <n v="15"/>
    <n v="-3"/>
    <n v="2"/>
    <n v="1"/>
    <n v="1"/>
    <n v="2"/>
    <n v="1"/>
    <n v="2"/>
    <n v="0.10942317383683101"/>
    <n v="1.25540447134931"/>
    <n v="78.300780021909304"/>
    <n v="-3"/>
    <n v="-3.179163"/>
    <n v="-3.7510059999999998"/>
    <n v="-3.9187129999999999"/>
    <n v="-4.0489959999999998"/>
    <n v="-4.1710469999999997"/>
    <n v="0.75100599999999984"/>
  </r>
  <r>
    <x v="8"/>
    <n v="18"/>
    <x v="1"/>
    <n v="6"/>
    <n v="-35"/>
    <n v="3"/>
    <n v="15"/>
    <n v="3"/>
    <n v="0"/>
    <n v="1"/>
    <n v="1"/>
    <n v="-1"/>
    <n v="-1"/>
    <n v="1"/>
    <n v="0.120323088077288"/>
    <n v="1.5602196667196699"/>
    <n v="78.928234654720995"/>
    <n v="0"/>
    <n v="-1.31567E-2"/>
    <n v="1.6974570000000001E-2"/>
    <n v="0.86925189999999997"/>
    <n v="1.6627339999999999"/>
    <n v="2.3261340000000001"/>
    <n v="1.6974570000000001E-2"/>
  </r>
  <r>
    <x v="8"/>
    <n v="19"/>
    <x v="0"/>
    <n v="1"/>
    <n v="-35"/>
    <n v="0"/>
    <n v="15"/>
    <n v="0"/>
    <n v="0"/>
    <n v="1"/>
    <n v="0"/>
    <n v="-1"/>
    <n v="2"/>
    <n v="2"/>
    <n v="0.119383646275688"/>
    <n v="1.4515859957838799"/>
    <n v="76.803276172407706"/>
    <n v="0"/>
    <n v="0"/>
    <n v="-0.62057519999999999"/>
    <n v="-1.856922"/>
    <n v="-2.9266350000000001"/>
    <n v="-3.7478310000000001"/>
    <n v="0.62057519999999999"/>
  </r>
  <r>
    <x v="8"/>
    <n v="20"/>
    <x v="0"/>
    <n v="8"/>
    <n v="-45"/>
    <n v="0"/>
    <n v="5"/>
    <n v="-3"/>
    <n v="0"/>
    <n v="-1"/>
    <n v="-1"/>
    <n v="-1"/>
    <n v="-1"/>
    <n v="0"/>
    <n v="0.134620176518428"/>
    <n v="2.7420272410091302"/>
    <n v="67.716036889730006"/>
    <n v="-3"/>
    <n v="-2.99329"/>
    <n v="-2.4948260000000002"/>
    <n v="-1.153648"/>
    <n v="0.58629419999999999"/>
    <n v="1.845828"/>
    <n v="0.50517399999999979"/>
  </r>
  <r>
    <x v="8"/>
    <n v="21"/>
    <x v="1"/>
    <n v="2"/>
    <n v="-35"/>
    <n v="-3"/>
    <n v="15"/>
    <n v="-3"/>
    <n v="-2"/>
    <n v="-2"/>
    <n v="-2"/>
    <n v="-2"/>
    <n v="-2"/>
    <n v="-2"/>
    <n v="0.12320607941448"/>
    <n v="4.4388219820266297"/>
    <n v="78.850075445528304"/>
    <n v="-3"/>
    <n v="-3.064308"/>
    <n v="-3.5306220000000001"/>
    <n v="-3.3895209999999998"/>
    <n v="-2.2942459999999998"/>
    <n v="-2.9064049999999999"/>
    <n v="0.53062200000000015"/>
  </r>
  <r>
    <x v="8"/>
    <n v="22"/>
    <x v="2"/>
    <n v="7"/>
    <n v="-35"/>
    <n v="0"/>
    <n v="15"/>
    <n v="3"/>
    <n v="1"/>
    <n v="1"/>
    <n v="1"/>
    <n v="2"/>
    <n v="1"/>
    <n v="1"/>
    <n v="0.100264562016985"/>
    <n v="1.0728472728680201"/>
    <n v="78.407028348112306"/>
    <n v="3"/>
    <n v="3.0186730000000002"/>
    <n v="3.0782690000000001"/>
    <n v="3.246699"/>
    <n v="3.5218790000000002"/>
    <n v="3.8239489999999998"/>
    <n v="7.8269000000000144E-2"/>
  </r>
  <r>
    <x v="8"/>
    <n v="23"/>
    <x v="1"/>
    <n v="4"/>
    <n v="-45"/>
    <n v="0"/>
    <n v="5"/>
    <n v="3"/>
    <n v="1"/>
    <n v="1"/>
    <n v="1"/>
    <n v="0"/>
    <n v="1"/>
    <n v="1"/>
    <n v="0.18584914717759701"/>
    <n v="5.2708790315611704"/>
    <n v="67.159492035742105"/>
    <n v="3"/>
    <n v="2.9183949999999999"/>
    <n v="2.3978220000000001"/>
    <n v="1.0038609999999999"/>
    <n v="-0.86249810000000005"/>
    <n v="-2.1829559999999999"/>
    <n v="0.60217799999999988"/>
  </r>
  <r>
    <x v="8"/>
    <n v="24"/>
    <x v="0"/>
    <n v="5"/>
    <n v="-35"/>
    <n v="0"/>
    <n v="15"/>
    <n v="0"/>
    <n v="-2"/>
    <n v="0"/>
    <n v="1"/>
    <n v="-2"/>
    <n v="-2"/>
    <n v="-2"/>
    <n v="0.151780794986239"/>
    <n v="3.6334920143292302"/>
    <n v="79.882261699110899"/>
    <n v="3"/>
    <n v="3.1111149999999999"/>
    <n v="3.357685"/>
    <n v="3.6468970000000001"/>
    <n v="4.0242979999999999"/>
    <n v="4.3003309999999999"/>
    <n v="0.35768500000000003"/>
  </r>
  <r>
    <x v="9"/>
    <n v="1"/>
    <x v="0"/>
    <n v="5"/>
    <n v="-35"/>
    <n v="0"/>
    <n v="15"/>
    <n v="0"/>
    <n v="0"/>
    <n v="1"/>
    <n v="1"/>
    <n v="1"/>
    <n v="0"/>
    <n v="1"/>
    <n v="0.12100111298277"/>
    <n v="3.2230991441384198"/>
    <n v="77.135538901576993"/>
    <n v="3"/>
    <n v="3"/>
    <n v="2.9990670000000001"/>
    <n v="2.820821"/>
    <n v="2.1374379999999999"/>
    <n v="0.93149389999999999"/>
    <n v="9.3299999999985062E-4"/>
  </r>
  <r>
    <x v="9"/>
    <n v="2"/>
    <x v="1"/>
    <n v="4"/>
    <n v="-45"/>
    <n v="0"/>
    <n v="5"/>
    <n v="3"/>
    <n v="2"/>
    <n v="1"/>
    <n v="2"/>
    <n v="2"/>
    <n v="2"/>
    <n v="2"/>
    <n v="0.138340923352718"/>
    <n v="4.8034914799812896"/>
    <n v="68.482113256020099"/>
    <n v="3"/>
    <n v="3"/>
    <n v="2.8578060000000001"/>
    <n v="0.92076089999999999"/>
    <n v="-0.71674970000000005"/>
    <n v="-2.3120729999999998"/>
    <n v="0.14219399999999993"/>
  </r>
  <r>
    <x v="9"/>
    <n v="3"/>
    <x v="2"/>
    <n v="7"/>
    <n v="-35"/>
    <n v="0"/>
    <n v="15"/>
    <n v="3"/>
    <n v="2"/>
    <n v="1"/>
    <n v="2"/>
    <n v="2"/>
    <n v="2"/>
    <n v="2"/>
    <n v="0.117345803687817"/>
    <n v="2.08664335383668"/>
    <n v="77.878669464556694"/>
    <n v="3"/>
    <n v="3"/>
    <n v="3.09843"/>
    <n v="3.1637580000000001"/>
    <n v="3.3101970000000001"/>
    <n v="3.4900220000000002"/>
    <n v="9.8430000000000017E-2"/>
  </r>
  <r>
    <x v="9"/>
    <n v="4"/>
    <x v="1"/>
    <n v="2"/>
    <n v="-35"/>
    <n v="-3"/>
    <n v="15"/>
    <n v="-3"/>
    <n v="-1"/>
    <n v="1"/>
    <n v="-2"/>
    <n v="0"/>
    <n v="-1"/>
    <n v="0"/>
    <n v="0.12799940743351501"/>
    <n v="3.40262217220149"/>
    <n v="76.798286567092404"/>
    <n v="-3"/>
    <n v="-3"/>
    <n v="-2.8089029999999999"/>
    <n v="-1.485066"/>
    <n v="-0.17087189999999999"/>
    <n v="0.87429590000000001"/>
    <n v="0.19109700000000007"/>
  </r>
  <r>
    <x v="9"/>
    <n v="5"/>
    <x v="0"/>
    <n v="8"/>
    <n v="-45"/>
    <n v="0"/>
    <n v="5"/>
    <n v="-3"/>
    <n v="-2"/>
    <n v="1"/>
    <n v="-2"/>
    <n v="-1"/>
    <n v="-2"/>
    <n v="-1"/>
    <n v="0.12812164776940599"/>
    <n v="3.0544496498146301"/>
    <n v="68.505006580945803"/>
    <n v="-3"/>
    <n v="-3"/>
    <n v="-3"/>
    <n v="-2.8818139999999999"/>
    <n v="-2.6829839999999998"/>
    <n v="-3.2536489999999998"/>
    <n v="0"/>
  </r>
  <r>
    <x v="9"/>
    <n v="6"/>
    <x v="0"/>
    <n v="1"/>
    <n v="-35"/>
    <n v="0"/>
    <n v="15"/>
    <n v="0"/>
    <n v="1"/>
    <n v="0"/>
    <n v="1"/>
    <n v="0"/>
    <n v="1"/>
    <n v="0"/>
    <n v="0.1129871311071"/>
    <n v="1.66377203039933"/>
    <n v="77.821932303394803"/>
    <n v="0"/>
    <n v="0"/>
    <n v="-8.5853309999999999E-3"/>
    <n v="-0.59906599999999999"/>
    <n v="-1.289901"/>
    <n v="-2.1018819999999998"/>
    <n v="8.5853309999999999E-3"/>
  </r>
  <r>
    <x v="9"/>
    <n v="7"/>
    <x v="1"/>
    <n v="6"/>
    <n v="-35"/>
    <n v="3"/>
    <n v="15"/>
    <n v="3"/>
    <n v="2"/>
    <n v="2"/>
    <n v="2"/>
    <n v="2"/>
    <n v="2"/>
    <n v="2"/>
    <n v="0.10071014873388601"/>
    <n v="1.95027982111592"/>
    <n v="76.815236656191303"/>
    <n v="0"/>
    <n v="0"/>
    <n v="5.6967950000000003E-2"/>
    <n v="0.53005709999999995"/>
    <n v="1.12704"/>
    <n v="2.2163179999999998"/>
    <n v="5.6967950000000003E-2"/>
  </r>
  <r>
    <x v="9"/>
    <n v="8"/>
    <x v="2"/>
    <n v="2"/>
    <n v="-35"/>
    <n v="-3"/>
    <n v="15"/>
    <n v="-3"/>
    <n v="-2"/>
    <n v="-1"/>
    <n v="1"/>
    <n v="-2"/>
    <n v="-2"/>
    <n v="-2"/>
    <n v="0.17735922966481699"/>
    <n v="10.8528666324552"/>
    <n v="81.505467203872001"/>
    <n v="-3"/>
    <n v="-3"/>
    <n v="-2.8659690000000002"/>
    <n v="-2.1234039999999998"/>
    <n v="-0.97120139999999999"/>
    <n v="0.2209972"/>
    <n v="0.13403099999999979"/>
  </r>
  <r>
    <x v="9"/>
    <n v="9"/>
    <x v="1"/>
    <n v="7"/>
    <n v="-35"/>
    <n v="0"/>
    <n v="15"/>
    <n v="3"/>
    <n v="-2"/>
    <n v="-1"/>
    <n v="1"/>
    <n v="-2"/>
    <n v="-2"/>
    <n v="-2"/>
    <n v="0.195748979351207"/>
    <n v="10.763700970456499"/>
    <n v="81.508038713465396"/>
    <n v="3"/>
    <n v="3"/>
    <n v="3"/>
    <n v="3"/>
    <n v="3.022078"/>
    <n v="3.3037869999999998"/>
    <n v="0"/>
  </r>
  <r>
    <x v="9"/>
    <n v="10"/>
    <x v="0"/>
    <n v="4"/>
    <n v="-45"/>
    <n v="0"/>
    <n v="5"/>
    <n v="3"/>
    <n v="1"/>
    <n v="1"/>
    <n v="1"/>
    <n v="1"/>
    <n v="1"/>
    <n v="1"/>
    <n v="0.17609990931070599"/>
    <n v="2.4760066578697102"/>
    <n v="66.970316042728101"/>
    <n v="3"/>
    <n v="3"/>
    <n v="2.8059500000000002"/>
    <n v="1.720645"/>
    <n v="0.71108769999999999"/>
    <n v="-0.63670300000000002"/>
    <n v="0.19404999999999983"/>
  </r>
  <r>
    <x v="9"/>
    <n v="11"/>
    <x v="2"/>
    <n v="5"/>
    <n v="-35"/>
    <n v="0"/>
    <n v="15"/>
    <n v="0"/>
    <n v="2"/>
    <n v="1"/>
    <n v="2"/>
    <n v="1"/>
    <n v="1"/>
    <n v="2"/>
    <n v="0.15420436003083199"/>
    <n v="3.5023973955773799"/>
    <n v="76.064356403049501"/>
    <n v="3"/>
    <n v="3"/>
    <n v="3.1654680000000002"/>
    <n v="3.1583709999999998"/>
    <n v="4.127383"/>
    <n v="3.851283"/>
    <n v="0.16546800000000017"/>
  </r>
  <r>
    <x v="9"/>
    <n v="12"/>
    <x v="2"/>
    <n v="3"/>
    <n v="-35"/>
    <n v="0"/>
    <n v="15"/>
    <n v="-3"/>
    <n v="2"/>
    <n v="1"/>
    <n v="2"/>
    <n v="2"/>
    <n v="2"/>
    <n v="1"/>
    <n v="0.11529803698748101"/>
    <n v="1.80306749259544"/>
    <n v="77.144500639927102"/>
    <n v="-3"/>
    <n v="-3"/>
    <n v="-2.6366450000000001"/>
    <n v="-3.0014110000000001"/>
    <n v="-3.5940120000000002"/>
    <n v="-3.8503530000000001"/>
    <n v="0.36335499999999987"/>
  </r>
  <r>
    <x v="9"/>
    <n v="13"/>
    <x v="0"/>
    <n v="7"/>
    <n v="-35"/>
    <n v="0"/>
    <n v="15"/>
    <n v="3"/>
    <n v="1"/>
    <n v="1"/>
    <n v="0"/>
    <n v="0"/>
    <n v="0"/>
    <n v="0"/>
    <n v="0.181725495164198"/>
    <n v="2.6543833749362999"/>
    <n v="77.288041189237106"/>
    <n v="3"/>
    <n v="3"/>
    <n v="3.0027210000000002"/>
    <n v="2.9580730000000002"/>
    <n v="2.9667469999999998"/>
    <n v="3.245425"/>
    <n v="2.7210000000001955E-3"/>
  </r>
  <r>
    <x v="9"/>
    <n v="14"/>
    <x v="2"/>
    <n v="1"/>
    <n v="-35"/>
    <n v="0"/>
    <n v="15"/>
    <n v="0"/>
    <n v="2"/>
    <n v="2"/>
    <n v="2"/>
    <n v="2"/>
    <n v="2"/>
    <n v="2"/>
    <n v="0.15590102718672699"/>
    <n v="1.7477480303988699"/>
    <n v="76.450476637379495"/>
    <n v="0"/>
    <n v="0"/>
    <n v="-3.6607969999999997E-2"/>
    <n v="-0.80349150000000003"/>
    <n v="-1.5490489999999999"/>
    <n v="-2.231414"/>
    <n v="3.6607969999999997E-2"/>
  </r>
  <r>
    <x v="9"/>
    <n v="15"/>
    <x v="1"/>
    <n v="8"/>
    <n v="-45"/>
    <n v="0"/>
    <n v="5"/>
    <n v="-3"/>
    <n v="1"/>
    <n v="1"/>
    <n v="1"/>
    <n v="1"/>
    <n v="1"/>
    <n v="1"/>
    <n v="0.22899114570139001"/>
    <n v="4.5001373906248201"/>
    <n v="68.052459677094902"/>
    <n v="-3"/>
    <n v="-3"/>
    <n v="-2.664984"/>
    <n v="-1.466062"/>
    <n v="-1.0784750000000001"/>
    <n v="-2.284799"/>
    <n v="0.33501599999999998"/>
  </r>
  <r>
    <x v="9"/>
    <n v="16"/>
    <x v="1"/>
    <n v="3"/>
    <n v="-35"/>
    <n v="0"/>
    <n v="15"/>
    <n v="-3"/>
    <n v="1"/>
    <n v="1"/>
    <n v="1"/>
    <n v="0"/>
    <n v="1"/>
    <n v="1"/>
    <n v="0.112939828333847"/>
    <n v="2.22843657122788"/>
    <n v="76.592392371471703"/>
    <n v="-3"/>
    <n v="-3"/>
    <n v="-2.8537059999999999"/>
    <n v="-3.4574690000000001"/>
    <n v="-3.6000529999999999"/>
    <n v="-3.9801540000000002"/>
    <n v="0.14629400000000015"/>
  </r>
  <r>
    <x v="9"/>
    <n v="17"/>
    <x v="2"/>
    <n v="6"/>
    <n v="-35"/>
    <n v="3"/>
    <n v="15"/>
    <n v="3"/>
    <n v="2"/>
    <n v="2"/>
    <n v="2"/>
    <n v="2"/>
    <n v="2"/>
    <n v="2"/>
    <n v="0.123118424462586"/>
    <n v="3.1243026942138301"/>
    <n v="76.143880269698997"/>
    <n v="0"/>
    <n v="0"/>
    <n v="0.34613699999999997"/>
    <n v="0.20820459999999999"/>
    <n v="1.330716"/>
    <n v="2.25346"/>
    <n v="0.34613699999999997"/>
  </r>
  <r>
    <x v="9"/>
    <n v="18"/>
    <x v="0"/>
    <n v="2"/>
    <n v="-35"/>
    <n v="-3"/>
    <n v="15"/>
    <n v="-3"/>
    <n v="-1"/>
    <n v="0"/>
    <n v="-1"/>
    <n v="0"/>
    <n v="0"/>
    <n v="0"/>
    <n v="0.15482778517200699"/>
    <n v="2.58863635041731"/>
    <n v="77.997986773392498"/>
    <n v="-3"/>
    <n v="-3"/>
    <n v="-2.8948689999999999"/>
    <n v="-1.9212210000000001"/>
    <n v="-1.0043629999999999"/>
    <n v="-0.20209869999999999"/>
    <n v="0.10513100000000009"/>
  </r>
  <r>
    <x v="9"/>
    <n v="19"/>
    <x v="1"/>
    <n v="5"/>
    <n v="-35"/>
    <n v="0"/>
    <n v="15"/>
    <n v="0"/>
    <n v="-1"/>
    <n v="0"/>
    <n v="-2"/>
    <n v="-2"/>
    <n v="-2"/>
    <n v="-1"/>
    <n v="0.15359144322813401"/>
    <n v="4.4224486491609101"/>
    <n v="77.177480952865906"/>
    <n v="3"/>
    <n v="3"/>
    <n v="3"/>
    <n v="3.0008400000000002"/>
    <n v="2.7278180000000001"/>
    <n v="1.7967569999999999"/>
    <n v="0"/>
  </r>
  <r>
    <x v="9"/>
    <n v="20"/>
    <x v="2"/>
    <n v="4"/>
    <n v="-45"/>
    <n v="0"/>
    <n v="5"/>
    <n v="3"/>
    <n v="2"/>
    <n v="1"/>
    <n v="1"/>
    <n v="0"/>
    <n v="1"/>
    <n v="0"/>
    <n v="0.143415982565894"/>
    <n v="3.1777785038001398"/>
    <n v="68.601397510449203"/>
    <n v="3"/>
    <n v="3"/>
    <n v="2.7723819999999999"/>
    <n v="1.904409"/>
    <n v="2.0481009999999999"/>
    <n v="2.9129679999999998"/>
    <n v="0.2276180000000001"/>
  </r>
  <r>
    <x v="9"/>
    <n v="21"/>
    <x v="0"/>
    <n v="6"/>
    <n v="-35"/>
    <n v="3"/>
    <n v="15"/>
    <n v="3"/>
    <n v="-1"/>
    <n v="1"/>
    <n v="1"/>
    <n v="0"/>
    <n v="-1"/>
    <n v="-1"/>
    <n v="0.13359556792649799"/>
    <n v="3.3306971472577498"/>
    <n v="77.356043686712397"/>
    <n v="0"/>
    <n v="0"/>
    <n v="1.8596350000000001E-2"/>
    <n v="0.39692230000000001"/>
    <n v="1.4275100000000001"/>
    <n v="2.2412190000000001"/>
    <n v="1.8596350000000001E-2"/>
  </r>
  <r>
    <x v="9"/>
    <n v="22"/>
    <x v="0"/>
    <n v="3"/>
    <n v="-35"/>
    <n v="0"/>
    <n v="15"/>
    <n v="-3"/>
    <n v="-2"/>
    <n v="0"/>
    <n v="-2"/>
    <n v="-1"/>
    <n v="0"/>
    <n v="-1"/>
    <n v="0.10963526735864999"/>
    <n v="1.83582429406808"/>
    <n v="76.779909924473102"/>
    <n v="-3"/>
    <n v="-2.9980159999999998"/>
    <n v="-3.222845"/>
    <n v="-3.3479320000000001"/>
    <n v="-3.5036360000000002"/>
    <n v="-3.9353560000000001"/>
    <n v="0.22284499999999996"/>
  </r>
  <r>
    <x v="9"/>
    <n v="23"/>
    <x v="2"/>
    <n v="8"/>
    <n v="-45"/>
    <n v="0"/>
    <n v="5"/>
    <n v="-3"/>
    <n v="2"/>
    <n v="2"/>
    <n v="2"/>
    <n v="1"/>
    <n v="1"/>
    <n v="1"/>
    <n v="0.117583351315125"/>
    <n v="2.9347447990141999"/>
    <n v="67.250168835607397"/>
    <n v="-3"/>
    <n v="-3"/>
    <n v="-2.5027189999999999"/>
    <n v="-1.182307"/>
    <n v="0.26603589999999999"/>
    <n v="1.6794549999999999"/>
    <n v="0.49728100000000008"/>
  </r>
  <r>
    <x v="9"/>
    <n v="24"/>
    <x v="1"/>
    <n v="1"/>
    <n v="-35"/>
    <n v="0"/>
    <n v="15"/>
    <n v="0"/>
    <n v="-2"/>
    <n v="-1"/>
    <n v="1"/>
    <n v="-2"/>
    <n v="-2"/>
    <n v="-2"/>
    <n v="0.18853904705934699"/>
    <n v="7.9864707527561896"/>
    <n v="80.005766918858299"/>
    <n v="0"/>
    <n v="-1.4982219999999999E-2"/>
    <n v="-1.247717"/>
    <n v="-2.4804789999999999"/>
    <n v="-3.033204"/>
    <n v="-3.311623"/>
    <n v="1.247717"/>
  </r>
  <r>
    <x v="10"/>
    <n v="1"/>
    <x v="1"/>
    <n v="1"/>
    <n v="-35"/>
    <n v="0"/>
    <n v="15"/>
    <n v="0"/>
    <n v="-2"/>
    <n v="1"/>
    <n v="2"/>
    <n v="-2"/>
    <n v="-1"/>
    <n v="-2"/>
    <n v="0.24480629198008899"/>
    <n v="12.9807801702033"/>
    <n v="84.746104953667697"/>
    <n v="0"/>
    <n v="-0.1115081"/>
    <n v="-0.90192220000000001"/>
    <n v="-1.675684"/>
    <n v="-2.708596"/>
    <n v="-1.989506"/>
    <n v="0.90192220000000001"/>
  </r>
  <r>
    <x v="10"/>
    <n v="2"/>
    <x v="2"/>
    <n v="8"/>
    <n v="-45"/>
    <n v="0"/>
    <n v="5"/>
    <n v="-3"/>
    <n v="2"/>
    <n v="2"/>
    <n v="2"/>
    <n v="1"/>
    <n v="2"/>
    <n v="1"/>
    <n v="0.17497112126207501"/>
    <n v="7.1016855996691"/>
    <n v="67.818134331437705"/>
    <n v="-3"/>
    <n v="-2.594805"/>
    <n v="-0.73977570000000004"/>
    <n v="-0.21793709999999999"/>
    <n v="0.12819259999999999"/>
    <n v="1.225792"/>
    <n v="2.2602243"/>
  </r>
  <r>
    <x v="10"/>
    <n v="3"/>
    <x v="0"/>
    <n v="3"/>
    <n v="-35"/>
    <n v="0"/>
    <n v="15"/>
    <n v="-3"/>
    <n v="0"/>
    <n v="-1"/>
    <n v="1"/>
    <n v="-1"/>
    <n v="-1"/>
    <n v="0"/>
    <n v="0.14888869003533201"/>
    <n v="4.4569689544834397"/>
    <n v="76.848900994285501"/>
    <n v="-3"/>
    <n v="-2.9626039999999998"/>
    <n v="-1.7487699999999999"/>
    <n v="-2.338794"/>
    <n v="-3.2634259999999999"/>
    <n v="-3.6178170000000001"/>
    <n v="1.2512300000000001"/>
  </r>
  <r>
    <x v="10"/>
    <n v="4"/>
    <x v="0"/>
    <n v="6"/>
    <n v="-35"/>
    <n v="3"/>
    <n v="15"/>
    <n v="3"/>
    <n v="0"/>
    <n v="-2"/>
    <n v="-1"/>
    <n v="-1"/>
    <n v="1"/>
    <n v="0"/>
    <n v="0.15491605134657199"/>
    <n v="4.0412833091355402"/>
    <n v="75.938583087259204"/>
    <n v="0"/>
    <n v="-1.506772E-2"/>
    <n v="-2.5071360000000001E-2"/>
    <n v="0.96920499999999998"/>
    <n v="2.2541479999999998"/>
    <n v="3.2459389999999999"/>
    <n v="2.5071360000000001E-2"/>
  </r>
  <r>
    <x v="10"/>
    <n v="5"/>
    <x v="2"/>
    <n v="4"/>
    <n v="-45"/>
    <n v="0"/>
    <n v="5"/>
    <n v="3"/>
    <n v="-2"/>
    <n v="-1"/>
    <n v="2"/>
    <n v="-2"/>
    <n v="1"/>
    <n v="-2"/>
    <n v="0.237234663537297"/>
    <n v="10.153224513816699"/>
    <n v="70.732885653534495"/>
    <n v="3"/>
    <n v="2.6382989999999999"/>
    <n v="2.4627940000000001"/>
    <n v="0.53040670000000001"/>
    <n v="-0.41463179999999999"/>
    <n v="1.3330960000000001"/>
    <n v="0.53720599999999985"/>
  </r>
  <r>
    <x v="10"/>
    <n v="6"/>
    <x v="1"/>
    <n v="5"/>
    <n v="-35"/>
    <n v="0"/>
    <n v="15"/>
    <n v="0"/>
    <n v="2"/>
    <n v="1"/>
    <n v="2"/>
    <n v="2"/>
    <n v="2"/>
    <n v="2"/>
    <n v="0.13032624537498699"/>
    <n v="3.1553517415029599"/>
    <n v="75.796363960428195"/>
    <n v="3"/>
    <n v="3"/>
    <n v="3"/>
    <n v="2.9418090000000001"/>
    <n v="2.7934040000000002"/>
    <n v="2.7402570000000002"/>
    <n v="0"/>
  </r>
  <r>
    <x v="10"/>
    <n v="7"/>
    <x v="0"/>
    <n v="2"/>
    <n v="-35"/>
    <n v="-3"/>
    <n v="15"/>
    <n v="-3"/>
    <n v="-1"/>
    <n v="-2"/>
    <n v="-1"/>
    <n v="0"/>
    <n v="-1"/>
    <n v="0"/>
    <n v="0.210591047944475"/>
    <n v="11.440715099382199"/>
    <n v="79.597334584115103"/>
    <n v="-3"/>
    <n v="-3"/>
    <n v="-1.7440929999999999"/>
    <n v="-0.63103699999999996"/>
    <n v="0.17033429999999999"/>
    <n v="0.33815790000000001"/>
    <n v="1.2559070000000001"/>
  </r>
  <r>
    <x v="10"/>
    <n v="8"/>
    <x v="2"/>
    <n v="6"/>
    <n v="-35"/>
    <n v="3"/>
    <n v="15"/>
    <n v="3"/>
    <n v="-2"/>
    <n v="0"/>
    <n v="2"/>
    <n v="-1"/>
    <n v="0"/>
    <n v="-1"/>
    <n v="0.208946960587061"/>
    <n v="10.4294251117441"/>
    <n v="78.147329158845594"/>
    <n v="0"/>
    <n v="2.115183E-2"/>
    <n v="0.37624940000000001"/>
    <n v="1.2248479999999999"/>
    <n v="-0.85101059999999995"/>
    <n v="-0.41584850000000001"/>
    <n v="0.37624940000000001"/>
  </r>
  <r>
    <x v="10"/>
    <n v="9"/>
    <x v="1"/>
    <n v="3"/>
    <n v="-35"/>
    <n v="0"/>
    <n v="15"/>
    <n v="-3"/>
    <n v="0"/>
    <n v="-2"/>
    <n v="1"/>
    <n v="-1"/>
    <n v="1"/>
    <n v="0"/>
    <n v="0.127581479880439"/>
    <n v="4.0527279314602902"/>
    <n v="77.872970110957098"/>
    <n v="-3"/>
    <n v="-2.780211"/>
    <n v="-2.894123"/>
    <n v="-3.1756980000000001"/>
    <n v="-3.379413"/>
    <n v="-3.6074600000000001"/>
    <n v="0.105877"/>
  </r>
  <r>
    <x v="10"/>
    <n v="10"/>
    <x v="1"/>
    <n v="8"/>
    <n v="-45"/>
    <n v="0"/>
    <n v="5"/>
    <n v="-3"/>
    <n v="1"/>
    <n v="0"/>
    <n v="1"/>
    <n v="1"/>
    <n v="0"/>
    <n v="1"/>
    <n v="0.15799543304123501"/>
    <n v="3.8465038287999"/>
    <n v="67.529903009951695"/>
    <n v="-3"/>
    <n v="-2.997347"/>
    <n v="-0.98851699999999998"/>
    <n v="0.79066429999999999"/>
    <n v="2.4598209999999998"/>
    <n v="3.6586889999999999"/>
    <n v="2.0114830000000001"/>
  </r>
  <r>
    <x v="10"/>
    <n v="11"/>
    <x v="2"/>
    <n v="1"/>
    <n v="-35"/>
    <n v="0"/>
    <n v="15"/>
    <n v="0"/>
    <n v="1"/>
    <n v="2"/>
    <n v="1"/>
    <n v="1"/>
    <n v="0"/>
    <n v="1"/>
    <n v="0.136726557555606"/>
    <n v="2.6989256995045698"/>
    <n v="76.167247235065204"/>
    <n v="0"/>
    <n v="4.9069990000000001E-2"/>
    <n v="-0.17022999999999999"/>
    <n v="-1.178329"/>
    <n v="-2.1549990000000001"/>
    <n v="-2.8214290000000002"/>
    <n v="0.17022999999999999"/>
  </r>
  <r>
    <x v="10"/>
    <n v="12"/>
    <x v="0"/>
    <n v="7"/>
    <n v="-35"/>
    <n v="0"/>
    <n v="15"/>
    <n v="3"/>
    <n v="-1"/>
    <n v="-1"/>
    <n v="2"/>
    <n v="-1"/>
    <n v="1"/>
    <n v="-1"/>
    <n v="0.13715311591726001"/>
    <n v="2.2076606135429402"/>
    <n v="77.106545110175304"/>
    <n v="3"/>
    <n v="3"/>
    <n v="3.4156430000000002"/>
    <n v="3.4551780000000001"/>
    <n v="3.4040590000000002"/>
    <n v="3.476229"/>
    <n v="0.41564300000000021"/>
  </r>
  <r>
    <x v="10"/>
    <n v="13"/>
    <x v="2"/>
    <n v="3"/>
    <n v="-35"/>
    <n v="0"/>
    <n v="15"/>
    <n v="-3"/>
    <n v="1"/>
    <n v="1"/>
    <n v="2"/>
    <n v="1"/>
    <n v="1"/>
    <n v="1"/>
    <n v="0.161007200284355"/>
    <n v="2.6416725105391499"/>
    <n v="75.431932715344402"/>
    <n v="-3"/>
    <n v="-3"/>
    <n v="-2.9234230000000001"/>
    <n v="-3.5050750000000002"/>
    <n v="-3.7776529999999999"/>
    <n v="-4.0040709999999997"/>
    <n v="7.6576999999999895E-2"/>
  </r>
  <r>
    <x v="10"/>
    <n v="14"/>
    <x v="2"/>
    <n v="5"/>
    <n v="-35"/>
    <n v="0"/>
    <n v="15"/>
    <n v="0"/>
    <n v="-2"/>
    <n v="1"/>
    <n v="2"/>
    <n v="-2"/>
    <n v="-2"/>
    <n v="-2"/>
    <n v="0.18995429984571399"/>
    <n v="6.3797789244090701"/>
    <n v="78.568591198028798"/>
    <n v="3"/>
    <n v="2.933084"/>
    <n v="2.9757169999999999"/>
    <n v="2.8545539999999998"/>
    <n v="1.173786"/>
    <n v="0.16090189999999999"/>
    <n v="2.4283000000000055E-2"/>
  </r>
  <r>
    <x v="10"/>
    <n v="15"/>
    <x v="0"/>
    <n v="4"/>
    <n v="-45"/>
    <n v="0"/>
    <n v="5"/>
    <n v="3"/>
    <n v="-1"/>
    <n v="0"/>
    <n v="2"/>
    <n v="-1"/>
    <n v="0"/>
    <n v="0"/>
    <n v="0.11708253524634001"/>
    <n v="2.4579017872819602"/>
    <n v="67.2418807803259"/>
    <n v="3"/>
    <n v="3"/>
    <n v="2.966987"/>
    <n v="2.9153359999999999"/>
    <n v="2.9017089999999999"/>
    <n v="3.1326870000000002"/>
    <n v="3.3012999999999959E-2"/>
  </r>
  <r>
    <x v="10"/>
    <n v="16"/>
    <x v="1"/>
    <n v="7"/>
    <n v="-35"/>
    <n v="0"/>
    <n v="15"/>
    <n v="3"/>
    <n v="1"/>
    <n v="1"/>
    <n v="2"/>
    <n v="1"/>
    <n v="2"/>
    <n v="2"/>
    <n v="0.14077165528352301"/>
    <n v="4.3943365350713304"/>
    <n v="76.842601542439397"/>
    <n v="3"/>
    <n v="3"/>
    <n v="3.2256990000000001"/>
    <n v="3.2378749999999998"/>
    <n v="3.2748719999999998"/>
    <n v="3.2710699999999999"/>
    <n v="0.22569900000000009"/>
  </r>
  <r>
    <x v="10"/>
    <n v="17"/>
    <x v="2"/>
    <n v="2"/>
    <n v="-35"/>
    <n v="-3"/>
    <n v="15"/>
    <n v="-3"/>
    <n v="2"/>
    <n v="2"/>
    <n v="2"/>
    <n v="1"/>
    <n v="1"/>
    <n v="1"/>
    <n v="0.121694458040196"/>
    <n v="5.9210354697051502"/>
    <n v="78.092301919619302"/>
    <n v="-3"/>
    <n v="-2.9887060000000001"/>
    <n v="-2.8581859999999999"/>
    <n v="-0.99794439999999995"/>
    <n v="0.21485360000000001"/>
    <n v="0.46959679999999998"/>
    <n v="0.14181400000000011"/>
  </r>
  <r>
    <x v="10"/>
    <n v="18"/>
    <x v="1"/>
    <n v="6"/>
    <n v="-35"/>
    <n v="3"/>
    <n v="15"/>
    <n v="3"/>
    <n v="2"/>
    <n v="2"/>
    <n v="2"/>
    <n v="2"/>
    <n v="2"/>
    <n v="2"/>
    <n v="0.117771676625335"/>
    <n v="2.12836201331015"/>
    <n v="77.097469941724498"/>
    <n v="0"/>
    <n v="1.7342019999999999E-6"/>
    <n v="-8.6711459999999994E-3"/>
    <n v="0.16338749999999999"/>
    <n v="1.403219"/>
    <n v="2.667646"/>
    <n v="8.6711459999999994E-3"/>
  </r>
  <r>
    <x v="10"/>
    <n v="19"/>
    <x v="0"/>
    <n v="1"/>
    <n v="-35"/>
    <n v="0"/>
    <n v="15"/>
    <n v="0"/>
    <n v="-1"/>
    <n v="-2"/>
    <n v="1"/>
    <n v="-2"/>
    <n v="-1"/>
    <n v="0"/>
    <n v="0.121339533554542"/>
    <n v="3.559691092464"/>
    <n v="77.122418618349201"/>
    <n v="0"/>
    <n v="0"/>
    <n v="-4.2211850000000002E-2"/>
    <n v="-0.2750958"/>
    <n v="-1.5383279999999999"/>
    <n v="-2.3245100000000001"/>
    <n v="4.2211850000000002E-2"/>
  </r>
  <r>
    <x v="10"/>
    <n v="20"/>
    <x v="0"/>
    <n v="8"/>
    <n v="-45"/>
    <n v="0"/>
    <n v="5"/>
    <n v="-3"/>
    <n v="1"/>
    <n v="1"/>
    <n v="1"/>
    <n v="0"/>
    <n v="1"/>
    <n v="1"/>
    <n v="0.157707229523051"/>
    <n v="2.4602317356734198"/>
    <n v="66.8100403289057"/>
    <n v="-3"/>
    <n v="-2.8208030000000002"/>
    <n v="-1.3443210000000001"/>
    <n v="-1.4194180000000001E-2"/>
    <n v="1.0891120000000001"/>
    <n v="2.1261990000000002"/>
    <n v="1.6556789999999999"/>
  </r>
  <r>
    <x v="10"/>
    <n v="21"/>
    <x v="1"/>
    <n v="2"/>
    <n v="-35"/>
    <n v="-3"/>
    <n v="15"/>
    <n v="-3"/>
    <n v="-2"/>
    <n v="1"/>
    <n v="-2"/>
    <n v="0"/>
    <n v="1"/>
    <n v="-1"/>
    <n v="0.13085571945673199"/>
    <n v="3.4147603585473298"/>
    <n v="77.6375653774776"/>
    <n v="-3"/>
    <n v="-2.9959929999999999"/>
    <n v="-1.881777"/>
    <n v="-0.75197020000000003"/>
    <n v="-1.6298179999999999E-2"/>
    <n v="0.45044990000000001"/>
    <n v="1.118223"/>
  </r>
  <r>
    <x v="10"/>
    <n v="22"/>
    <x v="2"/>
    <n v="7"/>
    <n v="-35"/>
    <n v="0"/>
    <n v="15"/>
    <n v="3"/>
    <n v="1"/>
    <n v="1"/>
    <n v="1"/>
    <n v="1"/>
    <n v="1"/>
    <n v="1"/>
    <n v="0.119611944427574"/>
    <n v="1.8006312487098299"/>
    <n v="76.938859069029704"/>
    <n v="3"/>
    <n v="2.9586960000000002"/>
    <n v="3.228227"/>
    <n v="3.907095"/>
    <n v="3.9903789999999999"/>
    <n v="4.149203"/>
    <n v="0.22822699999999996"/>
  </r>
  <r>
    <x v="10"/>
    <n v="23"/>
    <x v="1"/>
    <n v="4"/>
    <n v="-45"/>
    <n v="0"/>
    <n v="5"/>
    <n v="3"/>
    <n v="1"/>
    <n v="1"/>
    <n v="1"/>
    <n v="1"/>
    <n v="2"/>
    <n v="1"/>
    <n v="0.209908195106359"/>
    <n v="7.2907719059092102"/>
    <n v="68.628486036405704"/>
    <n v="3"/>
    <n v="2.8828369999999999"/>
    <n v="1.272464"/>
    <n v="-5.901079E-2"/>
    <n v="-1.5505979999999999"/>
    <n v="-3.2109350000000001"/>
    <n v="1.727536"/>
  </r>
  <r>
    <x v="10"/>
    <n v="24"/>
    <x v="0"/>
    <n v="5"/>
    <n v="-35"/>
    <n v="0"/>
    <n v="15"/>
    <n v="0"/>
    <n v="0"/>
    <n v="1"/>
    <n v="1"/>
    <n v="0"/>
    <n v="1"/>
    <n v="1"/>
    <n v="0.20430152525379999"/>
    <n v="6.3967644597721396"/>
    <n v="76.9148268542111"/>
    <n v="3"/>
    <n v="2.9956499999999999"/>
    <n v="2.739662"/>
    <n v="2.8166220000000002"/>
    <n v="2.0301010000000002"/>
    <n v="0.59518899999999997"/>
    <n v="0.26033799999999996"/>
  </r>
  <r>
    <x v="11"/>
    <n v="1"/>
    <x v="0"/>
    <n v="5"/>
    <n v="-35"/>
    <n v="0"/>
    <n v="15"/>
    <n v="0"/>
    <n v="-2"/>
    <n v="2"/>
    <n v="-2"/>
    <n v="2"/>
    <n v="2"/>
    <n v="1"/>
    <n v="0.111981164969748"/>
    <n v="2.1584151751716498"/>
    <n v="77.795287367441105"/>
    <n v="3"/>
    <n v="3"/>
    <n v="2.9920979999999999"/>
    <n v="2.8775019999999998"/>
    <n v="2.4533260000000001"/>
    <n v="1.2042010000000001"/>
    <n v="7.9020000000000756E-3"/>
  </r>
  <r>
    <x v="11"/>
    <n v="2"/>
    <x v="1"/>
    <n v="4"/>
    <n v="-45"/>
    <n v="0"/>
    <n v="5"/>
    <n v="3"/>
    <n v="2"/>
    <n v="1"/>
    <n v="1"/>
    <n v="1"/>
    <n v="1"/>
    <n v="1"/>
    <n v="0.166848262368052"/>
    <n v="3.1466972823745301"/>
    <n v="66.827515965617394"/>
    <n v="3"/>
    <n v="3"/>
    <n v="2.9716879999999999"/>
    <n v="3.0982349999999999"/>
    <n v="3.1068359999999999"/>
    <n v="3.251798"/>
    <n v="2.8312000000000115E-2"/>
  </r>
  <r>
    <x v="11"/>
    <n v="3"/>
    <x v="2"/>
    <n v="7"/>
    <n v="-35"/>
    <n v="0"/>
    <n v="15"/>
    <n v="3"/>
    <n v="2"/>
    <n v="2"/>
    <n v="2"/>
    <n v="2"/>
    <n v="2"/>
    <n v="2"/>
    <n v="0.126100251836643"/>
    <n v="1.5699773049392001"/>
    <n v="77.899613641224207"/>
    <n v="3"/>
    <n v="3"/>
    <n v="2.9177070000000001"/>
    <n v="2.7685819999999999"/>
    <n v="2.6239759999999999"/>
    <n v="2.6548289999999999"/>
    <n v="8.229299999999995E-2"/>
  </r>
  <r>
    <x v="11"/>
    <n v="4"/>
    <x v="1"/>
    <n v="2"/>
    <n v="-35"/>
    <n v="-3"/>
    <n v="15"/>
    <n v="-3"/>
    <n v="1"/>
    <n v="-1"/>
    <n v="1"/>
    <n v="-2"/>
    <n v="-2"/>
    <n v="-2"/>
    <n v="0.23986269069157401"/>
    <n v="9.0012455021200299"/>
    <n v="77.672527785203201"/>
    <n v="-3"/>
    <n v="-2.9999099999999999"/>
    <n v="-3.0896330000000001"/>
    <n v="-2.2020379999999999"/>
    <n v="-0.78123310000000001"/>
    <n v="0.31791249999999999"/>
    <n v="8.9633000000000074E-2"/>
  </r>
  <r>
    <x v="11"/>
    <n v="5"/>
    <x v="0"/>
    <n v="8"/>
    <n v="-45"/>
    <n v="0"/>
    <n v="5"/>
    <n v="-3"/>
    <n v="1"/>
    <n v="1"/>
    <n v="1"/>
    <n v="-1"/>
    <n v="-1"/>
    <n v="0"/>
    <n v="0.166085114753559"/>
    <n v="4.0978874677666699"/>
    <n v="67.938782038201396"/>
    <n v="-3"/>
    <n v="-3"/>
    <n v="-3.5637050000000001"/>
    <n v="-3.335388"/>
    <n v="-2.546106"/>
    <n v="-0.62070139999999996"/>
    <n v="0.56370500000000012"/>
  </r>
  <r>
    <x v="11"/>
    <n v="6"/>
    <x v="0"/>
    <n v="1"/>
    <n v="-35"/>
    <n v="0"/>
    <n v="15"/>
    <n v="0"/>
    <n v="2"/>
    <n v="2"/>
    <n v="2"/>
    <n v="2"/>
    <n v="2"/>
    <n v="2"/>
    <n v="0.11942545195104699"/>
    <n v="2.2403735977842998"/>
    <n v="78.500384100220401"/>
    <n v="0"/>
    <n v="0"/>
    <n v="-0.14295359999999999"/>
    <n v="-0.32817849999999998"/>
    <n v="-0.43062650000000002"/>
    <n v="0.33682879999999998"/>
    <n v="0.14295359999999999"/>
  </r>
  <r>
    <x v="11"/>
    <n v="7"/>
    <x v="1"/>
    <n v="6"/>
    <n v="-35"/>
    <n v="3"/>
    <n v="15"/>
    <n v="3"/>
    <n v="-1"/>
    <n v="0"/>
    <n v="0"/>
    <n v="-2"/>
    <n v="-2"/>
    <n v="-2"/>
    <n v="0.13534259938235199"/>
    <n v="3.73196198173954"/>
    <n v="78.752666554267506"/>
    <n v="0"/>
    <n v="0"/>
    <n v="-0.29673139999999998"/>
    <n v="-0.50903449999999995"/>
    <n v="-0.1485631"/>
    <n v="0.57288249999999996"/>
    <n v="0.29673139999999998"/>
  </r>
  <r>
    <x v="11"/>
    <n v="8"/>
    <x v="2"/>
    <n v="2"/>
    <n v="-35"/>
    <n v="-3"/>
    <n v="15"/>
    <n v="-3"/>
    <n v="0"/>
    <n v="0"/>
    <n v="-1"/>
    <n v="-2"/>
    <n v="-2"/>
    <n v="-2"/>
    <n v="0.114064957857802"/>
    <n v="2.3068886332607699"/>
    <n v="77.118309997443404"/>
    <n v="-3"/>
    <n v="-3"/>
    <n v="-3.2011449999999999"/>
    <n v="-2.663456"/>
    <n v="-1.466793"/>
    <n v="-1.5926670000000001"/>
    <n v="0.20114499999999991"/>
  </r>
  <r>
    <x v="11"/>
    <n v="9"/>
    <x v="1"/>
    <n v="7"/>
    <n v="-35"/>
    <n v="0"/>
    <n v="15"/>
    <n v="3"/>
    <n v="2"/>
    <n v="2"/>
    <n v="1"/>
    <n v="1"/>
    <n v="1"/>
    <n v="1"/>
    <n v="0.113420933431699"/>
    <n v="2.2940446985824101"/>
    <n v="78.238636762832797"/>
    <n v="3"/>
    <n v="3"/>
    <n v="2.9151950000000002"/>
    <n v="2.8123049999999998"/>
    <n v="3.0773489999999999"/>
    <n v="3.7053069999999999"/>
    <n v="8.4804999999999797E-2"/>
  </r>
  <r>
    <x v="11"/>
    <n v="10"/>
    <x v="0"/>
    <n v="4"/>
    <n v="-45"/>
    <n v="0"/>
    <n v="5"/>
    <n v="3"/>
    <n v="1"/>
    <n v="1"/>
    <n v="1"/>
    <n v="1"/>
    <n v="1"/>
    <n v="1"/>
    <n v="0.120420772401743"/>
    <n v="3.7441193161730602"/>
    <n v="69.902570855157293"/>
    <n v="3"/>
    <n v="3"/>
    <n v="1.990974"/>
    <n v="1.4796899999999999"/>
    <n v="1.3589629999999999"/>
    <n v="1.970024"/>
    <n v="1.009026"/>
  </r>
  <r>
    <x v="11"/>
    <n v="11"/>
    <x v="2"/>
    <n v="5"/>
    <n v="-35"/>
    <n v="0"/>
    <n v="15"/>
    <n v="0"/>
    <n v="1"/>
    <n v="1"/>
    <n v="1"/>
    <n v="0"/>
    <n v="-2"/>
    <n v="-2"/>
    <n v="0.13318268161992899"/>
    <n v="3.6809486475891999"/>
    <n v="76.261592167768896"/>
    <n v="3"/>
    <n v="2.9477899999999999"/>
    <n v="2.3934790000000001"/>
    <n v="1.24028"/>
    <n v="2.032327"/>
    <n v="2.5007039999999998"/>
    <n v="0.60652099999999987"/>
  </r>
  <r>
    <x v="11"/>
    <n v="12"/>
    <x v="2"/>
    <n v="3"/>
    <n v="-35"/>
    <n v="0"/>
    <n v="15"/>
    <n v="-3"/>
    <n v="2"/>
    <n v="2"/>
    <n v="2"/>
    <n v="2"/>
    <n v="2"/>
    <n v="2"/>
    <n v="0.103894749668345"/>
    <n v="1.64072750104993"/>
    <n v="77.858009290943897"/>
    <n v="-3"/>
    <n v="-3"/>
    <n v="-3.2662010000000001"/>
    <n v="-3.192091"/>
    <n v="-3.2980360000000002"/>
    <n v="-3.3749099999999999"/>
    <n v="0.26620100000000013"/>
  </r>
  <r>
    <x v="11"/>
    <n v="13"/>
    <x v="0"/>
    <n v="7"/>
    <n v="-35"/>
    <n v="0"/>
    <n v="15"/>
    <n v="3"/>
    <n v="1"/>
    <n v="1"/>
    <n v="1"/>
    <n v="2"/>
    <n v="1"/>
    <n v="1"/>
    <n v="0.11990539080504301"/>
    <n v="2.3741229703676199"/>
    <n v="76.800225731687107"/>
    <n v="3"/>
    <n v="3"/>
    <n v="2.8235570000000001"/>
    <n v="2.8087469999999999"/>
    <n v="2.9840089999999999"/>
    <n v="3.5066830000000002"/>
    <n v="0.17644299999999991"/>
  </r>
  <r>
    <x v="11"/>
    <n v="14"/>
    <x v="2"/>
    <n v="1"/>
    <n v="-35"/>
    <n v="0"/>
    <n v="15"/>
    <n v="0"/>
    <n v="0"/>
    <n v="-1"/>
    <n v="1"/>
    <n v="-2"/>
    <n v="-2"/>
    <n v="-2"/>
    <n v="0.118679987234614"/>
    <n v="2.2805194563784199"/>
    <n v="77.334392997376597"/>
    <n v="0"/>
    <n v="1.12016E-3"/>
    <n v="0.37289349999999999"/>
    <n v="0.90810190000000002"/>
    <n v="-0.51011640000000003"/>
    <n v="-1.1920809999999999"/>
    <n v="0.37289349999999999"/>
  </r>
  <r>
    <x v="11"/>
    <n v="15"/>
    <x v="1"/>
    <n v="8"/>
    <n v="-45"/>
    <n v="0"/>
    <n v="5"/>
    <n v="-3"/>
    <n v="-2"/>
    <n v="-2"/>
    <n v="-1"/>
    <n v="-2"/>
    <n v="-2"/>
    <n v="-2"/>
    <n v="0.26200241064524099"/>
    <n v="9.5797053451978602"/>
    <n v="34.672273167438298"/>
    <n v="-3"/>
    <n v="-2.8559260000000002"/>
    <n v="-2.6961919999999999"/>
    <n v="-2.7402880000000001"/>
    <n v="-2.999374"/>
    <n v="-2.4008500000000002"/>
    <n v="0.30380800000000008"/>
  </r>
  <r>
    <x v="11"/>
    <n v="16"/>
    <x v="1"/>
    <n v="3"/>
    <n v="-35"/>
    <n v="0"/>
    <n v="15"/>
    <n v="-3"/>
    <n v="1"/>
    <n v="1"/>
    <n v="1"/>
    <n v="1"/>
    <n v="1"/>
    <n v="1"/>
    <n v="0.103456209184249"/>
    <n v="1.92940337779961"/>
    <n v="78.294533800403499"/>
    <n v="-3"/>
    <n v="-2.832452"/>
    <n v="-2.5780400000000001"/>
    <n v="-2.4964680000000001"/>
    <n v="-2.5473880000000002"/>
    <n v="-2.7902300000000002"/>
    <n v="0.42195999999999989"/>
  </r>
  <r>
    <x v="11"/>
    <n v="17"/>
    <x v="2"/>
    <n v="6"/>
    <n v="-35"/>
    <n v="3"/>
    <n v="15"/>
    <n v="3"/>
    <n v="2"/>
    <n v="2"/>
    <n v="2"/>
    <n v="2"/>
    <n v="2"/>
    <n v="2"/>
    <n v="4.5594987328166699E-2"/>
    <n v="1.70173209140919"/>
    <n v="78.874658972783394"/>
    <n v="0"/>
    <n v="3.870568E-3"/>
    <n v="-0.45859670000000002"/>
    <n v="-1.4677009999999999"/>
    <n v="-2.296217"/>
    <n v="-2.7264750000000002"/>
    <n v="0.45859670000000002"/>
  </r>
  <r>
    <x v="11"/>
    <n v="18"/>
    <x v="0"/>
    <n v="2"/>
    <n v="-35"/>
    <n v="-3"/>
    <n v="15"/>
    <n v="-3"/>
    <n v="-2"/>
    <n v="2"/>
    <n v="-2"/>
    <n v="2"/>
    <n v="2"/>
    <n v="1"/>
    <n v="0.10482616130023401"/>
    <n v="1.8308427615640599"/>
    <n v="78.372306389855197"/>
    <n v="-3"/>
    <n v="-3"/>
    <n v="-2.5587179999999998"/>
    <n v="-1.3574010000000001"/>
    <n v="7.9457420000000001E-2"/>
    <n v="1.572808"/>
    <n v="0.44128200000000017"/>
  </r>
  <r>
    <x v="11"/>
    <n v="19"/>
    <x v="1"/>
    <n v="5"/>
    <n v="-35"/>
    <n v="0"/>
    <n v="15"/>
    <n v="0"/>
    <n v="-2"/>
    <n v="1"/>
    <n v="-2"/>
    <n v="2"/>
    <n v="1"/>
    <n v="1"/>
    <n v="0.110268371367663"/>
    <n v="2.3537350711541301"/>
    <n v="77.829953226336301"/>
    <n v="3"/>
    <n v="3.0091570000000001"/>
    <n v="2.5350160000000002"/>
    <n v="1.382166"/>
    <n v="-1.4633139999999999E-2"/>
    <n v="-1.2570760000000001"/>
    <n v="0.46498399999999984"/>
  </r>
  <r>
    <x v="11"/>
    <n v="20"/>
    <x v="2"/>
    <n v="4"/>
    <n v="-45"/>
    <n v="0"/>
    <n v="5"/>
    <n v="3"/>
    <n v="1"/>
    <n v="1"/>
    <n v="1"/>
    <n v="1"/>
    <n v="1"/>
    <n v="1"/>
    <n v="0.162023083006514"/>
    <n v="2.7257001868589601"/>
    <n v="67.843805960676804"/>
    <n v="3"/>
    <n v="3.107186"/>
    <n v="2.8129729999999999"/>
    <n v="2.4336359999999999"/>
    <n v="2.676329"/>
    <n v="2.9107620000000001"/>
    <n v="0.18702700000000005"/>
  </r>
  <r>
    <x v="11"/>
    <n v="21"/>
    <x v="0"/>
    <n v="6"/>
    <n v="-35"/>
    <n v="3"/>
    <n v="15"/>
    <n v="3"/>
    <n v="0"/>
    <n v="1"/>
    <n v="0"/>
    <n v="1"/>
    <n v="1"/>
    <n v="1"/>
    <n v="0.13861392222899099"/>
    <n v="2.5781999413015"/>
    <n v="77.003850858586304"/>
    <n v="0"/>
    <n v="0"/>
    <n v="-0.3710386"/>
    <n v="-0.33784049999999999"/>
    <n v="0.53627309999999995"/>
    <n v="1.8414520000000001"/>
    <n v="0.3710386"/>
  </r>
  <r>
    <x v="11"/>
    <n v="22"/>
    <x v="0"/>
    <n v="3"/>
    <n v="-35"/>
    <n v="0"/>
    <n v="15"/>
    <n v="-3"/>
    <n v="0"/>
    <n v="1"/>
    <n v="0"/>
    <n v="1"/>
    <n v="1"/>
    <n v="1"/>
    <n v="0.12794650845607899"/>
    <n v="3.6053131443745601"/>
    <n v="76.991384748350896"/>
    <n v="-3"/>
    <n v="-3"/>
    <n v="-3.3161019999999999"/>
    <n v="-3.5343819999999999"/>
    <n v="-3.7052520000000002"/>
    <n v="-3.806902"/>
    <n v="0.31610199999999988"/>
  </r>
  <r>
    <x v="11"/>
    <n v="23"/>
    <x v="2"/>
    <n v="8"/>
    <n v="-45"/>
    <n v="0"/>
    <n v="5"/>
    <n v="-3"/>
    <n v="2"/>
    <n v="2"/>
    <n v="2"/>
    <n v="2"/>
    <n v="2"/>
    <n v="2"/>
    <n v="0.12787948729863499"/>
    <n v="2.1180929078358401"/>
    <n v="68.857877755593805"/>
    <n v="-3"/>
    <n v="-2.9981789999999999"/>
    <n v="-3.1291250000000002"/>
    <n v="-3.3015400000000001"/>
    <n v="-3.5094750000000001"/>
    <n v="-3.7656589999999999"/>
    <n v="0.12912500000000016"/>
  </r>
  <r>
    <x v="11"/>
    <n v="24"/>
    <x v="1"/>
    <n v="1"/>
    <n v="-35"/>
    <n v="0"/>
    <n v="15"/>
    <n v="0"/>
    <n v="-2"/>
    <n v="-2"/>
    <n v="1"/>
    <n v="-2"/>
    <n v="-2"/>
    <n v="-2"/>
    <n v="0.13250786718334501"/>
    <n v="3.5356951780096302"/>
    <n v="79.400151480234797"/>
    <n v="0"/>
    <n v="1.8601949999999999E-2"/>
    <n v="-0.16938239999999999"/>
    <n v="-0.1878061"/>
    <n v="-8.5869680000000004E-2"/>
    <n v="-0.62249089999999996"/>
    <n v="0.16938239999999999"/>
  </r>
  <r>
    <x v="12"/>
    <n v="1"/>
    <x v="1"/>
    <n v="1"/>
    <n v="-35"/>
    <n v="0"/>
    <n v="15"/>
    <n v="0"/>
    <n v="-2"/>
    <n v="1"/>
    <n v="1"/>
    <n v="-1"/>
    <n v="0"/>
    <n v="-2"/>
    <n v="0.20543917139006501"/>
    <n v="5.4788904716855198"/>
    <n v="76.230709714666702"/>
    <n v="0"/>
    <n v="-4.7372810000000001E-2"/>
    <n v="-0.37789159999999999"/>
    <n v="-0.54593349999999996"/>
    <n v="-1.1774340000000001"/>
    <n v="-1.0407329999999999"/>
    <n v="0.37789159999999999"/>
  </r>
  <r>
    <x v="12"/>
    <n v="2"/>
    <x v="2"/>
    <n v="8"/>
    <n v="-45"/>
    <n v="0"/>
    <n v="5"/>
    <n v="-3"/>
    <n v="2"/>
    <n v="1"/>
    <n v="1"/>
    <n v="2"/>
    <n v="2"/>
    <n v="2"/>
    <n v="0.210313693968052"/>
    <n v="6.6583905493493099"/>
    <n v="66.028302445130294"/>
    <n v="-3"/>
    <n v="-2.956585"/>
    <n v="-2.1809180000000001"/>
    <n v="-1.497085"/>
    <n v="-2.5166060000000001E-2"/>
    <n v="1.1677280000000001"/>
    <n v="0.81908199999999987"/>
  </r>
  <r>
    <x v="12"/>
    <n v="3"/>
    <x v="0"/>
    <n v="3"/>
    <n v="-35"/>
    <n v="0"/>
    <n v="15"/>
    <n v="-3"/>
    <n v="-1"/>
    <n v="-1"/>
    <n v="-2"/>
    <n v="-1"/>
    <n v="-1"/>
    <n v="-2"/>
    <n v="0.196405874561288"/>
    <n v="6.2274882458853202"/>
    <n v="38.999334597041901"/>
    <n v="-3"/>
    <n v="-2.627748"/>
    <n v="-2.2997969999999999"/>
    <n v="-2.6594859999999998"/>
    <n v="-3.0517099999999999"/>
    <n v="-3.4155669999999998"/>
    <n v="0.70020300000000013"/>
  </r>
  <r>
    <x v="12"/>
    <n v="4"/>
    <x v="0"/>
    <n v="6"/>
    <n v="-35"/>
    <n v="3"/>
    <n v="15"/>
    <n v="3"/>
    <n v="-2"/>
    <n v="-1"/>
    <n v="-1"/>
    <n v="-1"/>
    <n v="-1"/>
    <n v="-1"/>
    <n v="0.17885203791599399"/>
    <n v="3.2951302592393001"/>
    <n v="75.782379470112105"/>
    <n v="0"/>
    <n v="7.5578870000000001E-3"/>
    <n v="-9.9242620000000004E-2"/>
    <n v="0.99437779999999998"/>
    <n v="2.3392789999999999"/>
    <n v="3.5107159999999999"/>
    <n v="9.9242620000000004E-2"/>
  </r>
  <r>
    <x v="12"/>
    <n v="5"/>
    <x v="2"/>
    <n v="4"/>
    <n v="-45"/>
    <n v="0"/>
    <n v="5"/>
    <n v="3"/>
    <n v="-2"/>
    <n v="0"/>
    <n v="1"/>
    <n v="-1"/>
    <n v="-2"/>
    <n v="-2"/>
    <n v="0.20873386420241599"/>
    <n v="8.2586132302886703"/>
    <n v="66.492350084494007"/>
    <n v="3"/>
    <n v="3"/>
    <n v="2.5112890000000001"/>
    <n v="1.761555"/>
    <n v="0.25241069999999999"/>
    <n v="0.53688880000000005"/>
    <n v="0.4887109999999999"/>
  </r>
  <r>
    <x v="12"/>
    <n v="6"/>
    <x v="1"/>
    <n v="5"/>
    <n v="-35"/>
    <n v="0"/>
    <n v="15"/>
    <n v="0"/>
    <n v="-1"/>
    <n v="-1"/>
    <n v="-2"/>
    <n v="-2"/>
    <n v="-1"/>
    <n v="-1"/>
    <n v="0.17871629925042401"/>
    <n v="4.95418013224121"/>
    <n v="76.285229096363295"/>
    <n v="3"/>
    <n v="2.7904339999999999"/>
    <n v="1.605138"/>
    <n v="0.14426310000000001"/>
    <n v="-0.56494929999999999"/>
    <n v="-1.268489"/>
    <n v="1.394862"/>
  </r>
  <r>
    <x v="12"/>
    <n v="7"/>
    <x v="0"/>
    <n v="2"/>
    <n v="-35"/>
    <n v="-3"/>
    <n v="15"/>
    <n v="-3"/>
    <n v="-1"/>
    <n v="-1"/>
    <n v="-1"/>
    <n v="-1"/>
    <n v="-2"/>
    <n v="-1"/>
    <n v="0.18860425939816899"/>
    <n v="6.2596829285808404"/>
    <n v="77.000843447178497"/>
    <n v="-3"/>
    <n v="-3"/>
    <n v="-3.3933840000000002"/>
    <n v="-3.348735"/>
    <n v="-3.326721"/>
    <n v="-3.3661850000000002"/>
    <n v="0.39338400000000018"/>
  </r>
  <r>
    <x v="12"/>
    <n v="8"/>
    <x v="2"/>
    <n v="6"/>
    <n v="-35"/>
    <n v="3"/>
    <n v="15"/>
    <n v="3"/>
    <n v="2"/>
    <n v="1"/>
    <n v="1"/>
    <n v="2"/>
    <n v="2"/>
    <n v="2"/>
    <n v="0.17592934396366"/>
    <n v="3.3080891174612099"/>
    <n v="75.386843218655898"/>
    <n v="0"/>
    <n v="0"/>
    <n v="3.8089600000000001E-2"/>
    <n v="0.22360160000000001"/>
    <n v="1.3878870000000001"/>
    <n v="2.5279579999999999"/>
    <n v="3.8089600000000001E-2"/>
  </r>
  <r>
    <x v="12"/>
    <n v="9"/>
    <x v="1"/>
    <n v="3"/>
    <n v="-35"/>
    <n v="0"/>
    <n v="15"/>
    <n v="-3"/>
    <n v="2"/>
    <n v="2"/>
    <n v="2"/>
    <n v="2"/>
    <n v="2"/>
    <n v="2"/>
    <n v="0.115591928111813"/>
    <n v="2.3546470272545599"/>
    <n v="75.716010993081795"/>
    <n v="-3"/>
    <n v="-3"/>
    <n v="-3.1137510000000002"/>
    <n v="-3.4293239999999998"/>
    <n v="-3.6982889999999999"/>
    <n v="-3.9230900000000002"/>
    <n v="0.11375100000000016"/>
  </r>
  <r>
    <x v="12"/>
    <n v="10"/>
    <x v="1"/>
    <n v="8"/>
    <n v="-45"/>
    <n v="0"/>
    <n v="5"/>
    <n v="-3"/>
    <n v="2"/>
    <n v="2"/>
    <n v="2"/>
    <n v="2"/>
    <n v="2"/>
    <n v="2"/>
    <n v="0.17270036722509099"/>
    <n v="2.9833349727841898"/>
    <n v="65.654513380753102"/>
    <n v="-3"/>
    <n v="-3"/>
    <n v="-2.7542979999999999"/>
    <n v="-2.4424649999999999"/>
    <n v="-1.2928409999999999"/>
    <n v="-0.13109080000000001"/>
    <n v="0.24570200000000009"/>
  </r>
  <r>
    <x v="12"/>
    <n v="11"/>
    <x v="2"/>
    <n v="1"/>
    <n v="-35"/>
    <n v="0"/>
    <n v="15"/>
    <n v="0"/>
    <n v="2"/>
    <n v="2"/>
    <n v="2"/>
    <n v="2"/>
    <n v="2"/>
    <n v="2"/>
    <n v="0.167280352681901"/>
    <n v="3.55939739718157"/>
    <n v="75.661049480321097"/>
    <n v="0"/>
    <n v="0"/>
    <n v="-0.14575109999999999"/>
    <n v="-0.56219989999999997"/>
    <n v="-1.4320600000000001"/>
    <n v="-2.210696"/>
    <n v="0.14575109999999999"/>
  </r>
  <r>
    <x v="12"/>
    <n v="12"/>
    <x v="0"/>
    <n v="7"/>
    <n v="-35"/>
    <n v="0"/>
    <n v="15"/>
    <n v="3"/>
    <n v="-1"/>
    <n v="-1"/>
    <n v="-2"/>
    <n v="-1"/>
    <n v="-2"/>
    <n v="-1"/>
    <n v="0.17809691043609699"/>
    <n v="12.8311045452597"/>
    <n v="82.965747970425497"/>
    <n v="3"/>
    <n v="3"/>
    <n v="2.9650439999999998"/>
    <n v="3.0009420000000002"/>
    <n v="3.0661429999999998"/>
    <n v="3.2184460000000001"/>
    <n v="3.4956000000000209E-2"/>
  </r>
  <r>
    <x v="12"/>
    <n v="13"/>
    <x v="2"/>
    <n v="3"/>
    <n v="-35"/>
    <n v="0"/>
    <n v="15"/>
    <n v="-3"/>
    <n v="2"/>
    <n v="2"/>
    <n v="2"/>
    <n v="2"/>
    <n v="2"/>
    <n v="2"/>
    <n v="0.153313268620698"/>
    <n v="3.0885651363863502"/>
    <n v="75.032233514412098"/>
    <n v="-3"/>
    <n v="-2.9969809999999999"/>
    <n v="-3.0075690000000002"/>
    <n v="-3.0523880000000001"/>
    <n v="-3.2065199999999998"/>
    <n v="-3.625883"/>
    <n v="7.5690000000001589E-3"/>
  </r>
  <r>
    <x v="12"/>
    <n v="14"/>
    <x v="2"/>
    <n v="5"/>
    <n v="-35"/>
    <n v="0"/>
    <n v="15"/>
    <n v="0"/>
    <n v="2"/>
    <n v="2"/>
    <n v="2"/>
    <n v="2"/>
    <n v="2"/>
    <n v="2"/>
    <n v="0.149103949155628"/>
    <n v="4.3886656158417701"/>
    <n v="76.315510334910599"/>
    <n v="3"/>
    <n v="3"/>
    <n v="2.785444"/>
    <n v="2.5914250000000001"/>
    <n v="2.9885380000000001"/>
    <n v="2.863334"/>
    <n v="0.21455599999999997"/>
  </r>
  <r>
    <x v="12"/>
    <n v="15"/>
    <x v="0"/>
    <n v="4"/>
    <n v="-45"/>
    <n v="0"/>
    <n v="5"/>
    <n v="3"/>
    <n v="-1"/>
    <n v="-2"/>
    <n v="1"/>
    <n v="-2"/>
    <n v="-2"/>
    <n v="-2"/>
    <n v="0.18048120424584099"/>
    <n v="2.5939344693692599"/>
    <n v="66.194325394084899"/>
    <n v="3"/>
    <n v="3"/>
    <n v="2.9364780000000001"/>
    <n v="2.2125620000000001"/>
    <n v="1.278818"/>
    <n v="-0.40615319999999999"/>
    <n v="6.3521999999999856E-2"/>
  </r>
  <r>
    <x v="12"/>
    <n v="16"/>
    <x v="1"/>
    <n v="7"/>
    <n v="-35"/>
    <n v="0"/>
    <n v="15"/>
    <n v="3"/>
    <n v="1"/>
    <n v="1"/>
    <n v="1"/>
    <n v="1"/>
    <n v="2"/>
    <n v="2"/>
    <n v="0.15779141569897001"/>
    <n v="5.4390745528103004"/>
    <n v="75.602789883362902"/>
    <n v="3"/>
    <n v="3"/>
    <n v="3.1289220000000002"/>
    <n v="3.4162720000000002"/>
    <n v="3.5340479999999999"/>
    <n v="3.3466930000000001"/>
    <n v="0.1289220000000002"/>
  </r>
  <r>
    <x v="12"/>
    <n v="17"/>
    <x v="2"/>
    <n v="2"/>
    <n v="-35"/>
    <n v="-3"/>
    <n v="15"/>
    <n v="-3"/>
    <n v="2"/>
    <n v="-1"/>
    <n v="-1"/>
    <n v="-1"/>
    <n v="-1"/>
    <n v="-1"/>
    <n v="0.15945000053349401"/>
    <n v="4.1953689225886697"/>
    <n v="76.1692836502028"/>
    <n v="-3"/>
    <n v="-3"/>
    <n v="-2.9412410000000002"/>
    <n v="-2.0611769999999998"/>
    <n v="-2.2543229999999999"/>
    <n v="-2.8118799999999999"/>
    <n v="5.8758999999999784E-2"/>
  </r>
  <r>
    <x v="12"/>
    <n v="18"/>
    <x v="1"/>
    <n v="6"/>
    <n v="-35"/>
    <n v="3"/>
    <n v="15"/>
    <n v="3"/>
    <n v="1"/>
    <n v="2"/>
    <n v="1"/>
    <n v="1"/>
    <n v="1"/>
    <n v="2"/>
    <n v="0.157282200406063"/>
    <n v="5.2074670619597603"/>
    <n v="77.551761722247306"/>
    <n v="0"/>
    <n v="0"/>
    <n v="0.8897505"/>
    <n v="1.7226900000000001"/>
    <n v="2.4724149999999998"/>
    <n v="3.275846"/>
    <n v="0.8897505"/>
  </r>
  <r>
    <x v="12"/>
    <n v="19"/>
    <x v="0"/>
    <n v="1"/>
    <n v="-35"/>
    <n v="0"/>
    <n v="15"/>
    <n v="0"/>
    <n v="0"/>
    <n v="0"/>
    <n v="-1"/>
    <n v="-1"/>
    <n v="-1"/>
    <n v="-1"/>
    <n v="0.12766200524397001"/>
    <n v="2.2622999738738998"/>
    <n v="77.037375905752398"/>
    <n v="0"/>
    <n v="-7.6121239999999996E-3"/>
    <n v="-0.57769349999999997"/>
    <n v="-1.4430160000000001"/>
    <n v="-2.7388409999999999"/>
    <n v="-3.6901060000000001"/>
    <n v="0.57769349999999997"/>
  </r>
  <r>
    <x v="12"/>
    <n v="20"/>
    <x v="0"/>
    <n v="8"/>
    <n v="-45"/>
    <n v="0"/>
    <n v="5"/>
    <n v="-3"/>
    <n v="-1"/>
    <n v="-1"/>
    <n v="0"/>
    <n v="-2"/>
    <n v="-1"/>
    <n v="-1"/>
    <n v="0.160467903033121"/>
    <n v="3.0341597471912101"/>
    <n v="67.910335794812994"/>
    <n v="-3"/>
    <n v="-2.9814090000000002"/>
    <n v="-2.294727"/>
    <n v="-1.3852420000000001"/>
    <n v="-0.14975849999999999"/>
    <n v="1.0210250000000001"/>
    <n v="0.70527300000000004"/>
  </r>
  <r>
    <x v="12"/>
    <n v="21"/>
    <x v="1"/>
    <n v="2"/>
    <n v="-35"/>
    <n v="-3"/>
    <n v="15"/>
    <n v="-3"/>
    <n v="-2"/>
    <n v="-2"/>
    <n v="-2"/>
    <n v="-2"/>
    <n v="-2"/>
    <n v="-2"/>
    <n v="0.185123185812064"/>
    <n v="9.5374537959503307"/>
    <n v="78.815442520333406"/>
    <n v="-3"/>
    <n v="-3"/>
    <n v="-2.9243649999999999"/>
    <n v="-2.1388940000000001"/>
    <n v="-1.133807"/>
    <n v="-0.41699389999999997"/>
    <n v="7.5635000000000119E-2"/>
  </r>
  <r>
    <x v="12"/>
    <n v="22"/>
    <x v="2"/>
    <n v="7"/>
    <n v="-35"/>
    <n v="0"/>
    <n v="15"/>
    <n v="3"/>
    <n v="1"/>
    <n v="1"/>
    <n v="2"/>
    <n v="1"/>
    <n v="1"/>
    <n v="1"/>
    <n v="0.124070023622607"/>
    <n v="4.2401197338725503"/>
    <n v="77.101575342531007"/>
    <n v="3"/>
    <n v="3"/>
    <n v="3.206807"/>
    <n v="3.3739659999999998"/>
    <n v="3.4105150000000002"/>
    <n v="3.2801930000000001"/>
    <n v="0.20680699999999996"/>
  </r>
  <r>
    <x v="12"/>
    <n v="23"/>
    <x v="1"/>
    <n v="4"/>
    <n v="-45"/>
    <n v="0"/>
    <n v="5"/>
    <n v="3"/>
    <n v="-1"/>
    <n v="-1"/>
    <n v="-1"/>
    <n v="-2"/>
    <n v="-1"/>
    <n v="-1"/>
    <n v="0.15902471590130701"/>
    <n v="4.61412601775121"/>
    <n v="67.4460456101517"/>
    <n v="3"/>
    <n v="2.9379900000000001"/>
    <n v="1.9726710000000001"/>
    <n v="1.0872679999999999"/>
    <n v="-0.10140399999999999"/>
    <n v="-0.78803849999999998"/>
    <n v="1.0273289999999999"/>
  </r>
  <r>
    <x v="12"/>
    <n v="24"/>
    <x v="0"/>
    <n v="5"/>
    <n v="-35"/>
    <n v="0"/>
    <n v="15"/>
    <n v="0"/>
    <n v="-1"/>
    <n v="-1"/>
    <n v="-1"/>
    <n v="-1"/>
    <n v="-1"/>
    <n v="-1"/>
    <n v="0.130962608195171"/>
    <n v="4.6888292797593198"/>
    <n v="77.8187599173622"/>
    <n v="3"/>
    <n v="2.9947360000000001"/>
    <n v="2.7775859999999999"/>
    <n v="2.7695270000000001"/>
    <n v="1.3610089999999999"/>
    <n v="-0.1455496"/>
    <n v="0.22241400000000011"/>
  </r>
  <r>
    <x v="13"/>
    <n v="1"/>
    <x v="0"/>
    <n v="5"/>
    <n v="-35"/>
    <n v="0"/>
    <n v="15"/>
    <n v="0"/>
    <n v="-2"/>
    <n v="1"/>
    <n v="-2"/>
    <n v="1"/>
    <n v="1"/>
    <n v="-2"/>
    <n v="0.149843470810786"/>
    <n v="4.4498216636315"/>
    <n v="76.070740577797295"/>
    <n v="3"/>
    <n v="3"/>
    <n v="2.879419"/>
    <n v="2.3785440000000002"/>
    <n v="0.95418480000000006"/>
    <n v="-0.3022512"/>
    <n v="0.12058100000000005"/>
  </r>
  <r>
    <x v="13"/>
    <n v="2"/>
    <x v="1"/>
    <n v="4"/>
    <n v="-45"/>
    <n v="0"/>
    <n v="5"/>
    <n v="3"/>
    <n v="2"/>
    <n v="1"/>
    <n v="2"/>
    <n v="2"/>
    <n v="2"/>
    <n v="1"/>
    <n v="0.26704882828443299"/>
    <n v="2.5180918987274601"/>
    <n v="65.026554743481398"/>
    <n v="3"/>
    <n v="2.7398959999999999"/>
    <n v="2.6359469999999998"/>
    <n v="2.7663630000000001"/>
    <n v="2.970421"/>
    <n v="3.2759149999999999"/>
    <n v="0.36405300000000018"/>
  </r>
  <r>
    <x v="13"/>
    <n v="3"/>
    <x v="2"/>
    <n v="7"/>
    <n v="-35"/>
    <n v="0"/>
    <n v="15"/>
    <n v="3"/>
    <n v="2"/>
    <n v="1"/>
    <n v="2"/>
    <n v="2"/>
    <n v="2"/>
    <n v="2"/>
    <n v="0.148606911832774"/>
    <n v="1.49684413015295"/>
    <n v="75.537636175120895"/>
    <n v="3"/>
    <n v="2.9234599999999999"/>
    <n v="3.223268"/>
    <n v="3.2045170000000001"/>
    <n v="3.177924"/>
    <n v="3.170455"/>
    <n v="0.22326800000000002"/>
  </r>
  <r>
    <x v="13"/>
    <n v="4"/>
    <x v="1"/>
    <n v="2"/>
    <n v="-35"/>
    <n v="-3"/>
    <n v="15"/>
    <n v="-3"/>
    <n v="-2"/>
    <n v="1"/>
    <n v="-2"/>
    <n v="1"/>
    <n v="0"/>
    <n v="-1"/>
    <n v="0.17007032695204299"/>
    <n v="2.2140774792190601"/>
    <n v="74.777230587389298"/>
    <n v="-3"/>
    <n v="-2.9972650000000001"/>
    <n v="-1.562416"/>
    <n v="-0.24891469999999999"/>
    <n v="0.29938749999999997"/>
    <n v="0.8224593"/>
    <n v="1.437584"/>
  </r>
  <r>
    <x v="13"/>
    <n v="5"/>
    <x v="0"/>
    <n v="8"/>
    <n v="-45"/>
    <n v="0"/>
    <n v="5"/>
    <n v="-3"/>
    <n v="0"/>
    <n v="-1"/>
    <n v="1"/>
    <n v="-1"/>
    <n v="-1"/>
    <n v="-1"/>
    <n v="0.161386236542363"/>
    <n v="3.80374568349322"/>
    <n v="67.092462779911699"/>
    <n v="-3"/>
    <n v="-3"/>
    <n v="-2.309291"/>
    <n v="-1.955837"/>
    <n v="-2.7690239999999999"/>
    <n v="-3.3157779999999999"/>
    <n v="0.69070900000000002"/>
  </r>
  <r>
    <x v="13"/>
    <n v="6"/>
    <x v="0"/>
    <n v="1"/>
    <n v="-35"/>
    <n v="0"/>
    <n v="15"/>
    <n v="0"/>
    <n v="1"/>
    <n v="-1"/>
    <n v="2"/>
    <n v="-1"/>
    <n v="2"/>
    <n v="0"/>
    <n v="0.18031889972738299"/>
    <n v="2.82518362881147"/>
    <n v="74.559842111273596"/>
    <n v="0"/>
    <n v="-0.18858630000000001"/>
    <n v="-1.4238489999999999"/>
    <n v="-2.2210260000000002"/>
    <n v="-2.6860369999999998"/>
    <n v="-3.029242"/>
    <n v="1.4238489999999999"/>
  </r>
  <r>
    <x v="13"/>
    <n v="7"/>
    <x v="1"/>
    <n v="6"/>
    <n v="-35"/>
    <n v="3"/>
    <n v="15"/>
    <n v="3"/>
    <n v="-2"/>
    <n v="-2"/>
    <n v="2"/>
    <n v="-2"/>
    <n v="-2"/>
    <n v="-2"/>
    <n v="0.25952140944320501"/>
    <n v="4.9709426628871398"/>
    <n v="76.947088206670003"/>
    <n v="0"/>
    <n v="0"/>
    <n v="-0.11463669999999999"/>
    <n v="0.17621729999999999"/>
    <n v="0.8305498"/>
    <n v="1.3768659999999999"/>
    <n v="0.11463669999999999"/>
  </r>
  <r>
    <x v="13"/>
    <n v="8"/>
    <x v="2"/>
    <n v="2"/>
    <n v="-35"/>
    <n v="-3"/>
    <n v="15"/>
    <n v="-3"/>
    <n v="2"/>
    <n v="1"/>
    <n v="2"/>
    <n v="2"/>
    <n v="1"/>
    <n v="2"/>
    <n v="0.166576170144732"/>
    <n v="2.54518327499451"/>
    <n v="75.4395632921253"/>
    <n v="-3"/>
    <n v="-3"/>
    <n v="-2.9300359999999999"/>
    <n v="-2.4351759999999998"/>
    <n v="-2.652987"/>
    <n v="-2.9583390000000001"/>
    <n v="6.9964000000000137E-2"/>
  </r>
  <r>
    <x v="13"/>
    <n v="9"/>
    <x v="1"/>
    <n v="7"/>
    <n v="-35"/>
    <n v="0"/>
    <n v="15"/>
    <n v="3"/>
    <n v="1"/>
    <n v="1"/>
    <n v="2"/>
    <n v="1"/>
    <n v="2"/>
    <n v="0"/>
    <n v="0.181813642485053"/>
    <n v="2.4832680577377002"/>
    <n v="75.027395330682594"/>
    <n v="3"/>
    <n v="3"/>
    <n v="2.956807"/>
    <n v="2.9310290000000001"/>
    <n v="2.9546209999999999"/>
    <n v="3.2130550000000002"/>
    <n v="4.3193000000000037E-2"/>
  </r>
  <r>
    <x v="13"/>
    <n v="10"/>
    <x v="0"/>
    <n v="4"/>
    <n v="-45"/>
    <n v="0"/>
    <n v="5"/>
    <n v="3"/>
    <n v="-2"/>
    <n v="1"/>
    <n v="-2"/>
    <n v="1"/>
    <n v="1"/>
    <n v="-1"/>
    <n v="0.185709909003794"/>
    <n v="2.6850791144321602"/>
    <n v="65.212980566716297"/>
    <n v="3"/>
    <n v="3"/>
    <n v="1.839475"/>
    <n v="0.35293590000000002"/>
    <n v="-1.2739560000000001"/>
    <n v="-2.7789540000000001"/>
    <n v="1.160525"/>
  </r>
  <r>
    <x v="13"/>
    <n v="11"/>
    <x v="2"/>
    <n v="5"/>
    <n v="-35"/>
    <n v="0"/>
    <n v="15"/>
    <n v="0"/>
    <n v="-2"/>
    <n v="1"/>
    <n v="-2"/>
    <n v="1"/>
    <n v="-1"/>
    <n v="-1"/>
    <n v="0.20109367791419"/>
    <n v="3.1247828400610902"/>
    <n v="75.917372290211105"/>
    <n v="3"/>
    <n v="3"/>
    <n v="2.2183060000000001"/>
    <n v="0.85394360000000002"/>
    <n v="-0.17484420000000001"/>
    <n v="-1.1011299999999999"/>
    <n v="0.78169399999999989"/>
  </r>
  <r>
    <x v="13"/>
    <n v="12"/>
    <x v="2"/>
    <n v="3"/>
    <n v="-35"/>
    <n v="0"/>
    <n v="15"/>
    <n v="-3"/>
    <n v="2"/>
    <n v="1"/>
    <n v="2"/>
    <n v="2"/>
    <n v="2"/>
    <n v="2"/>
    <n v="0.27280420183126303"/>
    <n v="1.7206755944654799"/>
    <n v="74.623720417687807"/>
    <n v="-3"/>
    <n v="-2.9996749999999999"/>
    <n v="-3.0926900000000002"/>
    <n v="-3.2912949999999999"/>
    <n v="-3.5084879999999998"/>
    <n v="-3.651751"/>
    <n v="9.2690000000000161E-2"/>
  </r>
  <r>
    <x v="13"/>
    <n v="13"/>
    <x v="0"/>
    <n v="7"/>
    <n v="-35"/>
    <n v="0"/>
    <n v="15"/>
    <n v="3"/>
    <n v="1"/>
    <n v="0"/>
    <n v="2"/>
    <n v="0"/>
    <n v="2"/>
    <n v="1"/>
    <n v="0.17920227845964001"/>
    <n v="1.1642228484664501"/>
    <n v="74.386808897026398"/>
    <n v="3"/>
    <n v="3.0393759999999999"/>
    <n v="3.36307"/>
    <n v="3.5056370000000001"/>
    <n v="3.552187"/>
    <n v="3.6358069999999998"/>
    <n v="0.36307"/>
  </r>
  <r>
    <x v="13"/>
    <n v="14"/>
    <x v="2"/>
    <n v="1"/>
    <n v="-35"/>
    <n v="0"/>
    <n v="15"/>
    <n v="0"/>
    <n v="2"/>
    <n v="1"/>
    <n v="2"/>
    <n v="1"/>
    <n v="2"/>
    <n v="1"/>
    <n v="0.172236272366562"/>
    <n v="1.4112296755224001"/>
    <n v="75.223760284920601"/>
    <n v="0"/>
    <n v="0"/>
    <n v="-0.45915509999999998"/>
    <n v="-1.020249"/>
    <n v="-1.7935950000000001"/>
    <n v="-2.636482"/>
    <n v="0.45915509999999998"/>
  </r>
  <r>
    <x v="13"/>
    <n v="15"/>
    <x v="1"/>
    <n v="8"/>
    <n v="-45"/>
    <n v="0"/>
    <n v="5"/>
    <n v="-3"/>
    <n v="-2"/>
    <n v="0"/>
    <n v="1"/>
    <n v="-2"/>
    <n v="-2"/>
    <n v="-1"/>
    <n v="0.20240101477153799"/>
    <n v="4.0062683449110201"/>
    <n v="65.462134274545804"/>
    <n v="-3"/>
    <n v="-3"/>
    <n v="-2.3816190000000002"/>
    <n v="-1.30592"/>
    <n v="-0.2337369"/>
    <n v="0.76339259999999998"/>
    <n v="0.61838099999999985"/>
  </r>
  <r>
    <x v="13"/>
    <n v="16"/>
    <x v="1"/>
    <n v="3"/>
    <n v="-35"/>
    <n v="0"/>
    <n v="15"/>
    <n v="-3"/>
    <n v="2"/>
    <n v="0"/>
    <n v="2"/>
    <n v="1"/>
    <n v="2"/>
    <n v="1"/>
    <n v="0.13905955566407399"/>
    <n v="1.0476523843374499"/>
    <n v="75.419497456113703"/>
    <n v="-3"/>
    <n v="-3"/>
    <n v="-3.0372680000000001"/>
    <n v="-3.4532120000000002"/>
    <n v="-3.771846"/>
    <n v="-4.0071089999999998"/>
    <n v="3.7268000000000079E-2"/>
  </r>
  <r>
    <x v="13"/>
    <n v="17"/>
    <x v="2"/>
    <n v="6"/>
    <n v="-35"/>
    <n v="3"/>
    <n v="15"/>
    <n v="3"/>
    <n v="2"/>
    <n v="2"/>
    <n v="2"/>
    <n v="2"/>
    <n v="2"/>
    <n v="2"/>
    <n v="0.14971322347695501"/>
    <n v="1.74437601224615"/>
    <n v="75.631960278679102"/>
    <n v="0"/>
    <n v="0"/>
    <n v="1.0897619999999999"/>
    <n v="2.3354550000000001"/>
    <n v="3.0762619999999998"/>
    <n v="3.503539"/>
    <n v="1.0897619999999999"/>
  </r>
  <r>
    <x v="13"/>
    <n v="18"/>
    <x v="0"/>
    <n v="2"/>
    <n v="-35"/>
    <n v="-3"/>
    <n v="15"/>
    <n v="-3"/>
    <n v="-2"/>
    <n v="1"/>
    <n v="-2"/>
    <n v="1"/>
    <n v="-2"/>
    <n v="-1"/>
    <n v="0.16744003615844399"/>
    <n v="2.3914722183136501"/>
    <n v="75.027856119676301"/>
    <n v="-3"/>
    <n v="-3"/>
    <n v="-3.1043599999999998"/>
    <n v="-2.2374179999999999"/>
    <n v="-1.2039850000000001"/>
    <n v="-0.18211939999999999"/>
    <n v="0.10435999999999979"/>
  </r>
  <r>
    <x v="13"/>
    <n v="19"/>
    <x v="1"/>
    <n v="5"/>
    <n v="-35"/>
    <n v="0"/>
    <n v="15"/>
    <n v="0"/>
    <n v="-2"/>
    <n v="-2"/>
    <n v="2"/>
    <n v="-2"/>
    <n v="-2"/>
    <n v="-2"/>
    <n v="0.250624363601196"/>
    <n v="7.7018334661522001"/>
    <n v="75.723350810457205"/>
    <n v="3"/>
    <n v="3.0000939999999998"/>
    <n v="3.1160899999999998"/>
    <n v="2.4298289999999998"/>
    <n v="1.3155289999999999"/>
    <n v="0.47213189999999999"/>
    <n v="0.1160899999999998"/>
  </r>
  <r>
    <x v="13"/>
    <n v="20"/>
    <x v="2"/>
    <n v="4"/>
    <n v="-45"/>
    <n v="0"/>
    <n v="5"/>
    <n v="3"/>
    <n v="2"/>
    <n v="2"/>
    <n v="2"/>
    <n v="2"/>
    <n v="2"/>
    <n v="2"/>
    <n v="0.28927839500052799"/>
    <n v="0.89496751230206295"/>
    <n v="65.348842053104406"/>
    <n v="3"/>
    <n v="3"/>
    <n v="3.0132539999999999"/>
    <n v="3.0450490000000001"/>
    <n v="3.0672730000000001"/>
    <n v="3.0843790000000002"/>
    <n v="1.3253999999999877E-2"/>
  </r>
  <r>
    <x v="13"/>
    <n v="21"/>
    <x v="0"/>
    <n v="6"/>
    <n v="-35"/>
    <n v="3"/>
    <n v="15"/>
    <n v="3"/>
    <n v="-1"/>
    <n v="1"/>
    <n v="-1"/>
    <n v="1"/>
    <n v="2"/>
    <n v="0"/>
    <n v="0.17672713457683001"/>
    <n v="1.86977310662848"/>
    <n v="74.576271048904601"/>
    <n v="0"/>
    <n v="0"/>
    <n v="0.89290860000000005"/>
    <n v="1.533615"/>
    <n v="2.4087070000000002"/>
    <n v="3.4365939999999999"/>
    <n v="0.89290860000000005"/>
  </r>
  <r>
    <x v="13"/>
    <n v="22"/>
    <x v="0"/>
    <n v="3"/>
    <n v="-35"/>
    <n v="0"/>
    <n v="15"/>
    <n v="-3"/>
    <n v="-2"/>
    <n v="1"/>
    <n v="-2"/>
    <n v="1"/>
    <n v="2"/>
    <n v="-1"/>
    <n v="0.17670857756321801"/>
    <n v="0.65661564119598304"/>
    <n v="74.445155254961506"/>
    <n v="-3"/>
    <n v="-3.08039"/>
    <n v="-3.3698980000000001"/>
    <n v="-3.6200670000000001"/>
    <n v="-3.861094"/>
    <n v="-4.0468149999999996"/>
    <n v="0.36989800000000006"/>
  </r>
  <r>
    <x v="13"/>
    <n v="23"/>
    <x v="2"/>
    <n v="8"/>
    <n v="-45"/>
    <n v="0"/>
    <n v="5"/>
    <n v="-3"/>
    <n v="2"/>
    <n v="1"/>
    <n v="2"/>
    <n v="2"/>
    <n v="2"/>
    <n v="2"/>
    <n v="0.15695728821362501"/>
    <n v="1.7847293543537499"/>
    <n v="67.488343547434596"/>
    <n v="-3"/>
    <n v="-3"/>
    <n v="-2.5948129999999998"/>
    <n v="-1.4806809999999999"/>
    <n v="-0.30401030000000001"/>
    <n v="1.0009980000000001"/>
    <n v="0.40518700000000019"/>
  </r>
  <r>
    <x v="13"/>
    <n v="24"/>
    <x v="1"/>
    <n v="1"/>
    <n v="-35"/>
    <n v="0"/>
    <n v="15"/>
    <n v="0"/>
    <n v="2"/>
    <n v="1"/>
    <n v="2"/>
    <n v="1"/>
    <n v="2"/>
    <n v="1"/>
    <n v="0.17408118844238499"/>
    <n v="1.36459482561442"/>
    <n v="74.9866142000119"/>
    <n v="0"/>
    <n v="0"/>
    <n v="-0.23334949999999999"/>
    <n v="-0.82449989999999995"/>
    <n v="-1.9181330000000001"/>
    <n v="-2.9911289999999999"/>
    <n v="0.23334949999999999"/>
  </r>
  <r>
    <x v="14"/>
    <n v="1"/>
    <x v="1"/>
    <n v="1"/>
    <n v="-35"/>
    <n v="0"/>
    <n v="15"/>
    <n v="0"/>
    <n v="1"/>
    <n v="0"/>
    <n v="2"/>
    <n v="1"/>
    <n v="-1"/>
    <n v="-1"/>
    <n v="0.21471304640274699"/>
    <n v="11.023936758128601"/>
    <n v="79.9095011167541"/>
    <n v="0"/>
    <n v="0"/>
    <n v="0.68507269999999998"/>
    <n v="1.0028950000000001"/>
    <n v="2.2084570000000001"/>
    <n v="3.165073"/>
    <n v="0.68507269999999998"/>
  </r>
  <r>
    <x v="14"/>
    <n v="2"/>
    <x v="2"/>
    <n v="8"/>
    <n v="-45"/>
    <n v="0"/>
    <n v="5"/>
    <n v="-3"/>
    <n v="2"/>
    <n v="2"/>
    <n v="2"/>
    <n v="1"/>
    <n v="1"/>
    <n v="2"/>
    <n v="0.210410097571022"/>
    <n v="4.1829828711255201"/>
    <n v="72.050330282014897"/>
    <n v="-3"/>
    <n v="-3"/>
    <n v="-3"/>
    <n v="-3.252669"/>
    <n v="-3.0871810000000002"/>
    <n v="-3.0212880000000002"/>
    <n v="0"/>
  </r>
  <r>
    <x v="14"/>
    <n v="3"/>
    <x v="0"/>
    <n v="3"/>
    <n v="-35"/>
    <n v="0"/>
    <n v="15"/>
    <n v="-3"/>
    <n v="-2"/>
    <n v="2"/>
    <n v="-2"/>
    <n v="-2"/>
    <n v="0"/>
    <n v="-1"/>
    <n v="0.154363354272855"/>
    <n v="1.2811379703871599"/>
    <n v="75.757108489862603"/>
    <n v="-3"/>
    <n v="-3"/>
    <n v="-3.0375130000000001"/>
    <n v="-3.1786970000000001"/>
    <n v="-3.2330779999999999"/>
    <n v="-3.3799769999999998"/>
    <n v="3.751300000000013E-2"/>
  </r>
  <r>
    <x v="14"/>
    <n v="4"/>
    <x v="0"/>
    <n v="6"/>
    <n v="-35"/>
    <n v="3"/>
    <n v="15"/>
    <n v="3"/>
    <n v="-2"/>
    <n v="2"/>
    <n v="-2"/>
    <n v="-2"/>
    <n v="-1"/>
    <n v="-1"/>
    <n v="0.11666363497202401"/>
    <n v="3.1419280640057599"/>
    <n v="78.055940232230498"/>
    <n v="0"/>
    <n v="0"/>
    <n v="1.2057640000000001"/>
    <n v="2.6722869999999999"/>
    <n v="3.5018470000000002"/>
    <n v="3.8506300000000002"/>
    <n v="1.2057640000000001"/>
  </r>
  <r>
    <x v="14"/>
    <n v="5"/>
    <x v="2"/>
    <n v="4"/>
    <n v="-45"/>
    <n v="0"/>
    <n v="5"/>
    <n v="3"/>
    <n v="2"/>
    <n v="2"/>
    <n v="2"/>
    <n v="2"/>
    <n v="2"/>
    <n v="2"/>
    <n v="0.15262778620801601"/>
    <n v="2.6626755144839902"/>
    <n v="67.370738482438298"/>
    <n v="3"/>
    <n v="3.0573999999999999"/>
    <n v="3.4327200000000002"/>
    <n v="3.8725480000000001"/>
    <n v="4.1873620000000003"/>
    <n v="4.3968179999999997"/>
    <n v="0.43272000000000022"/>
  </r>
  <r>
    <x v="14"/>
    <n v="6"/>
    <x v="1"/>
    <n v="5"/>
    <n v="-35"/>
    <n v="0"/>
    <n v="15"/>
    <n v="0"/>
    <n v="-2"/>
    <n v="2"/>
    <n v="-2"/>
    <n v="-1"/>
    <n v="2"/>
    <n v="0"/>
    <n v="0.12387178697334"/>
    <n v="4.3473745897848204"/>
    <n v="77.702602189045706"/>
    <n v="3"/>
    <n v="3"/>
    <n v="1.8225370000000001"/>
    <n v="0.2327555"/>
    <n v="-0.55604759999999998"/>
    <n v="-0.63417670000000004"/>
    <n v="1.1774629999999999"/>
  </r>
  <r>
    <x v="14"/>
    <n v="7"/>
    <x v="0"/>
    <n v="2"/>
    <n v="-35"/>
    <n v="-3"/>
    <n v="15"/>
    <n v="-3"/>
    <n v="-2"/>
    <n v="2"/>
    <n v="1"/>
    <n v="1"/>
    <n v="-1"/>
    <n v="-1"/>
    <n v="0.175701006129556"/>
    <n v="8.6793863343763409"/>
    <n v="80.745664277789004"/>
    <n v="-3"/>
    <n v="-3"/>
    <n v="-2.769771"/>
    <n v="-2.3837799999999998"/>
    <n v="-2.2583060000000001"/>
    <n v="-2.152377"/>
    <n v="0.23022900000000002"/>
  </r>
  <r>
    <x v="14"/>
    <n v="8"/>
    <x v="2"/>
    <n v="6"/>
    <n v="-35"/>
    <n v="3"/>
    <n v="15"/>
    <n v="3"/>
    <n v="2"/>
    <n v="1"/>
    <n v="2"/>
    <n v="2"/>
    <n v="1"/>
    <n v="2"/>
    <n v="0.28460418925258402"/>
    <n v="4.2472686208981099"/>
    <n v="78.406475217219594"/>
    <n v="0"/>
    <n v="0"/>
    <n v="-2.7988570000000001E-3"/>
    <n v="1.128053E-2"/>
    <n v="5.6146950000000001E-2"/>
    <n v="-0.462752"/>
    <n v="2.7988570000000001E-3"/>
  </r>
  <r>
    <x v="14"/>
    <n v="9"/>
    <x v="1"/>
    <n v="3"/>
    <n v="-35"/>
    <n v="0"/>
    <n v="15"/>
    <n v="-3"/>
    <n v="2"/>
    <n v="2"/>
    <n v="2"/>
    <n v="2"/>
    <n v="1"/>
    <n v="2"/>
    <n v="0.118812110645531"/>
    <n v="1.8339765809704101"/>
    <n v="77.737684797451905"/>
    <n v="-3"/>
    <n v="-3"/>
    <n v="-2.7702270000000002"/>
    <n v="-1.8865000000000001"/>
    <n v="-1.3396980000000001"/>
    <n v="-1.7194290000000001"/>
    <n v="0.22977299999999978"/>
  </r>
  <r>
    <x v="14"/>
    <n v="10"/>
    <x v="1"/>
    <n v="8"/>
    <n v="-45"/>
    <n v="0"/>
    <n v="5"/>
    <n v="-3"/>
    <n v="2"/>
    <n v="2"/>
    <n v="2"/>
    <n v="2"/>
    <n v="2"/>
    <n v="2"/>
    <n v="0.219596823247835"/>
    <n v="13.488385567631299"/>
    <n v="73.346315625653901"/>
    <n v="-3"/>
    <n v="-3"/>
    <n v="-1.8766499999999999"/>
    <n v="-0.82828979999999996"/>
    <n v="-0.2950644"/>
    <n v="0.23357330000000001"/>
    <n v="1.1233500000000001"/>
  </r>
  <r>
    <x v="14"/>
    <n v="11"/>
    <x v="2"/>
    <n v="1"/>
    <n v="-35"/>
    <n v="0"/>
    <n v="15"/>
    <n v="0"/>
    <n v="2"/>
    <n v="2"/>
    <n v="2"/>
    <n v="2"/>
    <n v="2"/>
    <n v="2"/>
    <n v="0.103693833267703"/>
    <n v="2.1418394144983601"/>
    <n v="76.792421437198101"/>
    <n v="0"/>
    <n v="0"/>
    <n v="1.588945E-3"/>
    <n v="4.2179979999999999E-2"/>
    <n v="0.15626029999999999"/>
    <n v="-8.7646370000000001E-2"/>
    <n v="1.588945E-3"/>
  </r>
  <r>
    <x v="14"/>
    <n v="12"/>
    <x v="0"/>
    <n v="7"/>
    <n v="-35"/>
    <n v="0"/>
    <n v="15"/>
    <n v="3"/>
    <n v="-2"/>
    <n v="2"/>
    <n v="-2"/>
    <n v="-2"/>
    <n v="-2"/>
    <n v="-2"/>
    <n v="0.34200353674078898"/>
    <n v="5.7651767781165804"/>
    <n v="76.628494765234507"/>
    <n v="3"/>
    <n v="3"/>
    <n v="2.9730989999999999"/>
    <n v="2.8070849999999998"/>
    <n v="2.6014719999999998"/>
    <n v="2.495441"/>
    <n v="2.6901000000000064E-2"/>
  </r>
  <r>
    <x v="14"/>
    <n v="13"/>
    <x v="2"/>
    <n v="3"/>
    <n v="-35"/>
    <n v="0"/>
    <n v="15"/>
    <n v="-3"/>
    <n v="1"/>
    <n v="2"/>
    <n v="2"/>
    <n v="2"/>
    <n v="1"/>
    <n v="2"/>
    <n v="0.22540153566642501"/>
    <n v="3.72939244769448"/>
    <n v="74.707705263788597"/>
    <n v="-3"/>
    <n v="-3"/>
    <n v="-2.5129079999999999"/>
    <n v="-1.97644"/>
    <n v="-2.8422360000000002"/>
    <n v="-3.4571339999999999"/>
    <n v="0.48709200000000008"/>
  </r>
  <r>
    <x v="14"/>
    <n v="14"/>
    <x v="2"/>
    <n v="5"/>
    <n v="-35"/>
    <n v="0"/>
    <n v="15"/>
    <n v="0"/>
    <n v="2"/>
    <n v="2"/>
    <n v="2"/>
    <n v="2"/>
    <n v="2"/>
    <n v="2"/>
    <n v="0.146112848070336"/>
    <n v="2.3704439604468002"/>
    <n v="76.667080647408"/>
    <n v="3"/>
    <n v="3.000197"/>
    <n v="2.7631939999999999"/>
    <n v="1.765174"/>
    <n v="0.37247910000000001"/>
    <n v="-1.028597"/>
    <n v="0.23680600000000007"/>
  </r>
  <r>
    <x v="14"/>
    <n v="15"/>
    <x v="0"/>
    <n v="4"/>
    <n v="-45"/>
    <n v="0"/>
    <n v="5"/>
    <n v="3"/>
    <n v="-2"/>
    <n v="1"/>
    <n v="-1"/>
    <n v="-2"/>
    <n v="0"/>
    <n v="-1"/>
    <n v="0.153234350360828"/>
    <n v="3.2983288649334099"/>
    <n v="66.169688758074898"/>
    <n v="3"/>
    <n v="3"/>
    <n v="3"/>
    <n v="2.894936"/>
    <n v="3.4151039999999999"/>
    <n v="3.8563149999999999"/>
    <n v="0"/>
  </r>
  <r>
    <x v="14"/>
    <n v="16"/>
    <x v="1"/>
    <n v="7"/>
    <n v="-35"/>
    <n v="0"/>
    <n v="15"/>
    <n v="3"/>
    <n v="2"/>
    <n v="1"/>
    <n v="2"/>
    <n v="1"/>
    <n v="2"/>
    <n v="2"/>
    <n v="0.101935376736099"/>
    <n v="2.8002609626797499"/>
    <n v="76.809264658616399"/>
    <n v="3"/>
    <n v="3"/>
    <n v="3.823305"/>
    <n v="3.9953050000000001"/>
    <n v="4.203684"/>
    <n v="4.4692959999999999"/>
    <n v="0.82330499999999995"/>
  </r>
  <r>
    <x v="14"/>
    <n v="17"/>
    <x v="2"/>
    <n v="2"/>
    <n v="-35"/>
    <n v="-3"/>
    <n v="15"/>
    <n v="-3"/>
    <n v="-1"/>
    <n v="1"/>
    <n v="-1"/>
    <n v="-1"/>
    <n v="-1"/>
    <n v="1"/>
    <n v="0.15604378745898601"/>
    <n v="3.1509386669541302"/>
    <n v="76.356538510694705"/>
    <n v="-3"/>
    <n v="-3"/>
    <n v="-1.9639120000000001"/>
    <n v="-0.34055429999999998"/>
    <n v="0.84611860000000005"/>
    <n v="1.8161989999999999"/>
    <n v="1.0360879999999999"/>
  </r>
  <r>
    <x v="14"/>
    <n v="18"/>
    <x v="1"/>
    <n v="6"/>
    <n v="-35"/>
    <n v="3"/>
    <n v="15"/>
    <n v="3"/>
    <n v="2"/>
    <n v="1"/>
    <n v="1"/>
    <n v="2"/>
    <n v="2"/>
    <n v="1"/>
    <n v="0.15510661325212599"/>
    <n v="3.9323614365227302"/>
    <n v="76.373312223345707"/>
    <n v="0"/>
    <n v="0"/>
    <n v="3.8218140000000002E-3"/>
    <n v="1.936177"/>
    <n v="3.2333850000000002"/>
    <n v="3.7133219999999998"/>
    <n v="3.8218140000000002E-3"/>
  </r>
  <r>
    <x v="14"/>
    <n v="19"/>
    <x v="0"/>
    <n v="1"/>
    <n v="-35"/>
    <n v="0"/>
    <n v="15"/>
    <n v="0"/>
    <n v="-1"/>
    <n v="1"/>
    <n v="-1"/>
    <n v="-1"/>
    <n v="1"/>
    <n v="1"/>
    <n v="0.162345544524089"/>
    <n v="3.6350516723008899"/>
    <n v="76.105820242799496"/>
    <n v="0"/>
    <n v="0"/>
    <n v="-0.55190309999999998"/>
    <n v="-2.1921949999999999"/>
    <n v="-3.3047599999999999"/>
    <n v="-3.7138870000000002"/>
    <n v="0.55190309999999998"/>
  </r>
  <r>
    <x v="14"/>
    <n v="20"/>
    <x v="0"/>
    <n v="8"/>
    <n v="-45"/>
    <n v="0"/>
    <n v="5"/>
    <n v="-3"/>
    <n v="-2"/>
    <n v="2"/>
    <n v="-2"/>
    <n v="-2"/>
    <n v="-1"/>
    <n v="-1"/>
    <n v="0.21589702847379399"/>
    <n v="5.0105683813305903"/>
    <n v="67.159309880110897"/>
    <n v="-3"/>
    <n v="-3"/>
    <n v="-2.6156229999999998"/>
    <n v="-0.98469669999999998"/>
    <n v="1.083369"/>
    <n v="2.7959399999999999"/>
    <n v="0.38437700000000019"/>
  </r>
  <r>
    <x v="14"/>
    <n v="21"/>
    <x v="1"/>
    <n v="2"/>
    <n v="-35"/>
    <n v="-3"/>
    <n v="15"/>
    <n v="-3"/>
    <n v="1"/>
    <n v="2"/>
    <n v="-2"/>
    <n v="1"/>
    <n v="2"/>
    <n v="1"/>
    <n v="0.120235383381704"/>
    <n v="3.5167810072795"/>
    <n v="79.095490250685202"/>
    <n v="-3"/>
    <n v="-3"/>
    <n v="-1.836338"/>
    <n v="-0.1169106"/>
    <n v="1.174936"/>
    <n v="2.2232029999999998"/>
    <n v="1.163662"/>
  </r>
  <r>
    <x v="14"/>
    <n v="22"/>
    <x v="2"/>
    <n v="7"/>
    <n v="-35"/>
    <n v="0"/>
    <n v="15"/>
    <n v="3"/>
    <n v="2"/>
    <n v="2"/>
    <n v="2"/>
    <n v="2"/>
    <n v="2"/>
    <n v="2"/>
    <n v="0.16862537743955699"/>
    <n v="3.2673420974118299"/>
    <n v="75.860138840718307"/>
    <n v="3"/>
    <n v="3"/>
    <n v="3.6907420000000002"/>
    <n v="4.3259720000000002"/>
    <n v="4.4993489999999996"/>
    <n v="4.499371"/>
    <n v="0.69074200000000019"/>
  </r>
  <r>
    <x v="14"/>
    <n v="23"/>
    <x v="1"/>
    <n v="4"/>
    <n v="-45"/>
    <n v="0"/>
    <n v="5"/>
    <n v="3"/>
    <n v="2"/>
    <n v="2"/>
    <n v="2"/>
    <n v="1"/>
    <n v="2"/>
    <n v="1"/>
    <n v="0.12657864566786201"/>
    <n v="3.8621825816022102"/>
    <n v="68.626415887502603"/>
    <n v="3"/>
    <n v="3"/>
    <n v="3.0137299999999998"/>
    <n v="1.914283"/>
    <n v="2.3053290000000001E-2"/>
    <n v="-2.03939"/>
    <n v="1.3729999999999798E-2"/>
  </r>
  <r>
    <x v="14"/>
    <n v="24"/>
    <x v="0"/>
    <n v="5"/>
    <n v="-35"/>
    <n v="0"/>
    <n v="15"/>
    <n v="0"/>
    <n v="1"/>
    <n v="2"/>
    <n v="-1"/>
    <n v="1"/>
    <n v="1"/>
    <n v="1"/>
    <n v="0.13872664007934399"/>
    <n v="4.1847981927076798"/>
    <n v="78.595677930323305"/>
    <n v="3"/>
    <n v="3"/>
    <n v="1.3757429999999999"/>
    <n v="7.5422279999999994E-2"/>
    <n v="-1.1637900000000001"/>
    <n v="-2.254041"/>
    <n v="1.6242570000000001"/>
  </r>
  <r>
    <x v="15"/>
    <n v="1"/>
    <x v="0"/>
    <n v="5"/>
    <n v="-35"/>
    <n v="0"/>
    <n v="15"/>
    <n v="0"/>
    <n v="-2"/>
    <n v="2"/>
    <n v="2"/>
    <n v="-2"/>
    <n v="-2"/>
    <n v="-2"/>
    <n v="0.22031842896472401"/>
    <n v="7.4790925060851103"/>
    <n v="77.302247446761797"/>
    <n v="3"/>
    <n v="3"/>
    <n v="3"/>
    <n v="3"/>
    <n v="3.1224989999999999"/>
    <n v="3.0380039999999999"/>
    <n v="0"/>
  </r>
  <r>
    <x v="15"/>
    <n v="2"/>
    <x v="1"/>
    <n v="4"/>
    <n v="-45"/>
    <n v="0"/>
    <n v="5"/>
    <n v="3"/>
    <n v="2"/>
    <n v="2"/>
    <n v="2"/>
    <n v="2"/>
    <n v="2"/>
    <n v="2"/>
    <n v="0.185583626410845"/>
    <n v="9.9694463500698394"/>
    <n v="66.219043143256002"/>
    <n v="3"/>
    <n v="3"/>
    <n v="2.8457970000000001"/>
    <n v="2.7269999999999999"/>
    <n v="2.6811419999999999"/>
    <n v="2.4397419999999999"/>
    <n v="0.15420299999999987"/>
  </r>
  <r>
    <x v="15"/>
    <n v="3"/>
    <x v="2"/>
    <n v="7"/>
    <n v="-35"/>
    <n v="0"/>
    <n v="15"/>
    <n v="3"/>
    <n v="2"/>
    <n v="-2"/>
    <n v="2"/>
    <n v="2"/>
    <n v="2"/>
    <n v="1"/>
    <n v="0.150544258953141"/>
    <n v="2.5494782714914299"/>
    <n v="76.433809710307699"/>
    <n v="3"/>
    <n v="3"/>
    <n v="2.8697319999999999"/>
    <n v="2.9053580000000001"/>
    <n v="2.9640970000000002"/>
    <n v="2.940553"/>
    <n v="0.13026800000000005"/>
  </r>
  <r>
    <x v="15"/>
    <n v="4"/>
    <x v="1"/>
    <n v="2"/>
    <n v="-35"/>
    <n v="-3"/>
    <n v="15"/>
    <n v="-3"/>
    <n v="2"/>
    <n v="2"/>
    <n v="2"/>
    <n v="2"/>
    <n v="1"/>
    <n v="1"/>
    <n v="0.154038676630358"/>
    <n v="6.5027111369132404"/>
    <n v="75.529614111429296"/>
    <n v="-3"/>
    <n v="-3"/>
    <n v="-3.172507"/>
    <n v="-3.1768519999999998"/>
    <n v="-3.199144"/>
    <n v="-3.2405379999999999"/>
    <n v="0.17250699999999997"/>
  </r>
  <r>
    <x v="15"/>
    <n v="5"/>
    <x v="0"/>
    <n v="8"/>
    <n v="-45"/>
    <n v="0"/>
    <n v="5"/>
    <n v="-3"/>
    <n v="-2"/>
    <n v="2"/>
    <n v="-2"/>
    <n v="-1"/>
    <n v="-1"/>
    <n v="-1"/>
    <n v="0.184036065480502"/>
    <n v="8.7857917015378408"/>
    <n v="66.129251138206598"/>
    <n v="-3"/>
    <n v="-3"/>
    <n v="-2.5560700000000001"/>
    <n v="-1.69021"/>
    <n v="-0.79338529999999996"/>
    <n v="0.23831640000000001"/>
    <n v="0.44392999999999994"/>
  </r>
  <r>
    <x v="15"/>
    <n v="6"/>
    <x v="0"/>
    <n v="1"/>
    <n v="-35"/>
    <n v="0"/>
    <n v="15"/>
    <n v="0"/>
    <n v="-1"/>
    <n v="1"/>
    <n v="-1"/>
    <n v="0"/>
    <n v="0"/>
    <n v="0"/>
    <n v="0.17463963747647801"/>
    <n v="3.2654297149113698"/>
    <n v="75.3364291172187"/>
    <n v="0"/>
    <n v="0"/>
    <n v="-0.70252510000000001"/>
    <n v="-1.2550889999999999"/>
    <n v="-2.0610110000000001"/>
    <n v="-2.716107"/>
    <n v="0.70252510000000001"/>
  </r>
  <r>
    <x v="15"/>
    <n v="7"/>
    <x v="1"/>
    <n v="6"/>
    <n v="-35"/>
    <n v="3"/>
    <n v="15"/>
    <n v="3"/>
    <n v="-2"/>
    <n v="1"/>
    <n v="2"/>
    <n v="-2"/>
    <n v="-2"/>
    <n v="-2"/>
    <n v="0.16484398526589999"/>
    <n v="5.4479738241128004"/>
    <n v="76.409228639831696"/>
    <n v="0"/>
    <n v="0"/>
    <n v="0"/>
    <n v="-9.0532269999999998E-2"/>
    <n v="0.77342109999999997"/>
    <n v="1.5120690000000001"/>
    <n v="0"/>
  </r>
  <r>
    <x v="15"/>
    <n v="8"/>
    <x v="2"/>
    <n v="2"/>
    <n v="-35"/>
    <n v="-3"/>
    <n v="15"/>
    <n v="-3"/>
    <n v="2"/>
    <n v="2"/>
    <n v="2"/>
    <n v="2"/>
    <n v="2"/>
    <n v="2"/>
    <n v="0.140093639583003"/>
    <n v="2.2721930398221701"/>
    <n v="76.459736303208203"/>
    <n v="-3"/>
    <n v="-2.9767890000000001"/>
    <n v="-3.0143909999999998"/>
    <n v="-2.9387560000000001"/>
    <n v="-2.877742"/>
    <n v="-3.052756"/>
    <n v="1.4390999999999821E-2"/>
  </r>
  <r>
    <x v="15"/>
    <n v="9"/>
    <x v="1"/>
    <n v="7"/>
    <n v="-35"/>
    <n v="0"/>
    <n v="15"/>
    <n v="3"/>
    <n v="-2"/>
    <n v="1"/>
    <n v="1"/>
    <n v="-1"/>
    <n v="-1"/>
    <n v="-1"/>
    <n v="0.148345151128639"/>
    <n v="3.2774386894255598"/>
    <n v="75.489755615693298"/>
    <n v="3"/>
    <n v="2.9991319999999999"/>
    <n v="2.9491170000000002"/>
    <n v="3.1407400000000001"/>
    <n v="3.2653979999999998"/>
    <n v="3.1979639999999998"/>
    <n v="5.088299999999979E-2"/>
  </r>
  <r>
    <x v="15"/>
    <n v="10"/>
    <x v="0"/>
    <n v="4"/>
    <n v="-45"/>
    <n v="0"/>
    <n v="5"/>
    <n v="3"/>
    <n v="-1"/>
    <n v="-1"/>
    <n v="-1"/>
    <n v="-1"/>
    <n v="-1"/>
    <n v="-1"/>
    <n v="0.146015575609001"/>
    <n v="4.1215897231564202"/>
    <n v="66.865709980071699"/>
    <n v="3"/>
    <n v="3"/>
    <n v="2.0997590000000002"/>
    <n v="1.210067"/>
    <n v="0.43414199999999997"/>
    <n v="-0.75044040000000001"/>
    <n v="0.90024099999999985"/>
  </r>
  <r>
    <x v="15"/>
    <n v="11"/>
    <x v="2"/>
    <n v="5"/>
    <n v="-35"/>
    <n v="0"/>
    <n v="15"/>
    <n v="0"/>
    <n v="2"/>
    <n v="2"/>
    <n v="2"/>
    <n v="2"/>
    <n v="2"/>
    <n v="2"/>
    <n v="0.152566066706847"/>
    <n v="2.5593397789034298"/>
    <n v="75.473687206809302"/>
    <n v="3"/>
    <n v="2.9802520000000001"/>
    <n v="2.651357"/>
    <n v="2.7221009999999999"/>
    <n v="2.8321369999999999"/>
    <n v="2.9027790000000002"/>
    <n v="0.34864300000000004"/>
  </r>
  <r>
    <x v="15"/>
    <n v="12"/>
    <x v="2"/>
    <n v="3"/>
    <n v="-35"/>
    <n v="0"/>
    <n v="15"/>
    <n v="-3"/>
    <n v="1"/>
    <n v="-1"/>
    <n v="2"/>
    <n v="2"/>
    <n v="2"/>
    <n v="1"/>
    <n v="0.15275387457092801"/>
    <n v="1.6701122935750901"/>
    <n v="75.1122169596037"/>
    <n v="-3"/>
    <n v="-3"/>
    <n v="-3.25332"/>
    <n v="-3.0699900000000002"/>
    <n v="-3.0388989999999998"/>
    <n v="-3.1355189999999999"/>
    <n v="0.25331999999999999"/>
  </r>
  <r>
    <x v="15"/>
    <n v="13"/>
    <x v="0"/>
    <n v="7"/>
    <n v="-35"/>
    <n v="0"/>
    <n v="15"/>
    <n v="3"/>
    <n v="0"/>
    <n v="-2"/>
    <n v="-2"/>
    <n v="2"/>
    <n v="2"/>
    <n v="1"/>
    <n v="0.12537071597917901"/>
    <n v="2.8912302443926099"/>
    <n v="76.857564405410997"/>
    <n v="3"/>
    <n v="3"/>
    <n v="2.91499"/>
    <n v="3.1715080000000002"/>
    <n v="3.2324769999999998"/>
    <n v="3.0732349999999999"/>
    <n v="8.501000000000003E-2"/>
  </r>
  <r>
    <x v="15"/>
    <n v="14"/>
    <x v="2"/>
    <n v="1"/>
    <n v="-35"/>
    <n v="0"/>
    <n v="15"/>
    <n v="0"/>
    <n v="2"/>
    <n v="-2"/>
    <n v="2"/>
    <n v="2"/>
    <n v="2"/>
    <n v="1"/>
    <n v="0.14036110968500301"/>
    <n v="3.0221124568243698"/>
    <n v="76.124659316077796"/>
    <n v="0"/>
    <n v="-1.0274399999999999E-3"/>
    <n v="-0.56715040000000005"/>
    <n v="-1.225635"/>
    <n v="-1.951916"/>
    <n v="-2.110306"/>
    <n v="0.56715040000000005"/>
  </r>
  <r>
    <x v="15"/>
    <n v="15"/>
    <x v="1"/>
    <n v="8"/>
    <n v="-45"/>
    <n v="0"/>
    <n v="5"/>
    <n v="-3"/>
    <n v="2"/>
    <n v="2"/>
    <n v="2"/>
    <n v="2"/>
    <n v="2"/>
    <n v="2"/>
    <n v="0.15026129483596401"/>
    <n v="2.9291099118224002"/>
    <n v="66.895613266428796"/>
    <n v="-3"/>
    <n v="-2.8602470000000002"/>
    <n v="-1.790297"/>
    <n v="-0.77400429999999998"/>
    <n v="0.22925970000000001"/>
    <n v="1.3467"/>
    <n v="1.209703"/>
  </r>
  <r>
    <x v="15"/>
    <n v="16"/>
    <x v="1"/>
    <n v="3"/>
    <n v="-35"/>
    <n v="0"/>
    <n v="15"/>
    <n v="-3"/>
    <n v="-1"/>
    <n v="1"/>
    <n v="2"/>
    <n v="-1"/>
    <n v="-1"/>
    <n v="-1"/>
    <n v="0.16785668702974799"/>
    <n v="3.1776662052303402"/>
    <n v="76.211388742115801"/>
    <n v="-3"/>
    <n v="-2.9961829999999998"/>
    <n v="-3.211894"/>
    <n v="-3.1060850000000002"/>
    <n v="-3.0950880000000001"/>
    <n v="-3.0537320000000001"/>
    <n v="0.21189400000000003"/>
  </r>
  <r>
    <x v="15"/>
    <n v="17"/>
    <x v="2"/>
    <n v="6"/>
    <n v="-35"/>
    <n v="3"/>
    <n v="15"/>
    <n v="3"/>
    <n v="2"/>
    <n v="-1"/>
    <n v="2"/>
    <n v="2"/>
    <n v="2"/>
    <n v="1"/>
    <n v="0.12656128524695601"/>
    <n v="1.6687824651827501"/>
    <n v="75.737691017415301"/>
    <n v="0"/>
    <n v="0"/>
    <n v="0.61038269999999994"/>
    <n v="1.2239199999999999"/>
    <n v="1.8951260000000001"/>
    <n v="2.519212"/>
    <n v="0.61038269999999994"/>
  </r>
  <r>
    <x v="15"/>
    <n v="18"/>
    <x v="0"/>
    <n v="2"/>
    <n v="-35"/>
    <n v="-3"/>
    <n v="15"/>
    <n v="-3"/>
    <n v="-2"/>
    <n v="2"/>
    <n v="2"/>
    <n v="-2"/>
    <n v="-2"/>
    <n v="-2"/>
    <n v="0.41058489762572897"/>
    <n v="10.430554148285401"/>
    <n v="41.555999305191797"/>
    <n v="-3"/>
    <n v="-2.9894919999999998"/>
    <n v="-2.936337"/>
    <n v="-2.9335239999999998"/>
    <n v="-2.912369"/>
    <n v="-2.894012"/>
    <n v="6.3663000000000025E-2"/>
  </r>
  <r>
    <x v="15"/>
    <n v="19"/>
    <x v="1"/>
    <n v="5"/>
    <n v="-35"/>
    <n v="0"/>
    <n v="15"/>
    <n v="0"/>
    <n v="2"/>
    <n v="1"/>
    <n v="2"/>
    <n v="2"/>
    <n v="2"/>
    <n v="2"/>
    <n v="0.18413167090323401"/>
    <n v="1.6555673053543001"/>
    <n v="76.040286696439694"/>
    <n v="3"/>
    <n v="2.9825499999999998"/>
    <n v="3.0612089999999998"/>
    <n v="3.1383549999999998"/>
    <n v="3.1357240000000002"/>
    <n v="3.1978430000000002"/>
    <n v="6.1208999999999847E-2"/>
  </r>
  <r>
    <x v="15"/>
    <n v="20"/>
    <x v="2"/>
    <n v="4"/>
    <n v="-45"/>
    <n v="0"/>
    <n v="5"/>
    <n v="3"/>
    <n v="-2"/>
    <n v="-1"/>
    <n v="1"/>
    <n v="-2"/>
    <n v="-2"/>
    <n v="-2"/>
    <n v="0.17802098916824499"/>
    <n v="4.77755033761746"/>
    <n v="40.032378642492603"/>
    <n v="3"/>
    <n v="2.994872"/>
    <n v="1.896099"/>
    <n v="1.2311129999999999"/>
    <n v="0.33058759999999998"/>
    <n v="-0.72243489999999999"/>
    <n v="1.103901"/>
  </r>
  <r>
    <x v="15"/>
    <n v="21"/>
    <x v="0"/>
    <n v="6"/>
    <n v="-35"/>
    <n v="3"/>
    <n v="15"/>
    <n v="3"/>
    <n v="0"/>
    <n v="1"/>
    <n v="-1"/>
    <n v="1"/>
    <n v="1"/>
    <n v="1"/>
    <n v="0.13050238984558399"/>
    <n v="3.2973582771647698"/>
    <n v="76.724884179235602"/>
    <n v="0"/>
    <n v="0"/>
    <n v="-2.448724E-2"/>
    <n v="0.59654529999999995"/>
    <n v="1.506049"/>
    <n v="2.36809"/>
    <n v="2.448724E-2"/>
  </r>
  <r>
    <x v="15"/>
    <n v="22"/>
    <x v="0"/>
    <n v="3"/>
    <n v="-35"/>
    <n v="0"/>
    <n v="15"/>
    <n v="-3"/>
    <n v="0"/>
    <n v="1"/>
    <n v="-1"/>
    <n v="1"/>
    <n v="1"/>
    <n v="1"/>
    <n v="0.12274035115644499"/>
    <n v="1.14052263262445"/>
    <n v="76.0966635090587"/>
    <n v="-3"/>
    <n v="-3"/>
    <n v="-2.9885269999999999"/>
    <n v="-3.0958199999999998"/>
    <n v="-3.0439400000000001"/>
    <n v="-3.0431180000000002"/>
    <n v="1.1473000000000066E-2"/>
  </r>
  <r>
    <x v="15"/>
    <n v="23"/>
    <x v="2"/>
    <n v="8"/>
    <n v="-45"/>
    <n v="0"/>
    <n v="5"/>
    <n v="-3"/>
    <n v="-2"/>
    <n v="1"/>
    <n v="1"/>
    <n v="-2"/>
    <n v="-2"/>
    <n v="-2"/>
    <n v="0.25645401709103499"/>
    <n v="4.4298002700366697"/>
    <n v="35.130554909553602"/>
    <n v="-3"/>
    <n v="-2.9719129999999998"/>
    <n v="-2.364805"/>
    <n v="-1.547193"/>
    <n v="-0.61441840000000003"/>
    <n v="0.49316919999999997"/>
    <n v="0.63519499999999995"/>
  </r>
  <r>
    <x v="15"/>
    <n v="24"/>
    <x v="1"/>
    <n v="1"/>
    <n v="-35"/>
    <n v="0"/>
    <n v="15"/>
    <n v="0"/>
    <n v="1"/>
    <n v="-1"/>
    <n v="2"/>
    <n v="2"/>
    <n v="2"/>
    <n v="1"/>
    <n v="0.15615459163344"/>
    <n v="2.6204305309246698"/>
    <n v="76.149160833853898"/>
    <n v="0"/>
    <n v="4.7797079999999998E-4"/>
    <n v="1.1296280000000001E-2"/>
    <n v="-0.25564009999999998"/>
    <n v="-0.82262950000000001"/>
    <n v="-1.460208"/>
    <n v="1.1296280000000001E-2"/>
  </r>
  <r>
    <x v="16"/>
    <n v="1"/>
    <x v="0"/>
    <n v="5"/>
    <n v="-35"/>
    <n v="0"/>
    <n v="15"/>
    <n v="0"/>
    <n v="2"/>
    <n v="2"/>
    <n v="1"/>
    <n v="2"/>
    <n v="2"/>
    <n v="2"/>
    <n v="0.32402299139924801"/>
    <n v="14.4259114961951"/>
    <n v="78.131056860379999"/>
    <n v="3"/>
    <n v="2.8665940000000001"/>
    <n v="0.98990789999999995"/>
    <n v="6.5161469999999999E-2"/>
    <n v="-0.54990910000000004"/>
    <n v="-1.134115"/>
    <n v="2.0100921"/>
  </r>
  <r>
    <x v="16"/>
    <n v="2"/>
    <x v="1"/>
    <n v="4"/>
    <n v="-45"/>
    <n v="0"/>
    <n v="5"/>
    <n v="3"/>
    <n v="-2"/>
    <n v="-2"/>
    <n v="2"/>
    <n v="-2"/>
    <n v="-2"/>
    <n v="-2"/>
    <n v="0.23292574976540401"/>
    <n v="5.4977015573312702"/>
    <n v="65.722534900476106"/>
    <n v="3"/>
    <n v="3"/>
    <n v="2.7533319999999999"/>
    <n v="2.5401090000000002"/>
    <n v="2.6320510000000001"/>
    <n v="2.6475759999999999"/>
    <n v="0.24666800000000011"/>
  </r>
  <r>
    <x v="16"/>
    <n v="3"/>
    <x v="2"/>
    <n v="7"/>
    <n v="-35"/>
    <n v="0"/>
    <n v="15"/>
    <n v="3"/>
    <n v="1"/>
    <n v="-1"/>
    <n v="2"/>
    <n v="2"/>
    <n v="2"/>
    <n v="-1"/>
    <n v="0.13868275704462099"/>
    <n v="2.96496056539028"/>
    <n v="77.339468170411294"/>
    <n v="3"/>
    <n v="2.8867349999999998"/>
    <n v="2.5173839999999998"/>
    <n v="2.4436960000000001"/>
    <n v="2.5195829999999999"/>
    <n v="2.570989"/>
    <n v="0.48261600000000016"/>
  </r>
  <r>
    <x v="16"/>
    <n v="4"/>
    <x v="1"/>
    <n v="2"/>
    <n v="-35"/>
    <n v="-3"/>
    <n v="15"/>
    <n v="-3"/>
    <n v="-2"/>
    <n v="-2"/>
    <n v="2"/>
    <n v="-2"/>
    <n v="-2"/>
    <n v="-2"/>
    <n v="0.24552382901551401"/>
    <n v="14.335207020125299"/>
    <n v="77.172878362446497"/>
    <n v="-3"/>
    <n v="-3.042246"/>
    <n v="-3.2386180000000002"/>
    <n v="-2.3858549999999998"/>
    <n v="-1.0673299999999999"/>
    <n v="-0.53835109999999997"/>
    <n v="0.23861800000000022"/>
  </r>
  <r>
    <x v="16"/>
    <n v="5"/>
    <x v="0"/>
    <n v="8"/>
    <n v="-45"/>
    <n v="0"/>
    <n v="5"/>
    <n v="-3"/>
    <n v="-2"/>
    <n v="-1"/>
    <n v="-2"/>
    <n v="-2"/>
    <n v="-2"/>
    <n v="-2"/>
    <n v="0.341181645573225"/>
    <n v="10.5587251392494"/>
    <n v="33.750385046208997"/>
    <n v="-3"/>
    <n v="-3.1909730000000001"/>
    <n v="-3.0685009999999999"/>
    <n v="-2.3778769999999998"/>
    <n v="-1.1991890000000001"/>
    <n v="0.53342999999999996"/>
    <n v="6.8500999999999923E-2"/>
  </r>
  <r>
    <x v="16"/>
    <n v="6"/>
    <x v="0"/>
    <n v="1"/>
    <n v="-35"/>
    <n v="0"/>
    <n v="15"/>
    <n v="0"/>
    <n v="-2"/>
    <n v="-1"/>
    <n v="-2"/>
    <n v="-2"/>
    <n v="-2"/>
    <n v="-2"/>
    <n v="0.123130552756258"/>
    <n v="3.61895771745235"/>
    <n v="76.239555986374995"/>
    <n v="0"/>
    <n v="0"/>
    <n v="-1.1678390000000001"/>
    <n v="-2.4604110000000001"/>
    <n v="-3.7013660000000002"/>
    <n v="-4.3704020000000003"/>
    <n v="1.1678390000000001"/>
  </r>
  <r>
    <x v="16"/>
    <n v="7"/>
    <x v="1"/>
    <n v="6"/>
    <n v="-35"/>
    <n v="3"/>
    <n v="15"/>
    <n v="3"/>
    <n v="-1"/>
    <n v="-2"/>
    <n v="1"/>
    <n v="-1"/>
    <n v="2"/>
    <n v="-2"/>
    <n v="0.138391331969376"/>
    <n v="5.0819429218129999"/>
    <n v="78.0948103064664"/>
    <n v="0"/>
    <n v="-0.17328740000000001"/>
    <n v="1.1853130000000001"/>
    <n v="2.4322789999999999"/>
    <n v="3.3870719999999999"/>
    <n v="3.8240799999999999"/>
    <n v="1.1853130000000001"/>
  </r>
  <r>
    <x v="16"/>
    <n v="8"/>
    <x v="2"/>
    <n v="2"/>
    <n v="-35"/>
    <n v="-3"/>
    <n v="15"/>
    <n v="-3"/>
    <n v="-2"/>
    <n v="-2"/>
    <n v="-2"/>
    <n v="1"/>
    <n v="-1"/>
    <n v="-1"/>
    <n v="0.17950796154731199"/>
    <n v="4.6703871909690502"/>
    <n v="76.210595138383297"/>
    <n v="-3"/>
    <n v="-3"/>
    <n v="-2.0350839999999999"/>
    <n v="-2.0365280000000001"/>
    <n v="-3.4062549999999998"/>
    <n v="-3.5264690000000001"/>
    <n v="0.96491600000000011"/>
  </r>
  <r>
    <x v="16"/>
    <n v="9"/>
    <x v="1"/>
    <n v="7"/>
    <n v="-35"/>
    <n v="0"/>
    <n v="15"/>
    <n v="3"/>
    <n v="-2"/>
    <n v="-1"/>
    <n v="-2"/>
    <n v="-1"/>
    <n v="-1"/>
    <n v="-1"/>
    <n v="0.13986677647350401"/>
    <n v="1.5011802680986299"/>
    <n v="77.083342537943096"/>
    <n v="3"/>
    <n v="2.8461219999999998"/>
    <n v="3.120657"/>
    <n v="3.5533540000000001"/>
    <n v="3.942904"/>
    <n v="4.1854639999999996"/>
    <n v="0.12065700000000001"/>
  </r>
  <r>
    <x v="16"/>
    <n v="10"/>
    <x v="0"/>
    <n v="4"/>
    <n v="-45"/>
    <n v="0"/>
    <n v="5"/>
    <n v="3"/>
    <n v="-1"/>
    <n v="1"/>
    <n v="1"/>
    <n v="1"/>
    <n v="2"/>
    <n v="1"/>
    <n v="0.185306726865474"/>
    <n v="11.435111868559099"/>
    <n v="67.188123120505395"/>
    <n v="3"/>
    <n v="2.3161700000000001"/>
    <n v="0.26584370000000002"/>
    <n v="-1.171549"/>
    <n v="-2.8209559999999998"/>
    <n v="-3.7571439999999998"/>
    <n v="2.7341563"/>
  </r>
  <r>
    <x v="16"/>
    <n v="11"/>
    <x v="2"/>
    <n v="5"/>
    <n v="-35"/>
    <n v="0"/>
    <n v="15"/>
    <n v="0"/>
    <n v="-1"/>
    <n v="-1"/>
    <n v="-2"/>
    <n v="1"/>
    <n v="1"/>
    <n v="-1"/>
    <n v="0.13083477323096099"/>
    <n v="2.2683619988602999"/>
    <n v="77.006289307927403"/>
    <n v="3"/>
    <n v="2.4875020000000001"/>
    <n v="1.2971969999999999"/>
    <n v="0.17178370000000001"/>
    <n v="-0.75844440000000002"/>
    <n v="-1.612679"/>
    <n v="1.7028030000000001"/>
  </r>
  <r>
    <x v="16"/>
    <n v="12"/>
    <x v="2"/>
    <n v="3"/>
    <n v="-35"/>
    <n v="0"/>
    <n v="15"/>
    <n v="-3"/>
    <n v="1"/>
    <n v="-1"/>
    <n v="2"/>
    <n v="2"/>
    <n v="2"/>
    <n v="-1"/>
    <n v="0.167254893084296"/>
    <n v="3.3278150985974899"/>
    <n v="75.667421210063395"/>
    <n v="-3"/>
    <n v="-3.0342479999999998"/>
    <n v="-3.2690929999999998"/>
    <n v="-3.5456759999999998"/>
    <n v="-3.7568329999999999"/>
    <n v="-3.7474249999999998"/>
    <n v="0.2690929999999998"/>
  </r>
  <r>
    <x v="16"/>
    <n v="13"/>
    <x v="0"/>
    <n v="7"/>
    <n v="-35"/>
    <n v="0"/>
    <n v="15"/>
    <n v="3"/>
    <n v="-2"/>
    <n v="-1"/>
    <n v="2"/>
    <n v="-1"/>
    <n v="-1"/>
    <n v="1"/>
    <n v="0.11967502921307301"/>
    <n v="2.0372351505843098"/>
    <n v="77.514186822489194"/>
    <n v="3"/>
    <n v="2.8818429999999999"/>
    <n v="2.4918779999999998"/>
    <n v="2.7081439999999999"/>
    <n v="3.0281980000000002"/>
    <n v="3.2784960000000001"/>
    <n v="0.50812200000000018"/>
  </r>
  <r>
    <x v="16"/>
    <n v="14"/>
    <x v="2"/>
    <n v="1"/>
    <n v="-35"/>
    <n v="0"/>
    <n v="15"/>
    <n v="0"/>
    <n v="1"/>
    <n v="-2"/>
    <n v="1"/>
    <n v="1"/>
    <n v="1"/>
    <n v="-1"/>
    <n v="0.12915972595561301"/>
    <n v="2.9499698951160398"/>
    <n v="76.230121054712995"/>
    <n v="0"/>
    <n v="0"/>
    <n v="-1.3450660000000001"/>
    <n v="-2.32341"/>
    <n v="-3.271811"/>
    <n v="-4.0604339999999999"/>
    <n v="1.3450660000000001"/>
  </r>
  <r>
    <x v="16"/>
    <n v="15"/>
    <x v="1"/>
    <n v="8"/>
    <n v="-45"/>
    <n v="0"/>
    <n v="5"/>
    <n v="-3"/>
    <n v="1"/>
    <n v="-1"/>
    <n v="1"/>
    <n v="-1"/>
    <n v="-1"/>
    <n v="-1"/>
    <n v="0.13998489118764501"/>
    <n v="2.6772254891288298"/>
    <n v="68.316603004838697"/>
    <n v="-3"/>
    <n v="-3.2007750000000001"/>
    <n v="-2.3603170000000002"/>
    <n v="-1.614679"/>
    <n v="-0.67623080000000002"/>
    <n v="0.76155079999999997"/>
    <n v="0.63968299999999978"/>
  </r>
  <r>
    <x v="16"/>
    <n v="16"/>
    <x v="1"/>
    <n v="3"/>
    <n v="-35"/>
    <n v="0"/>
    <n v="15"/>
    <n v="-3"/>
    <n v="1"/>
    <n v="-1"/>
    <n v="1"/>
    <n v="1"/>
    <n v="2"/>
    <n v="0"/>
    <n v="0.14116817573031901"/>
    <n v="2.8885198460709298"/>
    <n v="76.605844929703906"/>
    <n v="-3"/>
    <n v="-3.1871990000000001"/>
    <n v="-3.399616"/>
    <n v="-3.4934620000000001"/>
    <n v="-3.6823670000000002"/>
    <n v="-3.947594"/>
    <n v="0.39961599999999997"/>
  </r>
  <r>
    <x v="16"/>
    <n v="17"/>
    <x v="2"/>
    <n v="6"/>
    <n v="-35"/>
    <n v="3"/>
    <n v="15"/>
    <n v="3"/>
    <n v="2"/>
    <n v="1"/>
    <n v="2"/>
    <n v="2"/>
    <n v="2"/>
    <n v="2"/>
    <n v="0.109509450764833"/>
    <n v="2.0972301551961698"/>
    <n v="77.889627148204298"/>
    <n v="0"/>
    <n v="-0.22668440000000001"/>
    <n v="0.1239058"/>
    <n v="0.49565179999999998"/>
    <n v="0.8900496"/>
    <n v="1.257279"/>
    <n v="0.1239058"/>
  </r>
  <r>
    <x v="16"/>
    <n v="18"/>
    <x v="0"/>
    <n v="2"/>
    <n v="-35"/>
    <n v="-3"/>
    <n v="15"/>
    <n v="-3"/>
    <n v="2"/>
    <n v="2"/>
    <n v="1"/>
    <n v="2"/>
    <n v="2"/>
    <n v="2"/>
    <n v="0.129775533429554"/>
    <n v="3.2444167132078401"/>
    <n v="77.945767093033098"/>
    <n v="-3"/>
    <n v="-2.9516429999999998"/>
    <n v="-2.5961940000000001"/>
    <n v="-2.301212"/>
    <n v="-1.436464"/>
    <n v="-0.50601989999999997"/>
    <n v="0.40380599999999989"/>
  </r>
  <r>
    <x v="16"/>
    <n v="19"/>
    <x v="1"/>
    <n v="5"/>
    <n v="-35"/>
    <n v="0"/>
    <n v="15"/>
    <n v="0"/>
    <n v="-1"/>
    <n v="1"/>
    <n v="-1"/>
    <n v="1"/>
    <n v="1"/>
    <n v="-1"/>
    <n v="0.1232983553622"/>
    <n v="3.1979678085018399"/>
    <n v="78.488691984050504"/>
    <n v="3"/>
    <n v="2.497306"/>
    <n v="1.430434"/>
    <n v="8.7516099999999999E-2"/>
    <n v="-1.1282669999999999"/>
    <n v="-2.0378970000000001"/>
    <n v="1.569566"/>
  </r>
  <r>
    <x v="16"/>
    <n v="20"/>
    <x v="2"/>
    <n v="4"/>
    <n v="-45"/>
    <n v="0"/>
    <n v="5"/>
    <n v="3"/>
    <n v="1"/>
    <n v="-1"/>
    <n v="1"/>
    <n v="-1"/>
    <n v="1"/>
    <n v="0"/>
    <n v="0.124336183466423"/>
    <n v="2.0764884821310901"/>
    <n v="67.319794139224697"/>
    <n v="3"/>
    <n v="2.9937149999999999"/>
    <n v="1.3703350000000001"/>
    <n v="-0.34317510000000001"/>
    <n v="-2.0556969999999999"/>
    <n v="-3.6244179999999999"/>
    <n v="1.6296649999999999"/>
  </r>
  <r>
    <x v="16"/>
    <n v="21"/>
    <x v="0"/>
    <n v="6"/>
    <n v="-35"/>
    <n v="3"/>
    <n v="15"/>
    <n v="3"/>
    <n v="1"/>
    <n v="-1"/>
    <n v="-1"/>
    <n v="-1"/>
    <n v="-1"/>
    <n v="-1"/>
    <n v="0.12394154631079"/>
    <n v="2.50101992899909"/>
    <n v="77.745150395429306"/>
    <n v="0"/>
    <n v="-0.13549530000000001"/>
    <n v="0.10384740000000001"/>
    <n v="0.54986999999999997"/>
    <n v="1.039126"/>
    <n v="1.5227390000000001"/>
    <n v="0.10384740000000001"/>
  </r>
  <r>
    <x v="16"/>
    <n v="22"/>
    <x v="0"/>
    <n v="3"/>
    <n v="-35"/>
    <n v="0"/>
    <n v="15"/>
    <n v="-3"/>
    <n v="-1"/>
    <n v="1"/>
    <n v="-1"/>
    <n v="-1"/>
    <n v="-1"/>
    <n v="-1"/>
    <n v="0.114710275126146"/>
    <n v="1.79999114076084"/>
    <n v="77.531495734088196"/>
    <n v="-3"/>
    <n v="-3.3210999999999999"/>
    <n v="-3.7634150000000002"/>
    <n v="-3.9321630000000001"/>
    <n v="-4.1330770000000001"/>
    <n v="-4.2650899999999998"/>
    <n v="0.76341500000000018"/>
  </r>
  <r>
    <x v="16"/>
    <n v="23"/>
    <x v="2"/>
    <n v="8"/>
    <n v="-45"/>
    <n v="0"/>
    <n v="5"/>
    <n v="-3"/>
    <n v="1"/>
    <n v="-1"/>
    <n v="2"/>
    <n v="2"/>
    <n v="2"/>
    <n v="1"/>
    <n v="0.118262157874011"/>
    <n v="2.51227964706294"/>
    <n v="68.1744294375914"/>
    <n v="-3"/>
    <n v="-3.0510440000000001"/>
    <n v="-2.2048890000000001"/>
    <n v="-0.88455899999999998"/>
    <n v="0.64681069999999996"/>
    <n v="2.1042329999999998"/>
    <n v="0.7951109999999999"/>
  </r>
  <r>
    <x v="16"/>
    <n v="24"/>
    <x v="1"/>
    <n v="1"/>
    <n v="-35"/>
    <n v="0"/>
    <n v="15"/>
    <n v="0"/>
    <n v="2"/>
    <n v="-1"/>
    <n v="2"/>
    <n v="1"/>
    <n v="2"/>
    <n v="-1"/>
    <n v="0.123258061867467"/>
    <n v="2.15743767624723"/>
    <n v="76.667935430656797"/>
    <n v="0"/>
    <n v="-0.2938751"/>
    <n v="-1.8407180000000001"/>
    <n v="-3.263223"/>
    <n v="-4.1603070000000004"/>
    <n v="-4.4985160000000004"/>
    <n v="1.8407180000000001"/>
  </r>
  <r>
    <x v="17"/>
    <n v="1"/>
    <x v="1"/>
    <n v="1"/>
    <n v="-35"/>
    <n v="0"/>
    <n v="15"/>
    <n v="0"/>
    <n v="0"/>
    <n v="1"/>
    <n v="1"/>
    <n v="0"/>
    <n v="1"/>
    <n v="1"/>
    <n v="0.19831330998194699"/>
    <n v="4.3807531832889897"/>
    <n v="75.200320591264898"/>
    <n v="0"/>
    <n v="-3.2233159999999997E-2"/>
    <n v="0.20236609999999999"/>
    <n v="1.4380409999999999"/>
    <n v="2.3269150000000001"/>
    <n v="3.0204710000000001"/>
    <n v="0.20236609999999999"/>
  </r>
  <r>
    <x v="17"/>
    <n v="2"/>
    <x v="2"/>
    <n v="8"/>
    <n v="-45"/>
    <n v="0"/>
    <n v="5"/>
    <n v="-3"/>
    <n v="1"/>
    <n v="1"/>
    <n v="1"/>
    <n v="1"/>
    <n v="2"/>
    <n v="1"/>
    <n v="0.23442321957881401"/>
    <n v="11.7693305352607"/>
    <n v="68.013396808673605"/>
    <n v="-3"/>
    <n v="-2.6072950000000001"/>
    <n v="-0.30313839999999997"/>
    <n v="-0.88000460000000003"/>
    <n v="0.8602824"/>
    <n v="1.9855100000000001"/>
    <n v="2.6968616000000001"/>
  </r>
  <r>
    <x v="17"/>
    <n v="3"/>
    <x v="0"/>
    <n v="3"/>
    <n v="-35"/>
    <n v="0"/>
    <n v="15"/>
    <n v="-3"/>
    <n v="-1"/>
    <n v="0"/>
    <n v="-1"/>
    <n v="-2"/>
    <n v="0"/>
    <n v="-2"/>
    <n v="0.14387568733070699"/>
    <n v="13.0485445891791"/>
    <n v="77.512553827211306"/>
    <n v="-3"/>
    <n v="-2.6513059999999999"/>
    <n v="-1.354514"/>
    <n v="-1.5170650000000001"/>
    <n v="-0.92725259999999998"/>
    <n v="-2.2633380000000001"/>
    <n v="1.645486"/>
  </r>
  <r>
    <x v="17"/>
    <n v="4"/>
    <x v="0"/>
    <n v="6"/>
    <n v="-35"/>
    <n v="3"/>
    <n v="15"/>
    <n v="3"/>
    <n v="1"/>
    <n v="0"/>
    <n v="0"/>
    <n v="-1"/>
    <n v="-1"/>
    <n v="-1"/>
    <n v="0.12076036085946699"/>
    <n v="3.5097259161285099"/>
    <n v="77.196202634424395"/>
    <n v="0"/>
    <n v="5.6818630000000002E-2"/>
    <n v="0.59822960000000003"/>
    <n v="1.6659170000000001"/>
    <n v="2.2247270000000001"/>
    <n v="2.7544970000000002"/>
    <n v="0.59822960000000003"/>
  </r>
  <r>
    <x v="17"/>
    <n v="5"/>
    <x v="2"/>
    <n v="4"/>
    <n v="-45"/>
    <n v="0"/>
    <n v="5"/>
    <n v="3"/>
    <n v="2"/>
    <n v="-1"/>
    <n v="1"/>
    <n v="1"/>
    <n v="1"/>
    <n v="1"/>
    <n v="0.20423587700385401"/>
    <n v="7.1358579186208404"/>
    <n v="66.210421856268894"/>
    <n v="3"/>
    <n v="2.308792"/>
    <n v="0.61237439999999999"/>
    <n v="0.64594810000000003"/>
    <n v="1.147486"/>
    <n v="1.7191540000000001"/>
    <n v="2.3876255999999998"/>
  </r>
  <r>
    <x v="17"/>
    <n v="6"/>
    <x v="1"/>
    <n v="5"/>
    <n v="-35"/>
    <n v="0"/>
    <n v="15"/>
    <n v="0"/>
    <n v="0"/>
    <n v="1"/>
    <n v="-1"/>
    <n v="0"/>
    <n v="1"/>
    <n v="0"/>
    <n v="0.13397992656670901"/>
    <n v="7.1099245271368501"/>
    <n v="77.954305872487694"/>
    <n v="3"/>
    <n v="2.3785069999999999"/>
    <n v="0.62852390000000002"/>
    <n v="-0.1405979"/>
    <n v="-1.074538"/>
    <n v="-1.1963189999999999"/>
    <n v="2.3714760999999998"/>
  </r>
  <r>
    <x v="17"/>
    <n v="7"/>
    <x v="0"/>
    <n v="2"/>
    <n v="-35"/>
    <n v="-3"/>
    <n v="15"/>
    <n v="-3"/>
    <n v="-1"/>
    <n v="0"/>
    <n v="-1"/>
    <n v="0"/>
    <n v="1"/>
    <n v="0"/>
    <n v="0.142115783920782"/>
    <n v="6.0863017596289204"/>
    <n v="77.022917205495901"/>
    <n v="-3"/>
    <n v="-2.6024769999999999"/>
    <n v="-0.92801"/>
    <n v="0.60408340000000005"/>
    <n v="0.86602959999999995"/>
    <n v="1.5924430000000001"/>
    <n v="2.07199"/>
  </r>
  <r>
    <x v="17"/>
    <n v="8"/>
    <x v="2"/>
    <n v="6"/>
    <n v="-35"/>
    <n v="3"/>
    <n v="15"/>
    <n v="3"/>
    <n v="1"/>
    <n v="2"/>
    <n v="1"/>
    <n v="0"/>
    <n v="1"/>
    <n v="1"/>
    <n v="0.22115912975631"/>
    <n v="8.5844883708020898"/>
    <n v="75.727528156838801"/>
    <n v="0"/>
    <n v="0"/>
    <n v="-1.3722659999999999E-2"/>
    <n v="0.55645690000000003"/>
    <n v="-8.1504670000000001E-2"/>
    <n v="-0.53872109999999995"/>
    <n v="1.3722659999999999E-2"/>
  </r>
  <r>
    <x v="17"/>
    <n v="9"/>
    <x v="1"/>
    <n v="3"/>
    <n v="-35"/>
    <n v="0"/>
    <n v="15"/>
    <n v="-3"/>
    <n v="1"/>
    <n v="-1"/>
    <n v="1"/>
    <n v="-1"/>
    <n v="0"/>
    <n v="0"/>
    <n v="0.195015286912711"/>
    <n v="4.5251178626552804"/>
    <n v="74.789839997932802"/>
    <n v="-3"/>
    <n v="-2.5708829999999998"/>
    <n v="-1.157489"/>
    <n v="-0.62244909999999998"/>
    <n v="-1.884093"/>
    <n v="-2.3677429999999999"/>
    <n v="1.842511"/>
  </r>
  <r>
    <x v="17"/>
    <n v="10"/>
    <x v="1"/>
    <n v="8"/>
    <n v="-45"/>
    <n v="0"/>
    <n v="5"/>
    <n v="-3"/>
    <n v="1"/>
    <n v="1"/>
    <n v="1"/>
    <n v="1"/>
    <n v="0"/>
    <n v="1"/>
    <n v="0.18912723058436201"/>
    <n v="6.3086566066386798"/>
    <n v="66.630968162986704"/>
    <n v="-3"/>
    <n v="-2.5642010000000002"/>
    <n v="-1.319034"/>
    <n v="-0.64365799999999995"/>
    <n v="0.1685171"/>
    <n v="6.8337839999999997E-2"/>
    <n v="1.680966"/>
  </r>
  <r>
    <x v="17"/>
    <n v="11"/>
    <x v="2"/>
    <n v="1"/>
    <n v="-35"/>
    <n v="0"/>
    <n v="15"/>
    <n v="0"/>
    <n v="1"/>
    <n v="0"/>
    <n v="1"/>
    <n v="1"/>
    <n v="1"/>
    <n v="1"/>
    <n v="0.18784429331254501"/>
    <n v="3.48842402443944"/>
    <n v="75.326018751895106"/>
    <n v="0"/>
    <n v="0.2440145"/>
    <n v="1.6409380000000001E-2"/>
    <n v="-0.41123769999999998"/>
    <n v="-1.374118"/>
    <n v="-2.0092840000000001"/>
    <n v="1.6409380000000001E-2"/>
  </r>
  <r>
    <x v="17"/>
    <n v="12"/>
    <x v="0"/>
    <n v="7"/>
    <n v="-35"/>
    <n v="0"/>
    <n v="15"/>
    <n v="3"/>
    <n v="0"/>
    <n v="1"/>
    <n v="1"/>
    <n v="-2"/>
    <n v="-1"/>
    <n v="-1"/>
    <n v="0.174924399624792"/>
    <n v="2.9985186165658599"/>
    <n v="75.453469122630693"/>
    <n v="3"/>
    <n v="2.640609"/>
    <n v="1.4382410000000001"/>
    <n v="1.4661249999999999"/>
    <n v="1.698107"/>
    <n v="1.8917520000000001"/>
    <n v="1.5617589999999999"/>
  </r>
  <r>
    <x v="17"/>
    <n v="13"/>
    <x v="2"/>
    <n v="3"/>
    <n v="-35"/>
    <n v="0"/>
    <n v="15"/>
    <n v="-3"/>
    <n v="2"/>
    <n v="-1"/>
    <n v="2"/>
    <n v="1"/>
    <n v="1"/>
    <n v="0"/>
    <n v="0.14937840609560299"/>
    <n v="2.3441819597181599"/>
    <n v="77.257420582609896"/>
    <n v="-3"/>
    <n v="-2.8538060000000001"/>
    <n v="-2.474745"/>
    <n v="-2.5754510000000002"/>
    <n v="-2.5679409999999998"/>
    <n v="-2.731169"/>
    <n v="0.52525500000000003"/>
  </r>
  <r>
    <x v="17"/>
    <n v="14"/>
    <x v="2"/>
    <n v="5"/>
    <n v="-35"/>
    <n v="0"/>
    <n v="15"/>
    <n v="0"/>
    <n v="2"/>
    <n v="-1"/>
    <n v="0"/>
    <n v="2"/>
    <n v="1"/>
    <n v="1"/>
    <n v="0.17549809750352099"/>
    <n v="5.4809865176509698"/>
    <n v="74.913935939807502"/>
    <n v="3"/>
    <n v="2.9996849999999999"/>
    <n v="2.5992829999999998"/>
    <n v="2.73828"/>
    <n v="2.758508"/>
    <n v="3.0675189999999999"/>
    <n v="0.40071700000000021"/>
  </r>
  <r>
    <x v="17"/>
    <n v="15"/>
    <x v="0"/>
    <n v="4"/>
    <n v="-45"/>
    <n v="0"/>
    <n v="5"/>
    <n v="3"/>
    <n v="2"/>
    <n v="1"/>
    <n v="1"/>
    <n v="1"/>
    <n v="1"/>
    <n v="1"/>
    <n v="0.208800359495876"/>
    <n v="3.95125285229377"/>
    <n v="66.690965239033702"/>
    <n v="3"/>
    <n v="2.8675320000000002"/>
    <n v="1.8619859999999999"/>
    <n v="1.564041"/>
    <n v="1.058827"/>
    <n v="1.6777299999999999"/>
    <n v="1.1380140000000001"/>
  </r>
  <r>
    <x v="17"/>
    <n v="16"/>
    <x v="1"/>
    <n v="7"/>
    <n v="-35"/>
    <n v="0"/>
    <n v="15"/>
    <n v="3"/>
    <n v="2"/>
    <n v="2"/>
    <n v="1"/>
    <n v="1"/>
    <n v="2"/>
    <n v="2"/>
    <n v="0.118857383878196"/>
    <n v="3.8848998661114198"/>
    <n v="76.893384040131807"/>
    <n v="3"/>
    <n v="2.8825829999999999"/>
    <n v="1.9407730000000001"/>
    <n v="1.4820359999999999"/>
    <n v="1.306519"/>
    <n v="2.3792680000000002"/>
    <n v="1.0592269999999999"/>
  </r>
  <r>
    <x v="17"/>
    <n v="17"/>
    <x v="2"/>
    <n v="2"/>
    <n v="-35"/>
    <n v="-3"/>
    <n v="15"/>
    <n v="-3"/>
    <n v="-1"/>
    <n v="1"/>
    <n v="-1"/>
    <n v="0"/>
    <n v="1"/>
    <n v="-1"/>
    <n v="0.19572466614539399"/>
    <n v="4.0749922575589599"/>
    <n v="77.680604879441901"/>
    <n v="-3"/>
    <n v="-2.440855"/>
    <n v="-0.83282129999999999"/>
    <n v="0.75769450000000005"/>
    <n v="1.1841250000000001"/>
    <n v="2.4942389999999999"/>
    <n v="2.1671787"/>
  </r>
  <r>
    <x v="17"/>
    <n v="18"/>
    <x v="1"/>
    <n v="6"/>
    <n v="-35"/>
    <n v="3"/>
    <n v="15"/>
    <n v="3"/>
    <n v="2"/>
    <n v="0"/>
    <n v="1"/>
    <n v="0"/>
    <n v="1"/>
    <n v="2"/>
    <n v="0.15370667060516899"/>
    <n v="4.7519528479397604"/>
    <n v="76.897164948661498"/>
    <n v="0"/>
    <n v="0.1772531"/>
    <n v="0.78910930000000001"/>
    <n v="0.92007939999999999"/>
    <n v="1.8355680000000001"/>
    <n v="2.297952"/>
    <n v="0.78910930000000001"/>
  </r>
  <r>
    <x v="17"/>
    <n v="19"/>
    <x v="0"/>
    <n v="1"/>
    <n v="-35"/>
    <n v="0"/>
    <n v="15"/>
    <n v="0"/>
    <n v="-1"/>
    <n v="1"/>
    <n v="1"/>
    <n v="1"/>
    <n v="0"/>
    <n v="0"/>
    <n v="0.185549090493353"/>
    <n v="2.7396748323246198"/>
    <n v="74.494148262592702"/>
    <n v="0"/>
    <n v="-3.379361E-3"/>
    <n v="-0.56637389999999999"/>
    <n v="-0.74972150000000004"/>
    <n v="-1.332284"/>
    <n v="-1.915762"/>
    <n v="0.56637389999999999"/>
  </r>
  <r>
    <x v="17"/>
    <n v="20"/>
    <x v="0"/>
    <n v="8"/>
    <n v="-45"/>
    <n v="0"/>
    <n v="5"/>
    <n v="-3"/>
    <n v="0"/>
    <n v="1"/>
    <n v="0"/>
    <n v="-1"/>
    <n v="1"/>
    <n v="0"/>
    <n v="0.125192556627646"/>
    <n v="4.5245306866458002"/>
    <n v="69.322053802726302"/>
    <n v="-3"/>
    <n v="-3"/>
    <n v="-1.942909"/>
    <n v="-1.210151"/>
    <n v="-0.68314889999999995"/>
    <n v="-1.102468"/>
    <n v="1.057091"/>
  </r>
  <r>
    <x v="17"/>
    <n v="21"/>
    <x v="1"/>
    <n v="2"/>
    <n v="-35"/>
    <n v="-3"/>
    <n v="15"/>
    <n v="-3"/>
    <n v="-1"/>
    <n v="1"/>
    <n v="-1"/>
    <n v="0"/>
    <n v="1"/>
    <n v="-1"/>
    <n v="0.15707149756210501"/>
    <n v="3.7267969846829301"/>
    <n v="78.320459672769402"/>
    <n v="-3"/>
    <n v="-2.439187"/>
    <n v="-1.004915"/>
    <n v="0.53194859999999999"/>
    <n v="1.825728"/>
    <n v="2.4703560000000002"/>
    <n v="1.995085"/>
  </r>
  <r>
    <x v="17"/>
    <n v="22"/>
    <x v="2"/>
    <n v="7"/>
    <n v="-35"/>
    <n v="0"/>
    <n v="15"/>
    <n v="3"/>
    <n v="1"/>
    <n v="1"/>
    <n v="1"/>
    <n v="2"/>
    <n v="1"/>
    <n v="1"/>
    <n v="0.119489805437876"/>
    <n v="2.6778216274637399"/>
    <n v="76.952646074133099"/>
    <n v="3"/>
    <n v="3.3371849999999998"/>
    <n v="3.1859730000000002"/>
    <n v="3.2790750000000002"/>
    <n v="3.5862210000000001"/>
    <n v="3.7981799999999999"/>
    <n v="0.18597300000000017"/>
  </r>
  <r>
    <x v="17"/>
    <n v="23"/>
    <x v="1"/>
    <n v="4"/>
    <n v="-45"/>
    <n v="0"/>
    <n v="5"/>
    <n v="3"/>
    <n v="2"/>
    <n v="1"/>
    <n v="2"/>
    <n v="1"/>
    <n v="1"/>
    <n v="1"/>
    <n v="0.17053906036849401"/>
    <n v="2.75265715149719"/>
    <n v="66.759303253131606"/>
    <n v="3"/>
    <n v="2.9818440000000002"/>
    <n v="2.5544150000000001"/>
    <n v="2.5548829999999998"/>
    <n v="2.552197"/>
    <n v="2.894469"/>
    <n v="0.4455849999999999"/>
  </r>
  <r>
    <x v="17"/>
    <n v="24"/>
    <x v="0"/>
    <n v="5"/>
    <n v="-35"/>
    <n v="0"/>
    <n v="15"/>
    <n v="0"/>
    <n v="1"/>
    <n v="1"/>
    <n v="1"/>
    <n v="2"/>
    <n v="1"/>
    <n v="1"/>
    <n v="0.13927875494467101"/>
    <n v="3.4046867219372499"/>
    <n v="77.888031293139306"/>
    <n v="3"/>
    <n v="2.960985"/>
    <n v="1.9157580000000001"/>
    <n v="1.063061"/>
    <n v="0.78756870000000001"/>
    <n v="0.47828989999999999"/>
    <n v="1.0842419999999999"/>
  </r>
  <r>
    <x v="18"/>
    <n v="1"/>
    <x v="0"/>
    <n v="5"/>
    <n v="-35"/>
    <n v="0"/>
    <n v="15"/>
    <n v="0"/>
    <n v="-1"/>
    <n v="-1"/>
    <n v="-2"/>
    <n v="-1"/>
    <n v="-1"/>
    <n v="-1"/>
    <n v="0.16585973162016199"/>
    <n v="2.11449190999463"/>
    <n v="76.548641212278596"/>
    <n v="3"/>
    <n v="3"/>
    <n v="3"/>
    <n v="3"/>
    <n v="2.9912000000000001"/>
    <n v="2.7959900000000002"/>
    <n v="0"/>
  </r>
  <r>
    <x v="18"/>
    <n v="2"/>
    <x v="1"/>
    <n v="4"/>
    <n v="-45"/>
    <n v="0"/>
    <n v="5"/>
    <n v="3"/>
    <n v="2"/>
    <n v="-1"/>
    <n v="2"/>
    <n v="-1"/>
    <n v="-1"/>
    <n v="1"/>
    <n v="0.17151243463661001"/>
    <n v="0.94805061578852001"/>
    <n v="65.651214748543495"/>
    <n v="3"/>
    <n v="3"/>
    <n v="3"/>
    <n v="2.8541859999999999"/>
    <n v="2.7203919999999999"/>
    <n v="2.6416170000000001"/>
    <n v="0"/>
  </r>
  <r>
    <x v="18"/>
    <n v="3"/>
    <x v="2"/>
    <n v="7"/>
    <n v="-35"/>
    <n v="0"/>
    <n v="15"/>
    <n v="3"/>
    <n v="-1"/>
    <n v="-2"/>
    <n v="2"/>
    <n v="-1"/>
    <n v="-2"/>
    <n v="-1"/>
    <n v="0.137497410276122"/>
    <n v="0.69873348372004396"/>
    <n v="75.390951415939597"/>
    <n v="3"/>
    <n v="3"/>
    <n v="3.0469490000000001"/>
    <n v="3.1444719999999999"/>
    <n v="3.2060270000000002"/>
    <n v="3.2182629999999999"/>
    <n v="4.694900000000013E-2"/>
  </r>
  <r>
    <x v="18"/>
    <n v="4"/>
    <x v="1"/>
    <n v="2"/>
    <n v="-35"/>
    <n v="-3"/>
    <n v="15"/>
    <n v="-3"/>
    <n v="1"/>
    <n v="-1"/>
    <n v="2"/>
    <n v="-2"/>
    <n v="-2"/>
    <n v="-1"/>
    <n v="0.18562772322507901"/>
    <n v="3.8480414758727601"/>
    <n v="76.196067086858505"/>
    <n v="-3"/>
    <n v="-3"/>
    <n v="-2.9704619999999999"/>
    <n v="-2.5661510000000001"/>
    <n v="-1.509671"/>
    <n v="-0.4735277"/>
    <n v="2.9538000000000064E-2"/>
  </r>
  <r>
    <x v="18"/>
    <n v="5"/>
    <x v="0"/>
    <n v="8"/>
    <n v="-45"/>
    <n v="0"/>
    <n v="5"/>
    <n v="-3"/>
    <n v="-2"/>
    <n v="-2"/>
    <n v="-1"/>
    <n v="-2"/>
    <n v="-1"/>
    <n v="-2"/>
    <n v="0.149112388103012"/>
    <n v="1.92730770768009"/>
    <n v="66.341941729543507"/>
    <n v="-3"/>
    <n v="-3"/>
    <n v="-3"/>
    <n v="-3.1574330000000002"/>
    <n v="-3.8086929999999999"/>
    <n v="-4.2267270000000003"/>
    <n v="0"/>
  </r>
  <r>
    <x v="18"/>
    <n v="6"/>
    <x v="0"/>
    <n v="1"/>
    <n v="-35"/>
    <n v="0"/>
    <n v="15"/>
    <n v="0"/>
    <n v="-2"/>
    <n v="-2"/>
    <n v="-2"/>
    <n v="-2"/>
    <n v="-1"/>
    <n v="-2"/>
    <n v="0.17559890722218799"/>
    <n v="1.3529697265602301"/>
    <n v="75.158547297098195"/>
    <n v="0"/>
    <n v="0"/>
    <n v="0"/>
    <n v="-0.3238492"/>
    <n v="-1.803571"/>
    <n v="-3.0765989999999999"/>
    <n v="0"/>
  </r>
  <r>
    <x v="18"/>
    <n v="7"/>
    <x v="1"/>
    <n v="6"/>
    <n v="-35"/>
    <n v="3"/>
    <n v="15"/>
    <n v="3"/>
    <n v="-2"/>
    <n v="-2"/>
    <n v="1"/>
    <n v="-2"/>
    <n v="-2"/>
    <n v="-2"/>
    <n v="0.18305209528609301"/>
    <n v="8.4102429420534701"/>
    <n v="77.204280286401598"/>
    <n v="0"/>
    <n v="0"/>
    <n v="0"/>
    <n v="1.429103"/>
    <n v="2.5112549999999998"/>
    <n v="3.1361490000000001"/>
    <n v="0"/>
  </r>
  <r>
    <x v="18"/>
    <n v="8"/>
    <x v="2"/>
    <n v="2"/>
    <n v="-35"/>
    <n v="-3"/>
    <n v="15"/>
    <n v="-3"/>
    <n v="-2"/>
    <n v="-2"/>
    <n v="1"/>
    <n v="-2"/>
    <n v="-2"/>
    <n v="-2"/>
    <n v="0.128485016541147"/>
    <n v="3.5337154206549801"/>
    <n v="77.040915441341099"/>
    <n v="-3"/>
    <n v="-3"/>
    <n v="-3"/>
    <n v="-1.847502"/>
    <n v="-0.68217329999999998"/>
    <n v="0.2127636"/>
    <n v="0"/>
  </r>
  <r>
    <x v="18"/>
    <n v="9"/>
    <x v="1"/>
    <n v="7"/>
    <n v="-35"/>
    <n v="0"/>
    <n v="15"/>
    <n v="3"/>
    <n v="2"/>
    <n v="1"/>
    <n v="2"/>
    <n v="2"/>
    <n v="1"/>
    <n v="2"/>
    <n v="0.18464989482659"/>
    <n v="1.8536444634331399"/>
    <n v="75.370527789510305"/>
    <n v="3"/>
    <n v="3"/>
    <n v="2.7154099999999999"/>
    <n v="2.718439"/>
    <n v="2.829583"/>
    <n v="3.3302489999999998"/>
    <n v="0.28459000000000012"/>
  </r>
  <r>
    <x v="18"/>
    <n v="10"/>
    <x v="0"/>
    <n v="4"/>
    <n v="-45"/>
    <n v="0"/>
    <n v="5"/>
    <n v="3"/>
    <n v="-1"/>
    <n v="0"/>
    <n v="-1"/>
    <n v="-1"/>
    <n v="-1"/>
    <n v="-1"/>
    <n v="0.12697102513919201"/>
    <n v="2.2728665595770399"/>
    <n v="67.933013903512105"/>
    <n v="3"/>
    <n v="3"/>
    <n v="2.8123960000000001"/>
    <n v="2.4507349999999999"/>
    <n v="2.719652"/>
    <n v="3.3491879999999998"/>
    <n v="0.18760399999999988"/>
  </r>
  <r>
    <x v="18"/>
    <n v="11"/>
    <x v="2"/>
    <n v="5"/>
    <n v="-35"/>
    <n v="0"/>
    <n v="15"/>
    <n v="0"/>
    <n v="-1"/>
    <n v="-2"/>
    <n v="-1"/>
    <n v="-1"/>
    <n v="-2"/>
    <n v="-1"/>
    <n v="0.13574188960382599"/>
    <n v="2.39732802887533"/>
    <n v="76.438961623046595"/>
    <n v="3"/>
    <n v="3"/>
    <n v="1.4240759999999999"/>
    <n v="0.53392150000000005"/>
    <n v="-0.24041290000000001"/>
    <n v="-0.76399740000000005"/>
    <n v="1.5759240000000001"/>
  </r>
  <r>
    <x v="18"/>
    <n v="12"/>
    <x v="2"/>
    <n v="3"/>
    <n v="-35"/>
    <n v="0"/>
    <n v="15"/>
    <n v="-3"/>
    <n v="2"/>
    <n v="-1"/>
    <n v="2"/>
    <n v="1"/>
    <n v="-1"/>
    <n v="1"/>
    <n v="0.16179875109552799"/>
    <n v="0.56381669242408206"/>
    <n v="74.001936365497102"/>
    <n v="-3"/>
    <n v="-3"/>
    <n v="-3"/>
    <n v="-3.4497330000000002"/>
    <n v="-3.9022100000000002"/>
    <n v="-4.1633769999999997"/>
    <n v="0"/>
  </r>
  <r>
    <x v="18"/>
    <n v="13"/>
    <x v="0"/>
    <n v="7"/>
    <n v="-35"/>
    <n v="0"/>
    <n v="15"/>
    <n v="3"/>
    <n v="-2"/>
    <n v="-1"/>
    <n v="-1"/>
    <n v="-2"/>
    <n v="-2"/>
    <n v="-2"/>
    <n v="0.188904001458538"/>
    <n v="1.4658048611908301"/>
    <n v="38.166062835247097"/>
    <n v="3"/>
    <n v="3"/>
    <n v="3.2184550000000001"/>
    <n v="3.2944270000000002"/>
    <n v="3.298918"/>
    <n v="3.3127309999999999"/>
    <n v="0.21845500000000007"/>
  </r>
  <r>
    <x v="18"/>
    <n v="14"/>
    <x v="2"/>
    <n v="1"/>
    <n v="-35"/>
    <n v="0"/>
    <n v="15"/>
    <n v="0"/>
    <n v="2"/>
    <n v="1"/>
    <n v="2"/>
    <n v="1"/>
    <n v="0"/>
    <n v="1"/>
    <n v="0.14235911719028799"/>
    <n v="3.2550368090391602"/>
    <n v="76.1877513499023"/>
    <n v="0"/>
    <n v="0"/>
    <n v="-5.7723940000000001E-2"/>
    <n v="-0.63156380000000001"/>
    <n v="-0.96583039999999998"/>
    <n v="-1.2365950000000001"/>
    <n v="5.7723940000000001E-2"/>
  </r>
  <r>
    <x v="18"/>
    <n v="15"/>
    <x v="1"/>
    <n v="8"/>
    <n v="-45"/>
    <n v="0"/>
    <n v="5"/>
    <n v="-3"/>
    <n v="1"/>
    <n v="2"/>
    <n v="2"/>
    <n v="1"/>
    <n v="2"/>
    <n v="1"/>
    <n v="0.180154528418599"/>
    <n v="3.41384336427185"/>
    <n v="66.725693081762003"/>
    <n v="-3"/>
    <n v="-3"/>
    <n v="-3.3569049999999998"/>
    <n v="-2.5757370000000002"/>
    <n v="-2.2006670000000002"/>
    <n v="-2.8616199999999998"/>
    <n v="0.35690499999999981"/>
  </r>
  <r>
    <x v="18"/>
    <n v="16"/>
    <x v="1"/>
    <n v="3"/>
    <n v="-35"/>
    <n v="0"/>
    <n v="15"/>
    <n v="-3"/>
    <n v="2"/>
    <n v="2"/>
    <n v="2"/>
    <n v="2"/>
    <n v="2"/>
    <n v="2"/>
    <n v="0.162688449791211"/>
    <n v="1.70635366947817"/>
    <n v="75.504281930598196"/>
    <n v="-3"/>
    <n v="-3.043803"/>
    <n v="-3.547186"/>
    <n v="-3.7412570000000001"/>
    <n v="-3.9450599999999998"/>
    <n v="-4.1739129999999998"/>
    <n v="0.54718599999999995"/>
  </r>
  <r>
    <x v="18"/>
    <n v="17"/>
    <x v="2"/>
    <n v="6"/>
    <n v="-35"/>
    <n v="3"/>
    <n v="15"/>
    <n v="3"/>
    <n v="2"/>
    <n v="1"/>
    <n v="2"/>
    <n v="2"/>
    <n v="1"/>
    <n v="2"/>
    <n v="0.15081884461120401"/>
    <n v="1.0813833444562699"/>
    <n v="75.573252814274397"/>
    <n v="0"/>
    <n v="8.7920260000000003E-4"/>
    <n v="0.5155286"/>
    <n v="1.0804739999999999"/>
    <n v="1.800044"/>
    <n v="2.4637760000000002"/>
    <n v="0.5155286"/>
  </r>
  <r>
    <x v="18"/>
    <n v="18"/>
    <x v="0"/>
    <n v="2"/>
    <n v="-35"/>
    <n v="-3"/>
    <n v="15"/>
    <n v="-3"/>
    <n v="-2"/>
    <n v="-2"/>
    <n v="-2"/>
    <n v="-2"/>
    <n v="-2"/>
    <n v="-2"/>
    <n v="0.15110685911806301"/>
    <n v="1.9732887301853199"/>
    <n v="75.562165261790796"/>
    <n v="-3"/>
    <n v="-3"/>
    <n v="-2.6037400000000002"/>
    <n v="-2.6463760000000001"/>
    <n v="-2.152641"/>
    <n v="-1.254456"/>
    <n v="0.39625999999999983"/>
  </r>
  <r>
    <x v="18"/>
    <n v="19"/>
    <x v="1"/>
    <n v="5"/>
    <n v="-35"/>
    <n v="0"/>
    <n v="15"/>
    <n v="0"/>
    <n v="-1"/>
    <n v="-2"/>
    <n v="0"/>
    <n v="-2"/>
    <n v="-2"/>
    <n v="-2"/>
    <n v="0.112338568241936"/>
    <n v="3.1848383650753398"/>
    <n v="77.264739399930093"/>
    <n v="3"/>
    <n v="2.981223"/>
    <n v="2.6346790000000002"/>
    <n v="2.215217"/>
    <n v="1.6482749999999999"/>
    <n v="1.025946"/>
    <n v="0.36532099999999978"/>
  </r>
  <r>
    <x v="18"/>
    <n v="20"/>
    <x v="2"/>
    <n v="4"/>
    <n v="-45"/>
    <n v="0"/>
    <n v="5"/>
    <n v="3"/>
    <n v="2"/>
    <n v="2"/>
    <n v="2"/>
    <n v="2"/>
    <n v="2"/>
    <n v="2"/>
    <n v="0.17927941957205801"/>
    <n v="1.75393402817806"/>
    <n v="66.366277179793002"/>
    <n v="3"/>
    <n v="2.9560360000000001"/>
    <n v="2.5225219999999999"/>
    <n v="2.1553429999999998"/>
    <n v="2.0476369999999999"/>
    <n v="2.4449450000000001"/>
    <n v="0.47747800000000007"/>
  </r>
  <r>
    <x v="18"/>
    <n v="21"/>
    <x v="0"/>
    <n v="6"/>
    <n v="-35"/>
    <n v="3"/>
    <n v="15"/>
    <n v="3"/>
    <n v="-2"/>
    <n v="-2"/>
    <n v="-2"/>
    <n v="-1"/>
    <n v="-2"/>
    <n v="-1"/>
    <n v="0.181019650845199"/>
    <n v="3.2419817244743299"/>
    <n v="38.332861587525201"/>
    <n v="0"/>
    <n v="0"/>
    <n v="0.21362439999999999"/>
    <n v="0.43818020000000002"/>
    <n v="0.70833460000000004"/>
    <n v="1.3658360000000001"/>
    <n v="0.21362439999999999"/>
  </r>
  <r>
    <x v="18"/>
    <n v="22"/>
    <x v="0"/>
    <n v="3"/>
    <n v="-35"/>
    <n v="0"/>
    <n v="15"/>
    <n v="-3"/>
    <n v="-1"/>
    <n v="1"/>
    <n v="-1"/>
    <n v="0"/>
    <n v="1"/>
    <n v="1"/>
    <n v="0.16365877730293199"/>
    <n v="0.74616992661704995"/>
    <n v="74.806935402257295"/>
    <n v="-3"/>
    <n v="-3.014373"/>
    <n v="-3.275725"/>
    <n v="-3.4570530000000002"/>
    <n v="-3.5316399999999999"/>
    <n v="-3.6024720000000001"/>
    <n v="0.275725"/>
  </r>
  <r>
    <x v="18"/>
    <n v="23"/>
    <x v="2"/>
    <n v="8"/>
    <n v="-45"/>
    <n v="0"/>
    <n v="5"/>
    <n v="-3"/>
    <n v="2"/>
    <n v="1"/>
    <n v="2"/>
    <n v="2"/>
    <n v="2"/>
    <n v="2"/>
    <n v="0.13089406166092299"/>
    <n v="1.29626049951864"/>
    <n v="66.824061765166405"/>
    <n v="-3"/>
    <n v="-3.001385"/>
    <n v="-2.9274830000000001"/>
    <n v="-2.9302809999999999"/>
    <n v="-3.1223230000000002"/>
    <n v="-3.2082950000000001"/>
    <n v="7.2516999999999943E-2"/>
  </r>
  <r>
    <x v="18"/>
    <n v="24"/>
    <x v="1"/>
    <n v="1"/>
    <n v="-35"/>
    <n v="0"/>
    <n v="15"/>
    <n v="0"/>
    <n v="2"/>
    <n v="2"/>
    <n v="2"/>
    <n v="2"/>
    <n v="1"/>
    <n v="2"/>
    <n v="0.18511445407924099"/>
    <n v="1.0730808296391501"/>
    <n v="74.885239247002204"/>
    <n v="0"/>
    <n v="-4.1804059999999997E-2"/>
    <n v="-0.93117419999999995"/>
    <n v="-1.8155129999999999"/>
    <n v="-2.6912929999999999"/>
    <n v="-3.449891"/>
    <n v="0.93117419999999995"/>
  </r>
  <r>
    <x v="19"/>
    <n v="1"/>
    <x v="1"/>
    <n v="1"/>
    <n v="-35"/>
    <n v="0"/>
    <n v="15"/>
    <n v="0"/>
    <n v="-1"/>
    <n v="-2"/>
    <n v="1"/>
    <n v="-1"/>
    <n v="-1"/>
    <n v="-1"/>
    <n v="0.23950014855972199"/>
    <n v="9.32619803712387"/>
    <n v="80.605160893519596"/>
    <n v="0"/>
    <n v="-4.3961059999999998E-8"/>
    <n v="-5.1802439999999995E-7"/>
    <n v="-9.9693509999999999E-7"/>
    <n v="-1.484495E-6"/>
    <n v="-1.964378E-6"/>
    <n v="5.1802439999999995E-7"/>
  </r>
  <r>
    <x v="19"/>
    <n v="2"/>
    <x v="2"/>
    <n v="8"/>
    <n v="-45"/>
    <n v="0"/>
    <n v="5"/>
    <n v="-3"/>
    <n v="-1"/>
    <n v="1"/>
    <n v="2"/>
    <n v="1"/>
    <n v="-1"/>
    <n v="-2"/>
    <n v="0.16535730045375599"/>
    <n v="16.7520221434233"/>
    <n v="83.972681447350595"/>
    <n v="-3"/>
    <n v="-3"/>
    <n v="-2.7630309999999998"/>
    <n v="-0.1981077"/>
    <n v="-0.45139610000000002"/>
    <n v="0.78263700000000003"/>
    <n v="0.23696900000000021"/>
  </r>
  <r>
    <x v="19"/>
    <n v="3"/>
    <x v="0"/>
    <n v="3"/>
    <n v="-35"/>
    <n v="0"/>
    <n v="15"/>
    <n v="-3"/>
    <n v="-1"/>
    <n v="-2"/>
    <n v="-2"/>
    <n v="-2"/>
    <n v="-2"/>
    <n v="-2"/>
    <n v="0.35394397747499001"/>
    <n v="21.201541282784699"/>
    <n v="74.848602789048797"/>
    <n v="-3"/>
    <n v="-3.0113479999999999"/>
    <n v="-2.0091760000000001"/>
    <n v="-0.27059"/>
    <n v="-0.31959969999999999"/>
    <n v="-0.3694964"/>
    <n v="0.99082399999999993"/>
  </r>
  <r>
    <x v="19"/>
    <n v="4"/>
    <x v="0"/>
    <n v="6"/>
    <n v="-35"/>
    <n v="3"/>
    <n v="15"/>
    <n v="3"/>
    <n v="1"/>
    <n v="1"/>
    <n v="1"/>
    <n v="-1"/>
    <n v="-2"/>
    <n v="1"/>
    <n v="0.30707571455323301"/>
    <n v="18.1673699992146"/>
    <n v="37.307914369203203"/>
    <n v="0"/>
    <n v="8.7393700000000005E-2"/>
    <n v="0.20169110000000001"/>
    <n v="0.3269048"/>
    <n v="0.45148909999999998"/>
    <n v="0.50819060000000005"/>
    <n v="0.20169110000000001"/>
  </r>
  <r>
    <x v="19"/>
    <n v="5"/>
    <x v="2"/>
    <n v="4"/>
    <n v="-45"/>
    <n v="0"/>
    <n v="5"/>
    <n v="3"/>
    <n v="2"/>
    <n v="2"/>
    <n v="2"/>
    <n v="2"/>
    <n v="2"/>
    <n v="2"/>
    <n v="6.6001969054226395E-2"/>
    <n v="1.57149182207419"/>
    <n v="78.664615875015599"/>
    <n v="3"/>
    <n v="3"/>
    <n v="3.0044170000000001"/>
    <n v="2.8414549999999998"/>
    <n v="2.7183769999999998"/>
    <n v="2.4104239999999999"/>
    <n v="4.4170000000001153E-3"/>
  </r>
  <r>
    <x v="19"/>
    <n v="6"/>
    <x v="1"/>
    <n v="5"/>
    <n v="-35"/>
    <n v="0"/>
    <n v="15"/>
    <n v="0"/>
    <n v="-1"/>
    <n v="-1"/>
    <n v="1"/>
    <n v="-1"/>
    <n v="-1"/>
    <n v="-1"/>
    <n v="9.1515007801145798E-2"/>
    <n v="5.44680964484564"/>
    <n v="82.308073509247805"/>
    <n v="3"/>
    <n v="3"/>
    <n v="2.9846349999999999"/>
    <n v="2.9579909999999998"/>
    <n v="2.9279470000000001"/>
    <n v="0.135683"/>
    <n v="1.5365000000000073E-2"/>
  </r>
  <r>
    <x v="19"/>
    <n v="7"/>
    <x v="0"/>
    <n v="2"/>
    <n v="-35"/>
    <n v="-3"/>
    <n v="15"/>
    <n v="-3"/>
    <n v="-2"/>
    <n v="-2"/>
    <n v="-2"/>
    <n v="-1"/>
    <n v="1"/>
    <n v="0"/>
    <n v="0.107659153422522"/>
    <n v="4.2906773443646804"/>
    <n v="77.772878886808599"/>
    <n v="-3"/>
    <n v="-3"/>
    <n v="-2.944045"/>
    <n v="-2.8536790000000001"/>
    <n v="-2.74579"/>
    <n v="0.34028170000000002"/>
    <n v="5.5954999999999977E-2"/>
  </r>
  <r>
    <x v="19"/>
    <n v="8"/>
    <x v="2"/>
    <n v="6"/>
    <n v="-35"/>
    <n v="3"/>
    <n v="15"/>
    <n v="3"/>
    <n v="-1"/>
    <n v="-1"/>
    <n v="2"/>
    <n v="-2"/>
    <n v="-2"/>
    <n v="-2"/>
    <n v="0.15544705290347599"/>
    <n v="6.58907037166954"/>
    <n v="79.663558290965895"/>
    <n v="0"/>
    <n v="0"/>
    <n v="-0.12560189999999999"/>
    <n v="-0.30431330000000001"/>
    <n v="-0.4698986"/>
    <n v="-0.62532580000000004"/>
    <n v="0.12560189999999999"/>
  </r>
  <r>
    <x v="19"/>
    <n v="9"/>
    <x v="1"/>
    <n v="3"/>
    <n v="-35"/>
    <n v="0"/>
    <n v="15"/>
    <n v="-3"/>
    <n v="-2"/>
    <n v="-2"/>
    <n v="2"/>
    <n v="-2"/>
    <n v="-2"/>
    <n v="-1"/>
    <n v="0.16215356146030199"/>
    <n v="5.3877184318023703"/>
    <n v="83.820838600700299"/>
    <n v="-3"/>
    <n v="-3.13964"/>
    <n v="-3.2949109999999999"/>
    <n v="-3.4627870000000001"/>
    <n v="-3.631453"/>
    <n v="-3.8002910000000001"/>
    <n v="0.29491099999999992"/>
  </r>
  <r>
    <x v="19"/>
    <n v="10"/>
    <x v="1"/>
    <n v="8"/>
    <n v="-45"/>
    <n v="0"/>
    <n v="5"/>
    <n v="-3"/>
    <n v="2"/>
    <n v="2"/>
    <n v="2"/>
    <n v="2"/>
    <n v="2"/>
    <n v="2"/>
    <n v="0.19344775082902099"/>
    <n v="12.9347894307561"/>
    <n v="84.955159067276696"/>
    <n v="-3"/>
    <n v="-3.000381"/>
    <n v="-3.2953139999999999"/>
    <n v="-3.6130399999999998"/>
    <n v="-3.783744"/>
    <n v="-4.0640830000000001"/>
    <n v="0.29531399999999985"/>
  </r>
  <r>
    <x v="19"/>
    <n v="11"/>
    <x v="2"/>
    <n v="1"/>
    <n v="-35"/>
    <n v="0"/>
    <n v="15"/>
    <n v="0"/>
    <n v="-1"/>
    <n v="1"/>
    <n v="1"/>
    <n v="-1"/>
    <n v="-1"/>
    <n v="-1"/>
    <n v="0.15691054133323701"/>
    <n v="9.74317852288282"/>
    <n v="80.881546344693604"/>
    <n v="0"/>
    <n v="-1.751401E-2"/>
    <n v="3.6269849999999999E-2"/>
    <n v="0.12550910000000001"/>
    <n v="1.023957"/>
    <n v="1.5298130000000001"/>
    <n v="3.6269849999999999E-2"/>
  </r>
  <r>
    <x v="19"/>
    <n v="12"/>
    <x v="0"/>
    <n v="7"/>
    <n v="-35"/>
    <n v="0"/>
    <n v="15"/>
    <n v="3"/>
    <n v="-1"/>
    <n v="1"/>
    <n v="2"/>
    <n v="-1"/>
    <n v="-1"/>
    <n v="-1"/>
    <n v="0.23364486463234799"/>
    <n v="11.4934454143803"/>
    <n v="85.5564605932571"/>
    <n v="3"/>
    <n v="2.9831949999999998"/>
    <n v="0.37537130000000002"/>
    <n v="0.34006760000000003"/>
    <n v="0.30488779999999999"/>
    <n v="0.1589585"/>
    <n v="2.6246287000000001"/>
  </r>
  <r>
    <x v="19"/>
    <n v="13"/>
    <x v="2"/>
    <n v="3"/>
    <n v="-35"/>
    <n v="0"/>
    <n v="15"/>
    <n v="-3"/>
    <n v="2"/>
    <n v="2"/>
    <n v="2"/>
    <n v="2"/>
    <n v="2"/>
    <n v="2"/>
    <n v="8.8186004719580505E-2"/>
    <n v="3.9330513134182601"/>
    <n v="78.139623497412103"/>
    <n v="-3"/>
    <n v="-3.1110890000000002"/>
    <n v="-3.3484050000000001"/>
    <n v="-3.0184839999999999"/>
    <n v="-3.254759"/>
    <n v="-3.4927600000000001"/>
    <n v="0.34840500000000008"/>
  </r>
  <r>
    <x v="19"/>
    <n v="14"/>
    <x v="2"/>
    <n v="5"/>
    <n v="-35"/>
    <n v="0"/>
    <n v="15"/>
    <n v="0"/>
    <n v="2"/>
    <n v="2"/>
    <n v="1"/>
    <n v="1"/>
    <n v="-1"/>
    <n v="0"/>
    <n v="0.19833729089062399"/>
    <n v="6.0584907284095904"/>
    <n v="77.275834683838895"/>
    <n v="3"/>
    <n v="2.9669590000000001"/>
    <n v="2.764475"/>
    <n v="2.5473560000000002"/>
    <n v="2.3320319999999999"/>
    <n v="2.2942779999999998"/>
    <n v="0.23552499999999998"/>
  </r>
  <r>
    <x v="19"/>
    <n v="15"/>
    <x v="0"/>
    <n v="4"/>
    <n v="-45"/>
    <n v="0"/>
    <n v="5"/>
    <n v="3"/>
    <n v="-1"/>
    <n v="-2"/>
    <n v="-1"/>
    <n v="-1"/>
    <n v="-2"/>
    <n v="-1"/>
    <n v="0.19360371200531601"/>
    <n v="5.3784674757886002"/>
    <n v="78.137262850516393"/>
    <n v="3"/>
    <n v="2.8481719999999999"/>
    <n v="2.6835019999999998"/>
    <n v="2.5190579999999998"/>
    <n v="2.3552810000000002"/>
    <n v="2.6329220000000002"/>
    <n v="0.31649800000000017"/>
  </r>
  <r>
    <x v="19"/>
    <n v="16"/>
    <x v="1"/>
    <n v="7"/>
    <n v="-35"/>
    <n v="0"/>
    <n v="15"/>
    <n v="3"/>
    <n v="2"/>
    <n v="1"/>
    <n v="1"/>
    <n v="1"/>
    <n v="2"/>
    <n v="1"/>
    <n v="4.8318568819175102E-2"/>
    <n v="1.3075531646157501"/>
    <n v="77.812083356584296"/>
    <n v="3"/>
    <n v="3"/>
    <n v="2.9999989999999999"/>
    <n v="2.9999989999999999"/>
    <n v="2.9990420000000002"/>
    <n v="2.9954990000000001"/>
    <n v="1.000000000139778E-6"/>
  </r>
  <r>
    <x v="19"/>
    <n v="17"/>
    <x v="2"/>
    <n v="2"/>
    <n v="-35"/>
    <n v="-3"/>
    <n v="15"/>
    <n v="-3"/>
    <n v="-1"/>
    <n v="-1"/>
    <n v="1"/>
    <n v="-1"/>
    <n v="-1"/>
    <n v="1"/>
    <n v="0.14882784823900699"/>
    <n v="14.458859062805701"/>
    <n v="84.094508024238607"/>
    <n v="-3"/>
    <n v="-3.0156830000000001"/>
    <n v="-3.0575109999999999"/>
    <n v="-3.1052110000000002"/>
    <n v="-2.8079580000000002"/>
    <n v="1.1086100000000001"/>
    <n v="5.7510999999999868E-2"/>
  </r>
  <r>
    <x v="19"/>
    <n v="18"/>
    <x v="1"/>
    <n v="6"/>
    <n v="-35"/>
    <n v="3"/>
    <n v="15"/>
    <n v="3"/>
    <n v="-1"/>
    <n v="1"/>
    <n v="-1"/>
    <n v="-1"/>
    <n v="-1"/>
    <n v="-1"/>
    <n v="0.131787520792429"/>
    <n v="17.90397345037"/>
    <n v="87.185856960581205"/>
    <n v="0"/>
    <n v="-0.21801570000000001"/>
    <n v="-2.714143"/>
    <n v="-2.8545690000000001"/>
    <n v="-3.041328"/>
    <n v="-3.244964"/>
    <n v="2.714143"/>
  </r>
  <r>
    <x v="19"/>
    <n v="19"/>
    <x v="0"/>
    <n v="1"/>
    <n v="-35"/>
    <n v="0"/>
    <n v="15"/>
    <n v="0"/>
    <n v="-1"/>
    <n v="1"/>
    <n v="1"/>
    <n v="-1"/>
    <n v="1"/>
    <n v="1"/>
    <n v="0.15132665841536999"/>
    <n v="13.4239261585146"/>
    <n v="81.641970715349203"/>
    <n v="0"/>
    <n v="-1.504196E-2"/>
    <n v="-6.5650810000000004E-2"/>
    <n v="-0.2379338"/>
    <n v="-0.41932970000000003"/>
    <n v="-3.0510079999999999"/>
    <n v="6.5650810000000004E-2"/>
  </r>
  <r>
    <x v="19"/>
    <n v="20"/>
    <x v="0"/>
    <n v="8"/>
    <n v="-45"/>
    <n v="0"/>
    <n v="5"/>
    <n v="-3"/>
    <n v="-1"/>
    <n v="-1"/>
    <n v="1"/>
    <n v="2"/>
    <n v="1"/>
    <n v="1"/>
    <n v="0.118348644695975"/>
    <n v="3.6150443275024799"/>
    <n v="77.498575298911405"/>
    <n v="-3"/>
    <n v="-3.0295079999999999"/>
    <n v="-3.0780479999999999"/>
    <n v="-3.2409379999999999"/>
    <n v="-3.4027099999999999"/>
    <n v="-3.5644550000000002"/>
    <n v="7.8047999999999895E-2"/>
  </r>
  <r>
    <x v="19"/>
    <n v="21"/>
    <x v="1"/>
    <n v="2"/>
    <n v="-35"/>
    <n v="-3"/>
    <n v="15"/>
    <n v="-3"/>
    <n v="1"/>
    <n v="1"/>
    <n v="2"/>
    <n v="1"/>
    <n v="1"/>
    <n v="1"/>
    <n v="0.13963698572498001"/>
    <n v="6.5815260749247102"/>
    <n v="81.427878776042206"/>
    <n v="-3"/>
    <n v="-1.1790119999999999"/>
    <n v="2.0271379999999999"/>
    <n v="2.5280109999999998"/>
    <n v="2.3897080000000002"/>
    <n v="2.2371120000000002"/>
    <n v="5.0271379999999999"/>
  </r>
  <r>
    <x v="19"/>
    <n v="22"/>
    <x v="2"/>
    <n v="7"/>
    <n v="-35"/>
    <n v="0"/>
    <n v="15"/>
    <n v="3"/>
    <n v="2"/>
    <n v="2"/>
    <n v="1"/>
    <n v="2"/>
    <n v="1"/>
    <n v="2"/>
    <n v="4.2302482049158402E-2"/>
    <n v="3.84390305438765"/>
    <n v="78.489316872527993"/>
    <n v="3"/>
    <n v="3.004969"/>
    <n v="3.0102929999999999"/>
    <n v="3.0156399999999999"/>
    <n v="3.0209860000000002"/>
    <n v="3.026275"/>
    <n v="1.0292999999999886E-2"/>
  </r>
  <r>
    <x v="19"/>
    <n v="23"/>
    <x v="1"/>
    <n v="4"/>
    <n v="-45"/>
    <n v="0"/>
    <n v="5"/>
    <n v="3"/>
    <n v="-1"/>
    <n v="-1"/>
    <n v="-1"/>
    <n v="-1"/>
    <n v="-1"/>
    <n v="-1"/>
    <n v="0.15989699106374899"/>
    <n v="12.6809101258276"/>
    <n v="85.675857422738105"/>
    <n v="3"/>
    <n v="2.9573510000000001"/>
    <n v="2.8238560000000001"/>
    <n v="3.2600229999999999"/>
    <n v="3.1418309999999998"/>
    <n v="3.041404"/>
    <n v="0.17614399999999986"/>
  </r>
  <r>
    <x v="19"/>
    <n v="24"/>
    <x v="0"/>
    <n v="5"/>
    <n v="-35"/>
    <n v="0"/>
    <n v="15"/>
    <n v="0"/>
    <n v="1"/>
    <n v="1"/>
    <n v="-1"/>
    <n v="1"/>
    <n v="1"/>
    <n v="1"/>
    <n v="8.3654093163543594E-2"/>
    <n v="8.5361568507553898"/>
    <n v="83.5638348289243"/>
    <n v="3"/>
    <n v="2.9963649999999999"/>
    <n v="2.9320499999999998"/>
    <n v="2.843912"/>
    <n v="0.26674429999999999"/>
    <n v="-2.80714"/>
    <n v="6.7950000000000177E-2"/>
  </r>
  <r>
    <x v="20"/>
    <n v="1"/>
    <x v="0"/>
    <n v="5"/>
    <n v="-35"/>
    <n v="0"/>
    <n v="15"/>
    <n v="0"/>
    <n v="-2"/>
    <n v="2"/>
    <n v="-1"/>
    <n v="2"/>
    <n v="2"/>
    <n v="2"/>
    <n v="8.2868614531040496E-2"/>
    <n v="5.5877129109066797"/>
    <n v="81.078662916572696"/>
    <n v="3"/>
    <n v="3"/>
    <n v="1.1821459999999999"/>
    <n v="0.1703797"/>
    <n v="-0.1829596"/>
    <n v="-0.53288919999999995"/>
    <n v="1.8178540000000001"/>
  </r>
  <r>
    <x v="20"/>
    <n v="2"/>
    <x v="1"/>
    <n v="4"/>
    <n v="-45"/>
    <n v="0"/>
    <n v="5"/>
    <n v="3"/>
    <n v="2"/>
    <n v="2"/>
    <n v="2"/>
    <n v="2"/>
    <n v="2"/>
    <n v="2"/>
    <n v="9.5884022908041197E-2"/>
    <n v="1.34153385137349"/>
    <n v="77.521317180144493"/>
    <n v="3"/>
    <n v="3"/>
    <n v="3"/>
    <n v="3"/>
    <n v="3.0026570000000001"/>
    <n v="3.0185870000000001"/>
    <n v="0"/>
  </r>
  <r>
    <x v="20"/>
    <n v="3"/>
    <x v="2"/>
    <n v="7"/>
    <n v="-35"/>
    <n v="0"/>
    <n v="15"/>
    <n v="3"/>
    <n v="2"/>
    <n v="2"/>
    <n v="2"/>
    <n v="2"/>
    <n v="2"/>
    <n v="2"/>
    <n v="7.3992115359858099E-2"/>
    <n v="1.0142931779086"/>
    <n v="77.653379461400803"/>
    <n v="3"/>
    <n v="3"/>
    <n v="3"/>
    <n v="2.814689"/>
    <n v="2.6321500000000002"/>
    <n v="2.4439869999999999"/>
    <n v="0"/>
  </r>
  <r>
    <x v="20"/>
    <n v="4"/>
    <x v="1"/>
    <n v="2"/>
    <n v="-35"/>
    <n v="-3"/>
    <n v="15"/>
    <n v="-3"/>
    <n v="-2"/>
    <n v="2"/>
    <n v="-1"/>
    <n v="-2"/>
    <n v="-2"/>
    <n v="-2"/>
    <n v="0.14275934118491301"/>
    <n v="9.2960657680479599"/>
    <n v="36.657786938718601"/>
    <n v="-3"/>
    <n v="-2.83223"/>
    <n v="0.92578199999999999"/>
    <n v="1.6023579999999999"/>
    <n v="1.0852539999999999"/>
    <n v="0.61226400000000003"/>
    <n v="3.9257819999999999"/>
  </r>
  <r>
    <x v="20"/>
    <n v="5"/>
    <x v="0"/>
    <n v="8"/>
    <n v="-45"/>
    <n v="0"/>
    <n v="5"/>
    <n v="-3"/>
    <n v="-1"/>
    <n v="-1"/>
    <n v="-2"/>
    <n v="-2"/>
    <n v="-2"/>
    <n v="-2"/>
    <n v="0.13322737306694499"/>
    <n v="4.6930849475624896"/>
    <n v="77.949085767650899"/>
    <n v="-3"/>
    <n v="-3"/>
    <n v="-2.9900829999999998"/>
    <n v="-2.9703840000000001"/>
    <n v="-2.979333"/>
    <n v="-2.9889939999999999"/>
    <n v="9.9170000000001757E-3"/>
  </r>
  <r>
    <x v="20"/>
    <n v="6"/>
    <x v="0"/>
    <n v="1"/>
    <n v="-35"/>
    <n v="0"/>
    <n v="15"/>
    <n v="0"/>
    <n v="-1"/>
    <n v="-1"/>
    <n v="-1"/>
    <n v="-1"/>
    <n v="0"/>
    <n v="0"/>
    <n v="0.174241744507135"/>
    <n v="17.333577890112899"/>
    <n v="78.577395904794102"/>
    <n v="0"/>
    <n v="0"/>
    <n v="-0.33082859999999997"/>
    <n v="-2.7474370000000001"/>
    <n v="-3.883508"/>
    <n v="-4.4990230000000002"/>
    <n v="0.33082859999999997"/>
  </r>
  <r>
    <x v="20"/>
    <n v="7"/>
    <x v="1"/>
    <n v="6"/>
    <n v="-35"/>
    <n v="3"/>
    <n v="15"/>
    <n v="3"/>
    <n v="-1"/>
    <n v="-1"/>
    <n v="1"/>
    <n v="-1"/>
    <n v="-1"/>
    <n v="-1"/>
    <n v="8.9546578526686696E-2"/>
    <n v="6.8803153413758196"/>
    <n v="79.945850779140997"/>
    <n v="0"/>
    <n v="0.52054129999999998"/>
    <n v="4.0909849999999999"/>
    <n v="3.8698260000000002"/>
    <n v="3.6474630000000001"/>
    <n v="3.4250349999999998"/>
    <n v="4.0909849999999999"/>
  </r>
  <r>
    <x v="20"/>
    <n v="8"/>
    <x v="2"/>
    <n v="2"/>
    <n v="-35"/>
    <n v="-3"/>
    <n v="15"/>
    <n v="-3"/>
    <n v="-2"/>
    <n v="2"/>
    <n v="2"/>
    <n v="-2"/>
    <n v="1"/>
    <n v="-1"/>
    <n v="0.14985394550450401"/>
    <n v="9.4193356967120092"/>
    <n v="82.838671248797397"/>
    <n v="-3"/>
    <n v="-3"/>
    <n v="-3"/>
    <n v="-0.89377899999999999"/>
    <n v="2.1673360000000002"/>
    <n v="1.9661850000000001"/>
    <n v="0"/>
  </r>
  <r>
    <x v="20"/>
    <n v="9"/>
    <x v="1"/>
    <n v="7"/>
    <n v="-35"/>
    <n v="0"/>
    <n v="15"/>
    <n v="3"/>
    <n v="2"/>
    <n v="2"/>
    <n v="2"/>
    <n v="2"/>
    <n v="2"/>
    <n v="2"/>
    <n v="0.103996507429682"/>
    <n v="2.68838066008114"/>
    <n v="78.2690625816698"/>
    <n v="3"/>
    <n v="3"/>
    <n v="2.9790999999999999"/>
    <n v="3.9359440000000001"/>
    <n v="3.9091019999999999"/>
    <n v="3.8818489999999999"/>
    <n v="2.0900000000000141E-2"/>
  </r>
  <r>
    <x v="20"/>
    <n v="10"/>
    <x v="0"/>
    <n v="4"/>
    <n v="-45"/>
    <n v="0"/>
    <n v="5"/>
    <n v="3"/>
    <n v="-2"/>
    <n v="2"/>
    <n v="-2"/>
    <n v="2"/>
    <n v="2"/>
    <n v="2"/>
    <n v="0.11855625433056199"/>
    <n v="5.5354572552811696"/>
    <n v="78.691438595446499"/>
    <n v="3"/>
    <n v="3"/>
    <n v="2.8862920000000001"/>
    <n v="2.9323480000000002"/>
    <n v="4.0798209999999999"/>
    <n v="3.8495949999999999"/>
    <n v="0.11370799999999992"/>
  </r>
  <r>
    <x v="20"/>
    <n v="11"/>
    <x v="2"/>
    <n v="5"/>
    <n v="-35"/>
    <n v="0"/>
    <n v="15"/>
    <n v="0"/>
    <n v="-2"/>
    <n v="2"/>
    <n v="-1"/>
    <n v="2"/>
    <n v="2"/>
    <n v="0"/>
    <n v="0.16790514641431101"/>
    <n v="10.3563577478436"/>
    <n v="82.557789028194406"/>
    <n v="3"/>
    <n v="2.7350539999999999"/>
    <n v="-1.1774070000000001"/>
    <n v="-1.1774070000000001"/>
    <n v="-2.9199199999999998"/>
    <n v="-2.9086569999999998"/>
    <n v="4.1774070000000005"/>
  </r>
  <r>
    <x v="20"/>
    <n v="12"/>
    <x v="2"/>
    <n v="3"/>
    <n v="-35"/>
    <n v="0"/>
    <n v="15"/>
    <n v="-3"/>
    <n v="2"/>
    <n v="2"/>
    <n v="2"/>
    <n v="2"/>
    <n v="2"/>
    <n v="2"/>
    <n v="0.133699058245703"/>
    <n v="5.8919447042928796"/>
    <n v="76.373843383532204"/>
    <n v="-3"/>
    <n v="-3"/>
    <n v="-3.5464410000000002"/>
    <n v="-4.0217859999999996"/>
    <n v="-4.4831050000000001"/>
    <n v="-4.4795559999999996"/>
    <n v="0.54644100000000018"/>
  </r>
  <r>
    <x v="20"/>
    <n v="13"/>
    <x v="0"/>
    <n v="7"/>
    <n v="-35"/>
    <n v="0"/>
    <n v="15"/>
    <n v="3"/>
    <n v="-2"/>
    <n v="2"/>
    <n v="-1"/>
    <n v="1"/>
    <n v="2"/>
    <n v="1"/>
    <n v="0.119407736629116"/>
    <n v="4.7603879057524896"/>
    <n v="75.191529371928894"/>
    <n v="3"/>
    <n v="3"/>
    <n v="3.621496"/>
    <n v="3.8329179999999998"/>
    <n v="4.0460609999999999"/>
    <n v="4.2582300000000002"/>
    <n v="0.62149600000000005"/>
  </r>
  <r>
    <x v="20"/>
    <n v="14"/>
    <x v="2"/>
    <n v="1"/>
    <n v="-35"/>
    <n v="0"/>
    <n v="15"/>
    <n v="0"/>
    <n v="2"/>
    <n v="0"/>
    <n v="2"/>
    <n v="2"/>
    <n v="2"/>
    <n v="2"/>
    <n v="9.6711202661828394E-2"/>
    <n v="4.6452245590808703"/>
    <n v="79.885005055975"/>
    <n v="0"/>
    <n v="0"/>
    <n v="-1.878843"/>
    <n v="-4.0959190000000003"/>
    <n v="-4.3226310000000003"/>
    <n v="-4.4989980000000003"/>
    <n v="1.878843"/>
  </r>
  <r>
    <x v="20"/>
    <n v="15"/>
    <x v="1"/>
    <n v="8"/>
    <n v="-45"/>
    <n v="0"/>
    <n v="5"/>
    <n v="-3"/>
    <n v="-2"/>
    <n v="0"/>
    <n v="2"/>
    <n v="-2"/>
    <n v="-2"/>
    <n v="-2"/>
    <n v="0.157382527127821"/>
    <n v="8.4650927712837998"/>
    <n v="79.603138401359502"/>
    <n v="-3"/>
    <n v="-3"/>
    <n v="-2.9846529999999998"/>
    <n v="-2.9784359999999999"/>
    <n v="-3.001096"/>
    <n v="-3.09605"/>
    <n v="1.5347000000000222E-2"/>
  </r>
  <r>
    <x v="20"/>
    <n v="16"/>
    <x v="1"/>
    <n v="3"/>
    <n v="-35"/>
    <n v="0"/>
    <n v="15"/>
    <n v="-3"/>
    <n v="1"/>
    <n v="1"/>
    <n v="2"/>
    <n v="-1"/>
    <n v="-1"/>
    <n v="-1"/>
    <n v="9.4886197255758795E-2"/>
    <n v="4.3858942182382297"/>
    <n v="76.542540784726796"/>
    <n v="-3"/>
    <n v="-3"/>
    <n v="-4.4014740000000003"/>
    <n v="-4.4991719999999997"/>
    <n v="-4.4992450000000002"/>
    <n v="-4.4992479999999997"/>
    <n v="1.4014740000000003"/>
  </r>
  <r>
    <x v="20"/>
    <n v="17"/>
    <x v="2"/>
    <n v="6"/>
    <n v="-35"/>
    <n v="3"/>
    <n v="15"/>
    <n v="3"/>
    <n v="2"/>
    <n v="2"/>
    <n v="2"/>
    <n v="2"/>
    <n v="2"/>
    <n v="2"/>
    <n v="0.106596619698357"/>
    <n v="8.7639641583332804"/>
    <n v="79.986091820154897"/>
    <n v="0"/>
    <n v="0"/>
    <n v="1.373712"/>
    <n v="3.2430370000000002"/>
    <n v="3.2888299999999999"/>
    <n v="3.3348529999999998"/>
    <n v="1.373712"/>
  </r>
  <r>
    <x v="20"/>
    <n v="18"/>
    <x v="0"/>
    <n v="2"/>
    <n v="-35"/>
    <n v="-3"/>
    <n v="15"/>
    <n v="-3"/>
    <n v="-2"/>
    <n v="-2"/>
    <n v="-2"/>
    <n v="2"/>
    <n v="2"/>
    <n v="2"/>
    <n v="0.15464301575046999"/>
    <n v="19.314005257290699"/>
    <n v="81.698509777078002"/>
    <n v="-3"/>
    <n v="-2.1592669999999998"/>
    <n v="-0.4835855"/>
    <n v="-0.5602201"/>
    <n v="-0.63728019999999996"/>
    <n v="1.498272"/>
    <n v="2.5164144999999998"/>
  </r>
  <r>
    <x v="20"/>
    <n v="19"/>
    <x v="1"/>
    <n v="5"/>
    <n v="-35"/>
    <n v="0"/>
    <n v="15"/>
    <n v="0"/>
    <n v="-2"/>
    <n v="0"/>
    <n v="-2"/>
    <n v="0"/>
    <n v="2"/>
    <n v="1"/>
    <n v="0.16326950038587901"/>
    <n v="9.6158522911244901"/>
    <n v="81.477152191987798"/>
    <n v="3"/>
    <n v="3"/>
    <n v="0.47283579999999997"/>
    <n v="-0.71725300000000003"/>
    <n v="-1.9538530000000001"/>
    <n v="-2.0666199999999999"/>
    <n v="2.5271642000000001"/>
  </r>
  <r>
    <x v="20"/>
    <n v="20"/>
    <x v="2"/>
    <n v="4"/>
    <n v="-45"/>
    <n v="0"/>
    <n v="5"/>
    <n v="3"/>
    <n v="2"/>
    <n v="2"/>
    <n v="2"/>
    <n v="2"/>
    <n v="2"/>
    <n v="2"/>
    <n v="0.128307338280128"/>
    <n v="7.2611993668250001"/>
    <n v="78.451130484414904"/>
    <n v="3"/>
    <n v="3"/>
    <n v="3.0237599999999998"/>
    <n v="3.0615480000000002"/>
    <n v="3.0995020000000002"/>
    <n v="4.499816"/>
    <n v="2.3759999999999781E-2"/>
  </r>
  <r>
    <x v="20"/>
    <n v="21"/>
    <x v="0"/>
    <n v="6"/>
    <n v="-35"/>
    <n v="3"/>
    <n v="15"/>
    <n v="3"/>
    <n v="-2"/>
    <n v="-1"/>
    <n v="-2"/>
    <n v="2"/>
    <n v="2"/>
    <n v="2"/>
    <n v="0.14636302488491301"/>
    <n v="9.4453260253691393"/>
    <n v="79.058692924069206"/>
    <n v="0"/>
    <n v="0.59689219999999998"/>
    <n v="3.0902910000000001"/>
    <n v="3.0435829999999999"/>
    <n v="2.9972880000000002"/>
    <n v="4.2748489999999997"/>
    <n v="3.0902910000000001"/>
  </r>
  <r>
    <x v="20"/>
    <n v="22"/>
    <x v="0"/>
    <n v="3"/>
    <n v="-35"/>
    <n v="0"/>
    <n v="15"/>
    <n v="-3"/>
    <n v="-2"/>
    <n v="-1"/>
    <n v="-2"/>
    <n v="-1"/>
    <n v="2"/>
    <n v="-1"/>
    <n v="0.17031862445793899"/>
    <n v="3.0574261202933801"/>
    <n v="74.761177557926402"/>
    <n v="-3"/>
    <n v="-3"/>
    <n v="-3"/>
    <n v="-3.0000010000000001"/>
    <n v="-4.1705019999999999"/>
    <n v="-4.1842740000000003"/>
    <n v="0"/>
  </r>
  <r>
    <x v="20"/>
    <n v="23"/>
    <x v="2"/>
    <n v="8"/>
    <n v="-45"/>
    <n v="0"/>
    <n v="5"/>
    <n v="-3"/>
    <n v="2"/>
    <n v="2"/>
    <n v="2"/>
    <n v="2"/>
    <n v="2"/>
    <n v="2"/>
    <n v="0.16135535566676701"/>
    <n v="7.7662563443342396"/>
    <n v="79.945657189181901"/>
    <n v="-3"/>
    <n v="-3"/>
    <n v="-3"/>
    <n v="-3.1776450000000001"/>
    <n v="-3.412471"/>
    <n v="-3.646312"/>
    <n v="0"/>
  </r>
  <r>
    <x v="20"/>
    <n v="24"/>
    <x v="1"/>
    <n v="1"/>
    <n v="-35"/>
    <n v="0"/>
    <n v="15"/>
    <n v="0"/>
    <n v="2"/>
    <n v="2"/>
    <n v="2"/>
    <n v="1"/>
    <n v="1"/>
    <n v="2"/>
    <n v="9.8019952621947903E-2"/>
    <n v="4.7930646467643498"/>
    <n v="79.189030331425698"/>
    <n v="0"/>
    <n v="0"/>
    <n v="-3.3909880000000001"/>
    <n v="-4.125267"/>
    <n v="-4.2838779999999996"/>
    <n v="-4.4988570000000001"/>
    <n v="3.3909880000000001"/>
  </r>
  <r>
    <x v="21"/>
    <n v="1"/>
    <x v="0"/>
    <n v="5"/>
    <n v="-35"/>
    <n v="0"/>
    <n v="15"/>
    <n v="0"/>
    <n v="-2"/>
    <n v="1"/>
    <n v="-2"/>
    <n v="1"/>
    <n v="1"/>
    <n v="-2"/>
    <m/>
    <m/>
    <m/>
    <m/>
    <m/>
    <m/>
    <m/>
    <m/>
    <m/>
    <n v="0"/>
  </r>
  <r>
    <x v="21"/>
    <n v="2"/>
    <x v="1"/>
    <n v="4"/>
    <n v="-45"/>
    <n v="0"/>
    <n v="5"/>
    <n v="3"/>
    <n v="2"/>
    <n v="1"/>
    <n v="2"/>
    <n v="2"/>
    <n v="2"/>
    <n v="1"/>
    <m/>
    <m/>
    <m/>
    <m/>
    <m/>
    <m/>
    <m/>
    <m/>
    <m/>
    <n v="0"/>
  </r>
  <r>
    <x v="21"/>
    <n v="3"/>
    <x v="2"/>
    <n v="7"/>
    <n v="-35"/>
    <n v="0"/>
    <n v="15"/>
    <n v="3"/>
    <n v="2"/>
    <n v="1"/>
    <n v="2"/>
    <n v="2"/>
    <n v="2"/>
    <n v="2"/>
    <m/>
    <m/>
    <m/>
    <m/>
    <m/>
    <m/>
    <m/>
    <m/>
    <m/>
    <n v="0"/>
  </r>
  <r>
    <x v="21"/>
    <n v="4"/>
    <x v="1"/>
    <n v="2"/>
    <n v="-35"/>
    <n v="-3"/>
    <n v="15"/>
    <n v="-3"/>
    <n v="-2"/>
    <n v="1"/>
    <n v="-2"/>
    <n v="1"/>
    <n v="0"/>
    <n v="-1"/>
    <m/>
    <m/>
    <m/>
    <m/>
    <m/>
    <m/>
    <m/>
    <m/>
    <m/>
    <n v="0"/>
  </r>
  <r>
    <x v="21"/>
    <n v="5"/>
    <x v="0"/>
    <n v="8"/>
    <n v="-45"/>
    <n v="0"/>
    <n v="5"/>
    <n v="-3"/>
    <n v="0"/>
    <n v="-1"/>
    <n v="1"/>
    <n v="-1"/>
    <n v="-1"/>
    <n v="-1"/>
    <m/>
    <m/>
    <m/>
    <m/>
    <m/>
    <m/>
    <m/>
    <m/>
    <m/>
    <n v="0"/>
  </r>
  <r>
    <x v="21"/>
    <n v="6"/>
    <x v="0"/>
    <n v="1"/>
    <n v="-35"/>
    <n v="0"/>
    <n v="15"/>
    <n v="0"/>
    <n v="1"/>
    <n v="-1"/>
    <n v="2"/>
    <n v="-1"/>
    <n v="2"/>
    <n v="0"/>
    <m/>
    <m/>
    <m/>
    <m/>
    <m/>
    <m/>
    <m/>
    <m/>
    <m/>
    <n v="0"/>
  </r>
  <r>
    <x v="21"/>
    <n v="7"/>
    <x v="1"/>
    <n v="6"/>
    <n v="-35"/>
    <n v="3"/>
    <n v="15"/>
    <n v="3"/>
    <n v="-2"/>
    <n v="-2"/>
    <n v="2"/>
    <n v="-2"/>
    <n v="-2"/>
    <n v="-2"/>
    <m/>
    <m/>
    <m/>
    <m/>
    <m/>
    <m/>
    <m/>
    <m/>
    <m/>
    <n v="0"/>
  </r>
  <r>
    <x v="21"/>
    <n v="8"/>
    <x v="2"/>
    <n v="2"/>
    <n v="-35"/>
    <n v="-3"/>
    <n v="15"/>
    <n v="-3"/>
    <n v="2"/>
    <n v="1"/>
    <n v="2"/>
    <n v="2"/>
    <n v="1"/>
    <n v="2"/>
    <m/>
    <m/>
    <m/>
    <m/>
    <m/>
    <m/>
    <m/>
    <m/>
    <m/>
    <n v="0"/>
  </r>
  <r>
    <x v="21"/>
    <n v="9"/>
    <x v="1"/>
    <n v="7"/>
    <n v="-35"/>
    <n v="0"/>
    <n v="15"/>
    <n v="3"/>
    <n v="1"/>
    <n v="1"/>
    <n v="2"/>
    <n v="1"/>
    <n v="2"/>
    <n v="0"/>
    <m/>
    <m/>
    <m/>
    <m/>
    <m/>
    <m/>
    <m/>
    <m/>
    <m/>
    <n v="0"/>
  </r>
  <r>
    <x v="21"/>
    <n v="10"/>
    <x v="0"/>
    <n v="4"/>
    <n v="-45"/>
    <n v="0"/>
    <n v="5"/>
    <n v="3"/>
    <n v="-2"/>
    <n v="1"/>
    <n v="-2"/>
    <n v="1"/>
    <n v="1"/>
    <n v="-1"/>
    <m/>
    <m/>
    <m/>
    <m/>
    <m/>
    <m/>
    <m/>
    <m/>
    <m/>
    <n v="0"/>
  </r>
  <r>
    <x v="21"/>
    <n v="11"/>
    <x v="2"/>
    <n v="5"/>
    <n v="-35"/>
    <n v="0"/>
    <n v="15"/>
    <n v="0"/>
    <n v="-2"/>
    <n v="1"/>
    <n v="-2"/>
    <n v="1"/>
    <n v="-1"/>
    <n v="-1"/>
    <m/>
    <m/>
    <m/>
    <m/>
    <m/>
    <m/>
    <m/>
    <m/>
    <m/>
    <n v="0"/>
  </r>
  <r>
    <x v="21"/>
    <n v="12"/>
    <x v="2"/>
    <n v="3"/>
    <n v="-35"/>
    <n v="0"/>
    <n v="15"/>
    <n v="-3"/>
    <n v="2"/>
    <n v="1"/>
    <n v="2"/>
    <n v="2"/>
    <n v="2"/>
    <n v="2"/>
    <m/>
    <m/>
    <m/>
    <m/>
    <m/>
    <m/>
    <m/>
    <m/>
    <m/>
    <n v="0"/>
  </r>
  <r>
    <x v="21"/>
    <n v="13"/>
    <x v="0"/>
    <n v="7"/>
    <n v="-35"/>
    <n v="0"/>
    <n v="15"/>
    <n v="3"/>
    <n v="1"/>
    <n v="0"/>
    <n v="2"/>
    <n v="0"/>
    <n v="2"/>
    <n v="1"/>
    <m/>
    <m/>
    <m/>
    <m/>
    <m/>
    <m/>
    <m/>
    <m/>
    <m/>
    <n v="0"/>
  </r>
  <r>
    <x v="21"/>
    <n v="14"/>
    <x v="2"/>
    <n v="1"/>
    <n v="-35"/>
    <n v="0"/>
    <n v="15"/>
    <n v="0"/>
    <n v="2"/>
    <n v="1"/>
    <n v="2"/>
    <n v="1"/>
    <n v="2"/>
    <n v="1"/>
    <m/>
    <m/>
    <m/>
    <m/>
    <m/>
    <m/>
    <m/>
    <m/>
    <m/>
    <n v="0"/>
  </r>
  <r>
    <x v="21"/>
    <n v="15"/>
    <x v="1"/>
    <n v="8"/>
    <n v="-45"/>
    <n v="0"/>
    <n v="5"/>
    <n v="-3"/>
    <n v="-2"/>
    <n v="0"/>
    <n v="1"/>
    <n v="-2"/>
    <n v="-2"/>
    <n v="-1"/>
    <m/>
    <m/>
    <m/>
    <m/>
    <m/>
    <m/>
    <m/>
    <m/>
    <m/>
    <n v="0"/>
  </r>
  <r>
    <x v="21"/>
    <n v="16"/>
    <x v="1"/>
    <n v="3"/>
    <n v="-35"/>
    <n v="0"/>
    <n v="15"/>
    <n v="-3"/>
    <n v="2"/>
    <n v="0"/>
    <n v="2"/>
    <n v="1"/>
    <n v="2"/>
    <n v="1"/>
    <m/>
    <m/>
    <m/>
    <m/>
    <m/>
    <m/>
    <m/>
    <m/>
    <m/>
    <n v="0"/>
  </r>
  <r>
    <x v="21"/>
    <n v="17"/>
    <x v="2"/>
    <n v="6"/>
    <n v="-35"/>
    <n v="3"/>
    <n v="15"/>
    <n v="3"/>
    <n v="2"/>
    <n v="2"/>
    <n v="2"/>
    <n v="2"/>
    <n v="2"/>
    <n v="2"/>
    <m/>
    <m/>
    <m/>
    <m/>
    <m/>
    <m/>
    <m/>
    <m/>
    <m/>
    <n v="0"/>
  </r>
  <r>
    <x v="21"/>
    <n v="18"/>
    <x v="0"/>
    <n v="2"/>
    <n v="-35"/>
    <n v="-3"/>
    <n v="15"/>
    <n v="-3"/>
    <n v="-2"/>
    <n v="1"/>
    <n v="-2"/>
    <n v="1"/>
    <n v="-2"/>
    <n v="-1"/>
    <m/>
    <m/>
    <m/>
    <m/>
    <m/>
    <m/>
    <m/>
    <m/>
    <m/>
    <n v="0"/>
  </r>
  <r>
    <x v="21"/>
    <n v="19"/>
    <x v="1"/>
    <n v="5"/>
    <n v="-35"/>
    <n v="0"/>
    <n v="15"/>
    <n v="0"/>
    <n v="-2"/>
    <n v="-2"/>
    <n v="2"/>
    <n v="-2"/>
    <n v="-2"/>
    <n v="-2"/>
    <m/>
    <m/>
    <m/>
    <m/>
    <m/>
    <m/>
    <m/>
    <m/>
    <m/>
    <n v="0"/>
  </r>
  <r>
    <x v="21"/>
    <n v="20"/>
    <x v="2"/>
    <n v="4"/>
    <n v="-45"/>
    <n v="0"/>
    <n v="5"/>
    <n v="3"/>
    <n v="2"/>
    <n v="2"/>
    <n v="2"/>
    <n v="2"/>
    <n v="2"/>
    <n v="2"/>
    <m/>
    <m/>
    <m/>
    <m/>
    <m/>
    <m/>
    <m/>
    <m/>
    <m/>
    <n v="0"/>
  </r>
  <r>
    <x v="21"/>
    <n v="21"/>
    <x v="0"/>
    <n v="6"/>
    <n v="-35"/>
    <n v="3"/>
    <n v="15"/>
    <n v="3"/>
    <n v="-1"/>
    <n v="1"/>
    <n v="-1"/>
    <n v="1"/>
    <n v="2"/>
    <n v="0"/>
    <m/>
    <m/>
    <m/>
    <m/>
    <m/>
    <m/>
    <m/>
    <m/>
    <m/>
    <n v="0"/>
  </r>
  <r>
    <x v="21"/>
    <n v="22"/>
    <x v="0"/>
    <n v="3"/>
    <n v="-35"/>
    <n v="0"/>
    <n v="15"/>
    <n v="-3"/>
    <n v="-2"/>
    <n v="1"/>
    <n v="-2"/>
    <n v="1"/>
    <n v="2"/>
    <n v="-1"/>
    <m/>
    <m/>
    <m/>
    <m/>
    <m/>
    <m/>
    <m/>
    <m/>
    <m/>
    <n v="0"/>
  </r>
  <r>
    <x v="21"/>
    <n v="23"/>
    <x v="2"/>
    <n v="8"/>
    <n v="-45"/>
    <n v="0"/>
    <n v="5"/>
    <n v="-3"/>
    <n v="2"/>
    <n v="1"/>
    <n v="2"/>
    <n v="2"/>
    <n v="2"/>
    <n v="2"/>
    <m/>
    <m/>
    <m/>
    <m/>
    <m/>
    <m/>
    <m/>
    <m/>
    <m/>
    <n v="0"/>
  </r>
  <r>
    <x v="21"/>
    <n v="24"/>
    <x v="1"/>
    <n v="1"/>
    <n v="-35"/>
    <n v="0"/>
    <n v="15"/>
    <n v="0"/>
    <n v="2"/>
    <n v="1"/>
    <n v="2"/>
    <n v="1"/>
    <n v="2"/>
    <n v="1"/>
    <m/>
    <m/>
    <m/>
    <m/>
    <m/>
    <m/>
    <m/>
    <m/>
    <m/>
    <n v="0"/>
  </r>
  <r>
    <x v="22"/>
    <n v="1"/>
    <x v="1"/>
    <n v="1"/>
    <n v="-35"/>
    <n v="0"/>
    <n v="15"/>
    <n v="0"/>
    <n v="1"/>
    <n v="0"/>
    <n v="2"/>
    <n v="1"/>
    <n v="-1"/>
    <n v="-1"/>
    <m/>
    <m/>
    <m/>
    <m/>
    <m/>
    <m/>
    <m/>
    <m/>
    <m/>
    <n v="0"/>
  </r>
  <r>
    <x v="22"/>
    <n v="2"/>
    <x v="2"/>
    <n v="8"/>
    <n v="-45"/>
    <n v="0"/>
    <n v="5"/>
    <n v="-3"/>
    <n v="2"/>
    <n v="2"/>
    <n v="2"/>
    <n v="1"/>
    <n v="1"/>
    <n v="2"/>
    <m/>
    <m/>
    <m/>
    <m/>
    <m/>
    <m/>
    <m/>
    <m/>
    <m/>
    <n v="0"/>
  </r>
  <r>
    <x v="22"/>
    <n v="3"/>
    <x v="0"/>
    <n v="3"/>
    <n v="-35"/>
    <n v="0"/>
    <n v="15"/>
    <n v="-3"/>
    <n v="-2"/>
    <n v="2"/>
    <n v="-2"/>
    <n v="-2"/>
    <n v="0"/>
    <n v="-1"/>
    <m/>
    <m/>
    <m/>
    <m/>
    <m/>
    <m/>
    <m/>
    <m/>
    <m/>
    <n v="0"/>
  </r>
  <r>
    <x v="22"/>
    <n v="4"/>
    <x v="0"/>
    <n v="6"/>
    <n v="-35"/>
    <n v="3"/>
    <n v="15"/>
    <n v="3"/>
    <n v="-2"/>
    <n v="2"/>
    <n v="-2"/>
    <n v="-2"/>
    <n v="-1"/>
    <n v="-1"/>
    <m/>
    <m/>
    <m/>
    <m/>
    <m/>
    <m/>
    <m/>
    <m/>
    <m/>
    <n v="0"/>
  </r>
  <r>
    <x v="22"/>
    <n v="5"/>
    <x v="2"/>
    <n v="4"/>
    <n v="-45"/>
    <n v="0"/>
    <n v="5"/>
    <n v="3"/>
    <n v="2"/>
    <n v="2"/>
    <n v="2"/>
    <n v="2"/>
    <n v="2"/>
    <n v="2"/>
    <m/>
    <m/>
    <m/>
    <m/>
    <m/>
    <m/>
    <m/>
    <m/>
    <m/>
    <n v="0"/>
  </r>
  <r>
    <x v="22"/>
    <n v="6"/>
    <x v="1"/>
    <n v="5"/>
    <n v="-35"/>
    <n v="0"/>
    <n v="15"/>
    <n v="0"/>
    <n v="-2"/>
    <n v="2"/>
    <n v="-2"/>
    <n v="-1"/>
    <n v="2"/>
    <n v="0"/>
    <m/>
    <m/>
    <m/>
    <m/>
    <m/>
    <m/>
    <m/>
    <m/>
    <m/>
    <n v="0"/>
  </r>
  <r>
    <x v="22"/>
    <n v="7"/>
    <x v="0"/>
    <n v="2"/>
    <n v="-35"/>
    <n v="-3"/>
    <n v="15"/>
    <n v="-3"/>
    <n v="-2"/>
    <n v="2"/>
    <n v="1"/>
    <n v="1"/>
    <n v="-1"/>
    <n v="-1"/>
    <m/>
    <m/>
    <m/>
    <m/>
    <m/>
    <m/>
    <m/>
    <m/>
    <m/>
    <n v="0"/>
  </r>
  <r>
    <x v="22"/>
    <n v="8"/>
    <x v="2"/>
    <n v="6"/>
    <n v="-35"/>
    <n v="3"/>
    <n v="15"/>
    <n v="3"/>
    <n v="2"/>
    <n v="1"/>
    <n v="2"/>
    <n v="2"/>
    <n v="1"/>
    <n v="2"/>
    <m/>
    <m/>
    <m/>
    <m/>
    <m/>
    <m/>
    <m/>
    <m/>
    <m/>
    <n v="0"/>
  </r>
  <r>
    <x v="22"/>
    <n v="9"/>
    <x v="1"/>
    <n v="3"/>
    <n v="-35"/>
    <n v="0"/>
    <n v="15"/>
    <n v="-3"/>
    <n v="2"/>
    <n v="2"/>
    <n v="2"/>
    <n v="2"/>
    <n v="1"/>
    <n v="2"/>
    <m/>
    <m/>
    <m/>
    <m/>
    <m/>
    <m/>
    <m/>
    <m/>
    <m/>
    <n v="0"/>
  </r>
  <r>
    <x v="22"/>
    <n v="10"/>
    <x v="1"/>
    <n v="8"/>
    <n v="-45"/>
    <n v="0"/>
    <n v="5"/>
    <n v="-3"/>
    <n v="2"/>
    <n v="2"/>
    <n v="2"/>
    <n v="2"/>
    <n v="2"/>
    <n v="2"/>
    <m/>
    <m/>
    <m/>
    <m/>
    <m/>
    <m/>
    <m/>
    <m/>
    <m/>
    <n v="0"/>
  </r>
  <r>
    <x v="22"/>
    <n v="11"/>
    <x v="2"/>
    <n v="1"/>
    <n v="-35"/>
    <n v="0"/>
    <n v="15"/>
    <n v="0"/>
    <n v="2"/>
    <n v="2"/>
    <n v="2"/>
    <n v="2"/>
    <n v="2"/>
    <n v="2"/>
    <m/>
    <m/>
    <m/>
    <m/>
    <m/>
    <m/>
    <m/>
    <m/>
    <m/>
    <n v="0"/>
  </r>
  <r>
    <x v="22"/>
    <n v="12"/>
    <x v="0"/>
    <n v="7"/>
    <n v="-35"/>
    <n v="0"/>
    <n v="15"/>
    <n v="3"/>
    <n v="-2"/>
    <n v="2"/>
    <n v="-2"/>
    <n v="-2"/>
    <n v="-2"/>
    <n v="-2"/>
    <m/>
    <m/>
    <m/>
    <m/>
    <m/>
    <m/>
    <m/>
    <m/>
    <m/>
    <n v="0"/>
  </r>
  <r>
    <x v="22"/>
    <n v="13"/>
    <x v="2"/>
    <n v="3"/>
    <n v="-35"/>
    <n v="0"/>
    <n v="15"/>
    <n v="-3"/>
    <n v="1"/>
    <n v="2"/>
    <n v="2"/>
    <n v="2"/>
    <n v="1"/>
    <n v="2"/>
    <m/>
    <m/>
    <m/>
    <m/>
    <m/>
    <m/>
    <m/>
    <m/>
    <m/>
    <n v="0"/>
  </r>
  <r>
    <x v="22"/>
    <n v="14"/>
    <x v="2"/>
    <n v="5"/>
    <n v="-35"/>
    <n v="0"/>
    <n v="15"/>
    <n v="0"/>
    <n v="2"/>
    <n v="2"/>
    <n v="2"/>
    <n v="2"/>
    <n v="2"/>
    <n v="2"/>
    <m/>
    <m/>
    <m/>
    <m/>
    <m/>
    <m/>
    <m/>
    <m/>
    <m/>
    <n v="0"/>
  </r>
  <r>
    <x v="22"/>
    <n v="15"/>
    <x v="0"/>
    <n v="4"/>
    <n v="-45"/>
    <n v="0"/>
    <n v="5"/>
    <n v="3"/>
    <n v="-2"/>
    <n v="1"/>
    <n v="-1"/>
    <n v="-2"/>
    <n v="0"/>
    <n v="-1"/>
    <m/>
    <m/>
    <m/>
    <m/>
    <m/>
    <m/>
    <m/>
    <m/>
    <m/>
    <n v="0"/>
  </r>
  <r>
    <x v="22"/>
    <n v="16"/>
    <x v="1"/>
    <n v="7"/>
    <n v="-35"/>
    <n v="0"/>
    <n v="15"/>
    <n v="3"/>
    <n v="2"/>
    <n v="1"/>
    <n v="2"/>
    <n v="1"/>
    <n v="2"/>
    <n v="2"/>
    <m/>
    <m/>
    <m/>
    <m/>
    <m/>
    <m/>
    <m/>
    <m/>
    <m/>
    <n v="0"/>
  </r>
  <r>
    <x v="22"/>
    <n v="17"/>
    <x v="2"/>
    <n v="2"/>
    <n v="-35"/>
    <n v="-3"/>
    <n v="15"/>
    <n v="-3"/>
    <n v="-1"/>
    <n v="1"/>
    <n v="-1"/>
    <n v="-1"/>
    <n v="-1"/>
    <n v="1"/>
    <m/>
    <m/>
    <m/>
    <m/>
    <m/>
    <m/>
    <m/>
    <m/>
    <m/>
    <n v="0"/>
  </r>
  <r>
    <x v="22"/>
    <n v="18"/>
    <x v="1"/>
    <n v="6"/>
    <n v="-35"/>
    <n v="3"/>
    <n v="15"/>
    <n v="3"/>
    <n v="2"/>
    <n v="1"/>
    <n v="1"/>
    <n v="2"/>
    <n v="2"/>
    <n v="1"/>
    <m/>
    <m/>
    <m/>
    <m/>
    <m/>
    <m/>
    <m/>
    <m/>
    <m/>
    <n v="0"/>
  </r>
  <r>
    <x v="22"/>
    <n v="19"/>
    <x v="0"/>
    <n v="1"/>
    <n v="-35"/>
    <n v="0"/>
    <n v="15"/>
    <n v="0"/>
    <n v="-1"/>
    <n v="1"/>
    <n v="-1"/>
    <n v="-1"/>
    <n v="1"/>
    <n v="1"/>
    <m/>
    <m/>
    <m/>
    <m/>
    <m/>
    <m/>
    <m/>
    <m/>
    <m/>
    <n v="0"/>
  </r>
  <r>
    <x v="22"/>
    <n v="20"/>
    <x v="0"/>
    <n v="8"/>
    <n v="-45"/>
    <n v="0"/>
    <n v="5"/>
    <n v="-3"/>
    <n v="-2"/>
    <n v="2"/>
    <n v="-2"/>
    <n v="-2"/>
    <n v="-1"/>
    <n v="-1"/>
    <m/>
    <m/>
    <m/>
    <m/>
    <m/>
    <m/>
    <m/>
    <m/>
    <m/>
    <n v="0"/>
  </r>
  <r>
    <x v="22"/>
    <n v="21"/>
    <x v="1"/>
    <n v="2"/>
    <n v="-35"/>
    <n v="-3"/>
    <n v="15"/>
    <n v="-3"/>
    <n v="1"/>
    <n v="2"/>
    <n v="-2"/>
    <n v="1"/>
    <n v="2"/>
    <n v="1"/>
    <m/>
    <m/>
    <m/>
    <m/>
    <m/>
    <m/>
    <m/>
    <m/>
    <m/>
    <n v="0"/>
  </r>
  <r>
    <x v="22"/>
    <n v="22"/>
    <x v="2"/>
    <n v="7"/>
    <n v="-35"/>
    <n v="0"/>
    <n v="15"/>
    <n v="3"/>
    <n v="2"/>
    <n v="2"/>
    <n v="2"/>
    <n v="2"/>
    <n v="2"/>
    <n v="2"/>
    <m/>
    <m/>
    <m/>
    <m/>
    <m/>
    <m/>
    <m/>
    <m/>
    <m/>
    <n v="0"/>
  </r>
  <r>
    <x v="22"/>
    <n v="23"/>
    <x v="1"/>
    <n v="4"/>
    <n v="-45"/>
    <n v="0"/>
    <n v="5"/>
    <n v="3"/>
    <n v="2"/>
    <n v="2"/>
    <n v="2"/>
    <n v="1"/>
    <n v="2"/>
    <n v="1"/>
    <m/>
    <m/>
    <m/>
    <m/>
    <m/>
    <m/>
    <m/>
    <m/>
    <m/>
    <n v="0"/>
  </r>
  <r>
    <x v="22"/>
    <n v="24"/>
    <x v="0"/>
    <n v="5"/>
    <n v="-35"/>
    <n v="0"/>
    <n v="15"/>
    <n v="0"/>
    <n v="1"/>
    <n v="2"/>
    <n v="-1"/>
    <n v="1"/>
    <n v="1"/>
    <n v="1"/>
    <m/>
    <m/>
    <m/>
    <m/>
    <m/>
    <m/>
    <m/>
    <m/>
    <m/>
    <n v="0"/>
  </r>
  <r>
    <x v="23"/>
    <m/>
    <x v="3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211D8-EC00-43B6-A084-6915108E7C6F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2" colHeaderCaption="Model">
  <location ref="A3:U7" firstHeaderRow="0" firstDataRow="1" firstDataCol="1" rowPageCount="1" colPageCount="1"/>
  <pivotFields count="24">
    <pivotField axis="axisPage" multipleItemSelectionAllowed="1" showAll="0">
      <items count="25">
        <item h="1" x="23"/>
        <item h="1" x="21"/>
        <item h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h="1" x="18"/>
        <item h="1" x="19"/>
        <item h="1" x="20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 sumSubtotal="1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pageFields count="1">
    <pageField fld="0" hier="-1"/>
  </pageFields>
  <dataFields count="20">
    <dataField name="平均 / Compassioness" fld="8" subtotal="average" baseField="2" baseItem="2"/>
    <dataField name="平均 / Naturalness" fld="9" subtotal="average" baseField="6" baseItem="0"/>
    <dataField name="平均 / Humanly" fld="10" subtotal="average" baseField="2" baseItem="2"/>
    <dataField name="平均 / Avoidability" fld="11" subtotal="average" baseField="1" baseItem="0"/>
    <dataField name="平均 / Safety" fld="12" subtotal="average" baseField="2" baseItem="2"/>
    <dataField name="平均 / Desirability" fld="13" subtotal="average" baseField="2" baseItem="0"/>
    <dataField name="標準偏差 / Compassioness" fld="8" subtotal="stdDevp" baseField="2" baseItem="2"/>
    <dataField name="標準偏差 / Naturalness" fld="9" subtotal="stdDevp" baseField="1" baseItem="0"/>
    <dataField name="標準偏差 / Humanly" fld="10" subtotal="stdDevp" baseField="2" baseItem="2"/>
    <dataField name="標準偏差 / Avoidability" fld="11" subtotal="stdDevp" baseField="1" baseItem="0"/>
    <dataField name="標準偏差 / Safety" fld="12" subtotal="stdDevp" baseField="2" baseItem="2"/>
    <dataField name="標準偏差 / Desirability" fld="13" subtotal="stdDevp" baseField="2" baseItem="0"/>
    <dataField name="平均 / PvelRC" fld="14" subtotal="average" baseField="2" baseItem="2"/>
    <dataField name="平均 / PadegRC" fld="15" subtotal="average" baseField="2" baseItem="2"/>
    <dataField name="標準偏差 / PvelRC" fld="14" subtotal="stdDevp" baseField="2" baseItem="0"/>
    <dataField name="標準偏差 / PadegRC" fld="15" subtotal="stdDevp" baseField="2" baseItem="0"/>
    <dataField name="平均 / PlenRC" fld="16" subtotal="average" baseField="2" baseItem="1"/>
    <dataField name="標準偏差 / PlenRC" fld="16" subtotal="stdDevp" baseField="2" baseItem="1"/>
    <dataField name="平均 / Pav2-0" fld="23" subtotal="average" baseField="2" baseItem="0"/>
    <dataField name="標準偏差 / Pav2-0" fld="23" subtotal="stdDevp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F47D-9A91-4309-926C-837850CB398F}">
  <dimension ref="A1:X553"/>
  <sheetViews>
    <sheetView tabSelected="1" workbookViewId="0"/>
  </sheetViews>
  <sheetFormatPr defaultRowHeight="18" x14ac:dyDescent="0.45"/>
  <sheetData>
    <row r="1" spans="1:24" x14ac:dyDescent="0.45">
      <c r="A1" t="s">
        <v>17</v>
      </c>
      <c r="B1" t="s">
        <v>0</v>
      </c>
      <c r="C1" t="s">
        <v>1</v>
      </c>
      <c r="D1" t="s">
        <v>21</v>
      </c>
      <c r="E1" t="s">
        <v>2</v>
      </c>
      <c r="F1" t="s">
        <v>3</v>
      </c>
      <c r="G1" t="s">
        <v>4</v>
      </c>
      <c r="H1" t="s">
        <v>5</v>
      </c>
      <c r="I1" t="s">
        <v>18</v>
      </c>
      <c r="J1" t="s">
        <v>6</v>
      </c>
      <c r="K1" t="s">
        <v>19</v>
      </c>
      <c r="L1" t="s">
        <v>7</v>
      </c>
      <c r="M1" t="s">
        <v>20</v>
      </c>
      <c r="N1" t="s">
        <v>30</v>
      </c>
      <c r="O1" t="s">
        <v>36</v>
      </c>
      <c r="P1" t="s">
        <v>37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74</v>
      </c>
    </row>
    <row r="2" spans="1:24" x14ac:dyDescent="0.45">
      <c r="A2">
        <v>1000</v>
      </c>
      <c r="B2">
        <v>1</v>
      </c>
      <c r="C2">
        <v>1</v>
      </c>
      <c r="D2">
        <v>5</v>
      </c>
      <c r="E2">
        <v>-35</v>
      </c>
      <c r="F2">
        <v>0</v>
      </c>
      <c r="G2">
        <v>15</v>
      </c>
      <c r="H2">
        <v>0</v>
      </c>
      <c r="I2">
        <v>0</v>
      </c>
      <c r="J2">
        <v>0</v>
      </c>
      <c r="K2">
        <v>-1</v>
      </c>
      <c r="L2">
        <v>1</v>
      </c>
      <c r="M2">
        <v>2</v>
      </c>
      <c r="N2">
        <v>0</v>
      </c>
      <c r="O2">
        <v>0.13358379712985</v>
      </c>
      <c r="P2">
        <v>2.7569747892610801</v>
      </c>
      <c r="Q2">
        <v>77.687502109729607</v>
      </c>
      <c r="R2">
        <v>3</v>
      </c>
      <c r="S2">
        <v>3</v>
      </c>
      <c r="T2">
        <v>2.6625390000000002</v>
      </c>
      <c r="U2">
        <v>1.473902</v>
      </c>
      <c r="V2">
        <v>0.56659219999999999</v>
      </c>
      <c r="W2">
        <v>-0.35224040000000001</v>
      </c>
      <c r="X2">
        <f>ABS(V2-R2)</f>
        <v>2.4334077999999999</v>
      </c>
    </row>
    <row r="3" spans="1:24" x14ac:dyDescent="0.45">
      <c r="A3">
        <v>1000</v>
      </c>
      <c r="B3">
        <v>2</v>
      </c>
      <c r="C3">
        <v>2</v>
      </c>
      <c r="D3">
        <v>4</v>
      </c>
      <c r="E3">
        <v>-45</v>
      </c>
      <c r="F3">
        <v>0</v>
      </c>
      <c r="G3">
        <v>5</v>
      </c>
      <c r="H3">
        <v>3</v>
      </c>
      <c r="I3">
        <v>1</v>
      </c>
      <c r="J3">
        <v>-1</v>
      </c>
      <c r="K3">
        <v>1</v>
      </c>
      <c r="L3">
        <v>-1</v>
      </c>
      <c r="M3">
        <v>-1</v>
      </c>
      <c r="N3">
        <v>1</v>
      </c>
      <c r="O3">
        <v>0.21146291797903499</v>
      </c>
      <c r="P3">
        <v>3.6817132413044802</v>
      </c>
      <c r="Q3">
        <v>67.896706739898804</v>
      </c>
      <c r="R3">
        <v>3</v>
      </c>
      <c r="S3">
        <v>2.906933</v>
      </c>
      <c r="T3">
        <v>2.7007129999999999</v>
      </c>
      <c r="U3">
        <v>2.747293</v>
      </c>
      <c r="V3">
        <v>3.0269810000000001</v>
      </c>
      <c r="W3">
        <v>3.7359650000000002</v>
      </c>
      <c r="X3">
        <f t="shared" ref="X3:X66" si="0">ABS(V3-R3)</f>
        <v>2.6981000000000144E-2</v>
      </c>
    </row>
    <row r="4" spans="1:24" x14ac:dyDescent="0.45">
      <c r="A4">
        <v>1000</v>
      </c>
      <c r="B4">
        <v>3</v>
      </c>
      <c r="C4">
        <v>3</v>
      </c>
      <c r="D4">
        <v>7</v>
      </c>
      <c r="E4">
        <v>-35</v>
      </c>
      <c r="F4">
        <v>0</v>
      </c>
      <c r="G4">
        <v>15</v>
      </c>
      <c r="H4">
        <v>3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0.12389941294619999</v>
      </c>
      <c r="P4">
        <v>1.6367766128469601</v>
      </c>
      <c r="Q4">
        <v>77.119422020697598</v>
      </c>
      <c r="R4">
        <v>3</v>
      </c>
      <c r="S4">
        <v>2.9172199999999999</v>
      </c>
      <c r="T4">
        <v>2.7243080000000002</v>
      </c>
      <c r="U4">
        <v>2.7326510000000002</v>
      </c>
      <c r="V4">
        <v>2.7125309999999998</v>
      </c>
      <c r="W4">
        <v>2.7727599999999999</v>
      </c>
      <c r="X4">
        <f t="shared" si="0"/>
        <v>0.2874690000000002</v>
      </c>
    </row>
    <row r="5" spans="1:24" x14ac:dyDescent="0.45">
      <c r="A5">
        <v>1000</v>
      </c>
      <c r="B5">
        <v>4</v>
      </c>
      <c r="C5">
        <v>2</v>
      </c>
      <c r="D5">
        <v>2</v>
      </c>
      <c r="E5">
        <v>-35</v>
      </c>
      <c r="F5">
        <v>-3</v>
      </c>
      <c r="G5">
        <v>15</v>
      </c>
      <c r="H5">
        <v>-3</v>
      </c>
      <c r="I5">
        <v>0</v>
      </c>
      <c r="J5">
        <v>1</v>
      </c>
      <c r="K5">
        <v>0</v>
      </c>
      <c r="L5">
        <v>1</v>
      </c>
      <c r="M5">
        <v>2</v>
      </c>
      <c r="N5">
        <v>1</v>
      </c>
      <c r="O5">
        <v>0.12602497510017099</v>
      </c>
      <c r="P5">
        <v>2.3526156349557601</v>
      </c>
      <c r="Q5">
        <v>77.820890442829395</v>
      </c>
      <c r="R5">
        <v>-3</v>
      </c>
      <c r="S5">
        <v>-2.8785599999999998</v>
      </c>
      <c r="T5">
        <v>-1.963854</v>
      </c>
      <c r="U5">
        <v>-0.83708289999999996</v>
      </c>
      <c r="V5">
        <v>0.32593250000000001</v>
      </c>
      <c r="W5">
        <v>1.2156990000000001</v>
      </c>
      <c r="X5">
        <f t="shared" si="0"/>
        <v>3.3259325</v>
      </c>
    </row>
    <row r="6" spans="1:24" x14ac:dyDescent="0.45">
      <c r="A6">
        <v>1000</v>
      </c>
      <c r="B6">
        <v>5</v>
      </c>
      <c r="C6">
        <v>1</v>
      </c>
      <c r="D6">
        <v>8</v>
      </c>
      <c r="E6">
        <v>-45</v>
      </c>
      <c r="F6">
        <v>0</v>
      </c>
      <c r="G6">
        <v>5</v>
      </c>
      <c r="H6">
        <v>-3</v>
      </c>
      <c r="I6">
        <v>-2</v>
      </c>
      <c r="J6">
        <v>0</v>
      </c>
      <c r="K6">
        <v>1</v>
      </c>
      <c r="L6">
        <v>-2</v>
      </c>
      <c r="M6">
        <v>-2</v>
      </c>
      <c r="N6">
        <v>-1</v>
      </c>
      <c r="O6">
        <v>0.18362505482297301</v>
      </c>
      <c r="P6">
        <v>3.81022673407116</v>
      </c>
      <c r="Q6">
        <v>68.0925043806227</v>
      </c>
      <c r="R6">
        <v>-3</v>
      </c>
      <c r="S6">
        <v>-3.0105580000000001</v>
      </c>
      <c r="T6">
        <v>-3.205057</v>
      </c>
      <c r="U6">
        <v>-3.1130230000000001</v>
      </c>
      <c r="V6">
        <v>-3.3173339999999998</v>
      </c>
      <c r="W6">
        <v>-3.3176239999999999</v>
      </c>
      <c r="X6">
        <f t="shared" si="0"/>
        <v>0.31733399999999978</v>
      </c>
    </row>
    <row r="7" spans="1:24" x14ac:dyDescent="0.45">
      <c r="A7">
        <v>1000</v>
      </c>
      <c r="B7">
        <v>6</v>
      </c>
      <c r="C7">
        <v>1</v>
      </c>
      <c r="D7">
        <v>1</v>
      </c>
      <c r="E7">
        <v>-35</v>
      </c>
      <c r="F7">
        <v>0</v>
      </c>
      <c r="G7">
        <v>15</v>
      </c>
      <c r="H7">
        <v>0</v>
      </c>
      <c r="I7">
        <v>0</v>
      </c>
      <c r="J7">
        <v>0</v>
      </c>
      <c r="K7">
        <v>-1</v>
      </c>
      <c r="L7">
        <v>-1</v>
      </c>
      <c r="M7">
        <v>-1</v>
      </c>
      <c r="N7">
        <v>-1</v>
      </c>
      <c r="O7">
        <v>0.130798401184959</v>
      </c>
      <c r="P7">
        <v>3.2217046565583498</v>
      </c>
      <c r="Q7">
        <v>77.530769772263696</v>
      </c>
      <c r="R7">
        <v>0</v>
      </c>
      <c r="S7">
        <v>-2.0635210000000001E-2</v>
      </c>
      <c r="T7">
        <v>4.2105219999999999E-2</v>
      </c>
      <c r="U7">
        <v>0.90544230000000003</v>
      </c>
      <c r="V7">
        <v>2.2689319999999999</v>
      </c>
      <c r="W7">
        <v>2.847235</v>
      </c>
      <c r="X7">
        <f t="shared" si="0"/>
        <v>2.2689319999999999</v>
      </c>
    </row>
    <row r="8" spans="1:24" x14ac:dyDescent="0.45">
      <c r="A8">
        <v>1000</v>
      </c>
      <c r="B8">
        <v>7</v>
      </c>
      <c r="C8">
        <v>2</v>
      </c>
      <c r="D8">
        <v>6</v>
      </c>
      <c r="E8">
        <v>-35</v>
      </c>
      <c r="F8">
        <v>3</v>
      </c>
      <c r="G8">
        <v>15</v>
      </c>
      <c r="H8">
        <v>3</v>
      </c>
      <c r="I8">
        <v>-2</v>
      </c>
      <c r="J8">
        <v>-1</v>
      </c>
      <c r="K8">
        <v>0</v>
      </c>
      <c r="L8">
        <v>-1</v>
      </c>
      <c r="M8">
        <v>-2</v>
      </c>
      <c r="N8">
        <v>-2</v>
      </c>
      <c r="O8">
        <v>0.113278831967747</v>
      </c>
      <c r="P8">
        <v>4.4192461425103797</v>
      </c>
      <c r="Q8">
        <v>78.315669396884303</v>
      </c>
      <c r="R8">
        <v>0</v>
      </c>
      <c r="S8">
        <v>0</v>
      </c>
      <c r="T8">
        <v>-0.30471419999999999</v>
      </c>
      <c r="U8">
        <v>-0.2107618</v>
      </c>
      <c r="V8">
        <v>0.93291409999999997</v>
      </c>
      <c r="W8">
        <v>1.648366</v>
      </c>
      <c r="X8">
        <f t="shared" si="0"/>
        <v>0.93291409999999997</v>
      </c>
    </row>
    <row r="9" spans="1:24" x14ac:dyDescent="0.45">
      <c r="A9">
        <v>1000</v>
      </c>
      <c r="B9">
        <v>8</v>
      </c>
      <c r="C9">
        <v>3</v>
      </c>
      <c r="D9">
        <v>2</v>
      </c>
      <c r="E9">
        <v>-35</v>
      </c>
      <c r="F9">
        <v>-3</v>
      </c>
      <c r="G9">
        <v>15</v>
      </c>
      <c r="H9">
        <v>-3</v>
      </c>
      <c r="I9">
        <v>1</v>
      </c>
      <c r="J9">
        <v>0</v>
      </c>
      <c r="K9">
        <v>1</v>
      </c>
      <c r="L9">
        <v>1</v>
      </c>
      <c r="M9">
        <v>-1</v>
      </c>
      <c r="N9">
        <v>0</v>
      </c>
      <c r="O9">
        <v>0.14762484807367399</v>
      </c>
      <c r="P9">
        <v>3.3104966337850801</v>
      </c>
      <c r="Q9">
        <v>77.668324747678298</v>
      </c>
      <c r="R9">
        <v>-3</v>
      </c>
      <c r="S9">
        <v>-2.996248</v>
      </c>
      <c r="T9">
        <v>-2.8515549999999998</v>
      </c>
      <c r="U9">
        <v>-2.4267120000000002</v>
      </c>
      <c r="V9">
        <v>-1.344406</v>
      </c>
      <c r="W9">
        <v>-2.212224</v>
      </c>
      <c r="X9">
        <f t="shared" si="0"/>
        <v>1.655594</v>
      </c>
    </row>
    <row r="10" spans="1:24" x14ac:dyDescent="0.45">
      <c r="A10">
        <v>1000</v>
      </c>
      <c r="B10">
        <v>9</v>
      </c>
      <c r="C10">
        <v>2</v>
      </c>
      <c r="D10">
        <v>7</v>
      </c>
      <c r="E10">
        <v>-35</v>
      </c>
      <c r="F10">
        <v>0</v>
      </c>
      <c r="G10">
        <v>15</v>
      </c>
      <c r="H10">
        <v>3</v>
      </c>
      <c r="I10">
        <v>2</v>
      </c>
      <c r="J10">
        <v>1</v>
      </c>
      <c r="K10">
        <v>0</v>
      </c>
      <c r="L10">
        <v>1</v>
      </c>
      <c r="M10">
        <v>2</v>
      </c>
      <c r="N10">
        <v>2</v>
      </c>
      <c r="O10">
        <v>0.121318587539107</v>
      </c>
      <c r="P10">
        <v>0.828289485399204</v>
      </c>
      <c r="Q10">
        <v>77.435569302565696</v>
      </c>
      <c r="R10">
        <v>3</v>
      </c>
      <c r="S10">
        <v>2.9723609999999998</v>
      </c>
      <c r="T10">
        <v>2.8929260000000001</v>
      </c>
      <c r="U10">
        <v>2.875753</v>
      </c>
      <c r="V10">
        <v>2.888131</v>
      </c>
      <c r="W10">
        <v>3.02163</v>
      </c>
      <c r="X10">
        <f t="shared" si="0"/>
        <v>0.111869</v>
      </c>
    </row>
    <row r="11" spans="1:24" x14ac:dyDescent="0.45">
      <c r="A11">
        <v>1000</v>
      </c>
      <c r="B11">
        <v>10</v>
      </c>
      <c r="C11">
        <v>1</v>
      </c>
      <c r="D11">
        <v>4</v>
      </c>
      <c r="E11">
        <v>-45</v>
      </c>
      <c r="F11">
        <v>0</v>
      </c>
      <c r="G11">
        <v>5</v>
      </c>
      <c r="H11">
        <v>3</v>
      </c>
      <c r="I11">
        <v>-1</v>
      </c>
      <c r="J11">
        <v>1</v>
      </c>
      <c r="K11">
        <v>-1</v>
      </c>
      <c r="L11">
        <v>0</v>
      </c>
      <c r="M11">
        <v>-1</v>
      </c>
      <c r="N11">
        <v>-1</v>
      </c>
      <c r="O11">
        <v>0.13429683421303101</v>
      </c>
      <c r="P11">
        <v>1.5416080513879999</v>
      </c>
      <c r="Q11">
        <v>68.613605996722299</v>
      </c>
      <c r="R11">
        <v>3</v>
      </c>
      <c r="S11">
        <v>3</v>
      </c>
      <c r="T11">
        <v>3.0177589999999999</v>
      </c>
      <c r="U11">
        <v>2.9764439999999999</v>
      </c>
      <c r="V11">
        <v>3.1468780000000001</v>
      </c>
      <c r="W11">
        <v>3.3114620000000001</v>
      </c>
      <c r="X11">
        <f t="shared" si="0"/>
        <v>0.14687800000000006</v>
      </c>
    </row>
    <row r="12" spans="1:24" x14ac:dyDescent="0.45">
      <c r="A12">
        <v>1000</v>
      </c>
      <c r="B12">
        <v>11</v>
      </c>
      <c r="C12">
        <v>3</v>
      </c>
      <c r="D12">
        <v>5</v>
      </c>
      <c r="E12">
        <v>-35</v>
      </c>
      <c r="F12">
        <v>0</v>
      </c>
      <c r="G12">
        <v>15</v>
      </c>
      <c r="H12">
        <v>0</v>
      </c>
      <c r="I12">
        <v>1</v>
      </c>
      <c r="J12">
        <v>2</v>
      </c>
      <c r="K12">
        <v>0</v>
      </c>
      <c r="L12">
        <v>1</v>
      </c>
      <c r="M12">
        <v>-1</v>
      </c>
      <c r="N12">
        <v>1</v>
      </c>
      <c r="O12">
        <v>0.13546840055780399</v>
      </c>
      <c r="P12">
        <v>3.56754686597389</v>
      </c>
      <c r="Q12">
        <v>78.721922288281306</v>
      </c>
      <c r="R12">
        <v>3</v>
      </c>
      <c r="S12">
        <v>2.9253969999999998</v>
      </c>
      <c r="T12">
        <v>2.5179740000000002</v>
      </c>
      <c r="U12">
        <v>2.4349129999999999</v>
      </c>
      <c r="V12">
        <v>1.3813420000000001</v>
      </c>
      <c r="W12">
        <v>0.70107019999999998</v>
      </c>
      <c r="X12">
        <f t="shared" si="0"/>
        <v>1.6186579999999999</v>
      </c>
    </row>
    <row r="13" spans="1:24" x14ac:dyDescent="0.45">
      <c r="A13">
        <v>1000</v>
      </c>
      <c r="B13">
        <v>12</v>
      </c>
      <c r="C13">
        <v>3</v>
      </c>
      <c r="D13">
        <v>3</v>
      </c>
      <c r="E13">
        <v>-35</v>
      </c>
      <c r="F13">
        <v>0</v>
      </c>
      <c r="G13">
        <v>15</v>
      </c>
      <c r="H13">
        <v>-3</v>
      </c>
      <c r="I13">
        <v>2</v>
      </c>
      <c r="J13">
        <v>2</v>
      </c>
      <c r="K13">
        <v>0</v>
      </c>
      <c r="L13">
        <v>2</v>
      </c>
      <c r="M13">
        <v>2</v>
      </c>
      <c r="N13">
        <v>2</v>
      </c>
      <c r="O13">
        <v>0.14052064639020501</v>
      </c>
      <c r="P13">
        <v>1.6763108436677301</v>
      </c>
      <c r="Q13">
        <v>76.141959369326898</v>
      </c>
      <c r="R13">
        <v>-3</v>
      </c>
      <c r="S13">
        <v>-3</v>
      </c>
      <c r="T13">
        <v>-3.204151</v>
      </c>
      <c r="U13">
        <v>-3.2826759999999999</v>
      </c>
      <c r="V13">
        <v>-3.346533</v>
      </c>
      <c r="W13">
        <v>-3.4158249999999999</v>
      </c>
      <c r="X13">
        <f t="shared" si="0"/>
        <v>0.34653299999999998</v>
      </c>
    </row>
    <row r="14" spans="1:24" x14ac:dyDescent="0.45">
      <c r="A14">
        <v>1000</v>
      </c>
      <c r="B14">
        <v>13</v>
      </c>
      <c r="C14">
        <v>1</v>
      </c>
      <c r="D14">
        <v>7</v>
      </c>
      <c r="E14">
        <v>-35</v>
      </c>
      <c r="F14">
        <v>0</v>
      </c>
      <c r="G14">
        <v>15</v>
      </c>
      <c r="H14">
        <v>3</v>
      </c>
      <c r="I14">
        <v>-1</v>
      </c>
      <c r="J14">
        <v>1</v>
      </c>
      <c r="K14">
        <v>-1</v>
      </c>
      <c r="L14">
        <v>0</v>
      </c>
      <c r="M14">
        <v>0</v>
      </c>
      <c r="N14">
        <v>0</v>
      </c>
      <c r="O14">
        <v>0.111672334137443</v>
      </c>
      <c r="P14">
        <v>1.6857805143837501</v>
      </c>
      <c r="Q14">
        <v>77.638599084529801</v>
      </c>
      <c r="R14">
        <v>3</v>
      </c>
      <c r="S14">
        <v>2.9234990000000001</v>
      </c>
      <c r="T14">
        <v>3.0190959999999998</v>
      </c>
      <c r="U14">
        <v>3.1976460000000002</v>
      </c>
      <c r="V14">
        <v>3.5816840000000001</v>
      </c>
      <c r="W14">
        <v>4.0146389999999998</v>
      </c>
      <c r="X14">
        <f t="shared" si="0"/>
        <v>0.58168400000000009</v>
      </c>
    </row>
    <row r="15" spans="1:24" x14ac:dyDescent="0.45">
      <c r="A15">
        <v>1000</v>
      </c>
      <c r="B15">
        <v>14</v>
      </c>
      <c r="C15">
        <v>3</v>
      </c>
      <c r="D15">
        <v>1</v>
      </c>
      <c r="E15">
        <v>-35</v>
      </c>
      <c r="F15">
        <v>0</v>
      </c>
      <c r="G15">
        <v>15</v>
      </c>
      <c r="H15">
        <v>0</v>
      </c>
      <c r="I15">
        <v>2</v>
      </c>
      <c r="J15">
        <v>2</v>
      </c>
      <c r="K15">
        <v>2</v>
      </c>
      <c r="L15">
        <v>2</v>
      </c>
      <c r="M15">
        <v>1</v>
      </c>
      <c r="N15">
        <v>1</v>
      </c>
      <c r="O15">
        <v>0.12696774378891501</v>
      </c>
      <c r="P15">
        <v>2.0700609340798799</v>
      </c>
      <c r="Q15">
        <v>77.529970624959603</v>
      </c>
      <c r="R15">
        <v>0</v>
      </c>
      <c r="S15">
        <v>1.7060949999999999E-4</v>
      </c>
      <c r="T15">
        <v>-0.27762799999999999</v>
      </c>
      <c r="U15">
        <v>-0.61539980000000005</v>
      </c>
      <c r="V15">
        <v>-1.7941670000000001</v>
      </c>
      <c r="W15">
        <v>-2.811769</v>
      </c>
      <c r="X15">
        <f t="shared" si="0"/>
        <v>1.7941670000000001</v>
      </c>
    </row>
    <row r="16" spans="1:24" x14ac:dyDescent="0.45">
      <c r="A16">
        <v>1000</v>
      </c>
      <c r="B16">
        <v>15</v>
      </c>
      <c r="C16">
        <v>2</v>
      </c>
      <c r="D16">
        <v>8</v>
      </c>
      <c r="E16">
        <v>-45</v>
      </c>
      <c r="F16">
        <v>0</v>
      </c>
      <c r="G16">
        <v>5</v>
      </c>
      <c r="H16">
        <v>-3</v>
      </c>
      <c r="I16">
        <v>-2</v>
      </c>
      <c r="J16">
        <v>-1</v>
      </c>
      <c r="K16">
        <v>0</v>
      </c>
      <c r="L16">
        <v>0</v>
      </c>
      <c r="M16">
        <v>-2</v>
      </c>
      <c r="N16">
        <v>-2</v>
      </c>
      <c r="O16">
        <v>0.26566301775935702</v>
      </c>
      <c r="P16">
        <v>9.1050531863362298</v>
      </c>
      <c r="Q16">
        <v>68.550387964975798</v>
      </c>
      <c r="R16">
        <v>-3</v>
      </c>
      <c r="S16">
        <v>-3.0010249999999998</v>
      </c>
      <c r="T16">
        <v>-3.283995</v>
      </c>
      <c r="U16">
        <v>-3.4045040000000002</v>
      </c>
      <c r="V16">
        <v>-3.499018</v>
      </c>
      <c r="W16">
        <v>-3.4327969999999999</v>
      </c>
      <c r="X16">
        <f t="shared" si="0"/>
        <v>0.49901799999999996</v>
      </c>
    </row>
    <row r="17" spans="1:24" x14ac:dyDescent="0.45">
      <c r="A17">
        <v>1000</v>
      </c>
      <c r="B17">
        <v>16</v>
      </c>
      <c r="C17">
        <v>2</v>
      </c>
      <c r="D17">
        <v>3</v>
      </c>
      <c r="E17">
        <v>-35</v>
      </c>
      <c r="F17">
        <v>0</v>
      </c>
      <c r="G17">
        <v>15</v>
      </c>
      <c r="H17">
        <v>-3</v>
      </c>
      <c r="I17">
        <v>2</v>
      </c>
      <c r="J17">
        <v>2</v>
      </c>
      <c r="K17">
        <v>0</v>
      </c>
      <c r="L17">
        <v>2</v>
      </c>
      <c r="M17">
        <v>2</v>
      </c>
      <c r="N17">
        <v>2</v>
      </c>
      <c r="O17">
        <v>0.13215152883541101</v>
      </c>
      <c r="P17">
        <v>1.05789146149652</v>
      </c>
      <c r="Q17">
        <v>76.206884868663593</v>
      </c>
      <c r="R17">
        <v>-3</v>
      </c>
      <c r="S17">
        <v>-3.0145490000000001</v>
      </c>
      <c r="T17">
        <v>-3.29684</v>
      </c>
      <c r="U17">
        <v>-3.406269</v>
      </c>
      <c r="V17">
        <v>-3.5158999999999998</v>
      </c>
      <c r="W17">
        <v>-3.5994820000000001</v>
      </c>
      <c r="X17">
        <f t="shared" si="0"/>
        <v>0.5158999999999998</v>
      </c>
    </row>
    <row r="18" spans="1:24" x14ac:dyDescent="0.45">
      <c r="A18">
        <v>1000</v>
      </c>
      <c r="B18">
        <v>17</v>
      </c>
      <c r="C18">
        <v>3</v>
      </c>
      <c r="D18">
        <v>6</v>
      </c>
      <c r="E18">
        <v>-35</v>
      </c>
      <c r="F18">
        <v>3</v>
      </c>
      <c r="G18">
        <v>15</v>
      </c>
      <c r="H18">
        <v>3</v>
      </c>
      <c r="I18">
        <v>2</v>
      </c>
      <c r="J18">
        <v>2</v>
      </c>
      <c r="K18">
        <v>0</v>
      </c>
      <c r="L18">
        <v>2</v>
      </c>
      <c r="M18">
        <v>2</v>
      </c>
      <c r="N18">
        <v>2</v>
      </c>
      <c r="O18">
        <v>0.13552534312266401</v>
      </c>
      <c r="P18">
        <v>2.7800906344150098</v>
      </c>
      <c r="Q18">
        <v>76.833147351915102</v>
      </c>
      <c r="R18">
        <v>0</v>
      </c>
      <c r="S18">
        <v>-3.665626E-3</v>
      </c>
      <c r="T18">
        <v>-0.1173471</v>
      </c>
      <c r="U18">
        <v>0.25707020000000003</v>
      </c>
      <c r="V18">
        <v>1.4653659999999999</v>
      </c>
      <c r="W18">
        <v>2.1349279999999999</v>
      </c>
      <c r="X18">
        <f t="shared" si="0"/>
        <v>1.4653659999999999</v>
      </c>
    </row>
    <row r="19" spans="1:24" x14ac:dyDescent="0.45">
      <c r="A19">
        <v>1000</v>
      </c>
      <c r="B19">
        <v>18</v>
      </c>
      <c r="C19">
        <v>1</v>
      </c>
      <c r="D19">
        <v>2</v>
      </c>
      <c r="E19">
        <v>-35</v>
      </c>
      <c r="F19">
        <v>-3</v>
      </c>
      <c r="G19">
        <v>15</v>
      </c>
      <c r="H19">
        <v>-3</v>
      </c>
      <c r="I19">
        <v>0</v>
      </c>
      <c r="J19">
        <v>1</v>
      </c>
      <c r="K19">
        <v>0</v>
      </c>
      <c r="L19">
        <v>1</v>
      </c>
      <c r="M19">
        <v>2</v>
      </c>
      <c r="N19">
        <v>2</v>
      </c>
      <c r="O19">
        <v>0.101786243047648</v>
      </c>
      <c r="P19">
        <v>5.2251313321990303</v>
      </c>
      <c r="Q19">
        <v>79.117385602153604</v>
      </c>
      <c r="R19">
        <v>-3</v>
      </c>
      <c r="S19">
        <v>-3</v>
      </c>
      <c r="T19">
        <v>-1.571453</v>
      </c>
      <c r="U19">
        <v>-0.13938829999999999</v>
      </c>
      <c r="V19">
        <v>0.81566519999999998</v>
      </c>
      <c r="W19">
        <v>1.6962919999999999</v>
      </c>
      <c r="X19">
        <f t="shared" si="0"/>
        <v>3.8156651999999998</v>
      </c>
    </row>
    <row r="20" spans="1:24" x14ac:dyDescent="0.45">
      <c r="A20">
        <v>1000</v>
      </c>
      <c r="B20">
        <v>19</v>
      </c>
      <c r="C20">
        <v>2</v>
      </c>
      <c r="D20">
        <v>5</v>
      </c>
      <c r="E20">
        <v>-35</v>
      </c>
      <c r="F20">
        <v>0</v>
      </c>
      <c r="G20">
        <v>15</v>
      </c>
      <c r="H20">
        <v>0</v>
      </c>
      <c r="I20">
        <v>0</v>
      </c>
      <c r="J20">
        <v>1</v>
      </c>
      <c r="K20">
        <v>0</v>
      </c>
      <c r="L20">
        <v>1</v>
      </c>
      <c r="M20">
        <v>2</v>
      </c>
      <c r="N20">
        <v>1</v>
      </c>
      <c r="O20">
        <v>0.11907794434508399</v>
      </c>
      <c r="P20">
        <v>3.44416866637224</v>
      </c>
      <c r="Q20">
        <v>78.029118299736993</v>
      </c>
      <c r="R20">
        <v>3</v>
      </c>
      <c r="S20">
        <v>2.9567559999999999</v>
      </c>
      <c r="T20">
        <v>1.3951370000000001</v>
      </c>
      <c r="U20">
        <v>0.21814040000000001</v>
      </c>
      <c r="V20">
        <v>-0.69656580000000001</v>
      </c>
      <c r="W20">
        <v>-1.1203270000000001</v>
      </c>
      <c r="X20">
        <f t="shared" si="0"/>
        <v>3.6965658000000001</v>
      </c>
    </row>
    <row r="21" spans="1:24" x14ac:dyDescent="0.45">
      <c r="A21">
        <v>1000</v>
      </c>
      <c r="B21">
        <v>20</v>
      </c>
      <c r="C21">
        <v>3</v>
      </c>
      <c r="D21">
        <v>4</v>
      </c>
      <c r="E21">
        <v>-45</v>
      </c>
      <c r="F21">
        <v>0</v>
      </c>
      <c r="G21">
        <v>5</v>
      </c>
      <c r="H21">
        <v>3</v>
      </c>
      <c r="I21">
        <v>2</v>
      </c>
      <c r="J21">
        <v>2</v>
      </c>
      <c r="K21">
        <v>0</v>
      </c>
      <c r="L21">
        <v>2</v>
      </c>
      <c r="M21">
        <v>2</v>
      </c>
      <c r="N21">
        <v>2</v>
      </c>
      <c r="O21">
        <v>0.110872072450311</v>
      </c>
      <c r="P21">
        <v>2.2051454532813599</v>
      </c>
      <c r="Q21">
        <v>67.626736629592003</v>
      </c>
      <c r="R21">
        <v>3</v>
      </c>
      <c r="S21">
        <v>3.0040339999999999</v>
      </c>
      <c r="T21">
        <v>2.9551810000000001</v>
      </c>
      <c r="U21">
        <v>2.9452560000000001</v>
      </c>
      <c r="V21">
        <v>2.988505</v>
      </c>
      <c r="W21">
        <v>3.059078</v>
      </c>
      <c r="X21">
        <f t="shared" si="0"/>
        <v>1.1495000000000033E-2</v>
      </c>
    </row>
    <row r="22" spans="1:24" x14ac:dyDescent="0.45">
      <c r="A22">
        <v>1000</v>
      </c>
      <c r="B22">
        <v>21</v>
      </c>
      <c r="C22">
        <v>1</v>
      </c>
      <c r="D22">
        <v>6</v>
      </c>
      <c r="E22">
        <v>-35</v>
      </c>
      <c r="F22">
        <v>3</v>
      </c>
      <c r="G22">
        <v>15</v>
      </c>
      <c r="H22">
        <v>3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0.123133052809967</v>
      </c>
      <c r="P22">
        <v>1.9762129043285801</v>
      </c>
      <c r="Q22">
        <v>77.243718517892304</v>
      </c>
      <c r="R22">
        <v>0</v>
      </c>
      <c r="S22">
        <v>5.6352599999999996E-3</v>
      </c>
      <c r="T22">
        <v>0.1013411</v>
      </c>
      <c r="U22">
        <v>1.24014</v>
      </c>
      <c r="V22">
        <v>2.3593980000000001</v>
      </c>
      <c r="W22">
        <v>3.074506</v>
      </c>
      <c r="X22">
        <f t="shared" si="0"/>
        <v>2.3593980000000001</v>
      </c>
    </row>
    <row r="23" spans="1:24" x14ac:dyDescent="0.45">
      <c r="A23">
        <v>1000</v>
      </c>
      <c r="B23">
        <v>22</v>
      </c>
      <c r="C23">
        <v>1</v>
      </c>
      <c r="D23">
        <v>3</v>
      </c>
      <c r="E23">
        <v>-35</v>
      </c>
      <c r="F23">
        <v>0</v>
      </c>
      <c r="G23">
        <v>15</v>
      </c>
      <c r="H23">
        <v>-3</v>
      </c>
      <c r="I23">
        <v>0</v>
      </c>
      <c r="J23">
        <v>0</v>
      </c>
      <c r="K23">
        <v>0</v>
      </c>
      <c r="L23">
        <v>-1</v>
      </c>
      <c r="M23">
        <v>-1</v>
      </c>
      <c r="N23">
        <v>-1</v>
      </c>
      <c r="O23">
        <v>0.11345999203609999</v>
      </c>
      <c r="P23">
        <v>1.4009556697155201</v>
      </c>
      <c r="Q23">
        <v>77.1036951021173</v>
      </c>
      <c r="R23">
        <v>-3</v>
      </c>
      <c r="S23">
        <v>-3.108978</v>
      </c>
      <c r="T23">
        <v>-3.3120919999999998</v>
      </c>
      <c r="U23">
        <v>-3.3586670000000001</v>
      </c>
      <c r="V23">
        <v>-3.5020539999999998</v>
      </c>
      <c r="W23">
        <v>-3.6702249999999998</v>
      </c>
      <c r="X23">
        <f t="shared" si="0"/>
        <v>0.50205399999999978</v>
      </c>
    </row>
    <row r="24" spans="1:24" x14ac:dyDescent="0.45">
      <c r="A24">
        <v>1000</v>
      </c>
      <c r="B24">
        <v>23</v>
      </c>
      <c r="C24">
        <v>3</v>
      </c>
      <c r="D24">
        <v>8</v>
      </c>
      <c r="E24">
        <v>-45</v>
      </c>
      <c r="F24">
        <v>0</v>
      </c>
      <c r="G24">
        <v>5</v>
      </c>
      <c r="H24">
        <v>-3</v>
      </c>
      <c r="I24">
        <v>2</v>
      </c>
      <c r="J24">
        <v>1</v>
      </c>
      <c r="K24">
        <v>0</v>
      </c>
      <c r="L24">
        <v>2</v>
      </c>
      <c r="M24">
        <v>2</v>
      </c>
      <c r="N24">
        <v>2</v>
      </c>
      <c r="O24">
        <v>0.129304546341657</v>
      </c>
      <c r="P24">
        <v>1.85291679996004</v>
      </c>
      <c r="Q24">
        <v>68.395988589508704</v>
      </c>
      <c r="R24">
        <v>-3</v>
      </c>
      <c r="S24">
        <v>-3.089855</v>
      </c>
      <c r="T24">
        <v>-3.2967689999999998</v>
      </c>
      <c r="U24">
        <v>-3.3484219999999998</v>
      </c>
      <c r="V24">
        <v>-3.4610639999999999</v>
      </c>
      <c r="W24">
        <v>-3.6029719999999998</v>
      </c>
      <c r="X24">
        <f t="shared" si="0"/>
        <v>0.46106399999999992</v>
      </c>
    </row>
    <row r="25" spans="1:24" x14ac:dyDescent="0.45">
      <c r="A25">
        <v>1000</v>
      </c>
      <c r="B25">
        <v>24</v>
      </c>
      <c r="C25">
        <v>2</v>
      </c>
      <c r="D25">
        <v>1</v>
      </c>
      <c r="E25">
        <v>-35</v>
      </c>
      <c r="F25">
        <v>0</v>
      </c>
      <c r="G25">
        <v>15</v>
      </c>
      <c r="H25">
        <v>0</v>
      </c>
      <c r="I25">
        <v>0</v>
      </c>
      <c r="J25">
        <v>0</v>
      </c>
      <c r="K25">
        <v>0</v>
      </c>
      <c r="L25">
        <v>-1</v>
      </c>
      <c r="M25">
        <v>-1</v>
      </c>
      <c r="N25">
        <v>0</v>
      </c>
      <c r="O25">
        <v>0.13188702816570699</v>
      </c>
      <c r="P25">
        <v>2.3684104072839398</v>
      </c>
      <c r="Q25">
        <v>77.566781059747797</v>
      </c>
      <c r="R25">
        <v>0</v>
      </c>
      <c r="S25">
        <v>1.2915360000000001E-2</v>
      </c>
      <c r="T25">
        <v>-0.14594989999999999</v>
      </c>
      <c r="U25">
        <v>-0.3936152</v>
      </c>
      <c r="V25">
        <v>-1.695695</v>
      </c>
      <c r="W25">
        <v>-2.676666</v>
      </c>
      <c r="X25">
        <f t="shared" si="0"/>
        <v>1.695695</v>
      </c>
    </row>
    <row r="26" spans="1:24" x14ac:dyDescent="0.45">
      <c r="A26">
        <v>1010</v>
      </c>
      <c r="B26">
        <v>1</v>
      </c>
      <c r="C26">
        <v>1</v>
      </c>
      <c r="D26">
        <v>5</v>
      </c>
      <c r="E26">
        <v>-35</v>
      </c>
      <c r="F26">
        <v>0</v>
      </c>
      <c r="G26">
        <v>15</v>
      </c>
      <c r="H26">
        <v>0</v>
      </c>
      <c r="I26">
        <v>0</v>
      </c>
      <c r="J26">
        <v>0</v>
      </c>
      <c r="K26">
        <v>-2</v>
      </c>
      <c r="L26">
        <v>0</v>
      </c>
      <c r="M26">
        <v>0</v>
      </c>
      <c r="N26">
        <v>0</v>
      </c>
      <c r="O26">
        <v>0.220956933114099</v>
      </c>
      <c r="P26">
        <v>4.19619674379003</v>
      </c>
      <c r="Q26">
        <v>77.088272928808493</v>
      </c>
      <c r="R26">
        <v>3</v>
      </c>
      <c r="S26">
        <v>3</v>
      </c>
      <c r="T26">
        <v>2.167662</v>
      </c>
      <c r="U26">
        <v>1.945697</v>
      </c>
      <c r="V26">
        <v>1.0149459999999999</v>
      </c>
      <c r="W26">
        <v>0.43912620000000002</v>
      </c>
      <c r="X26">
        <f t="shared" si="0"/>
        <v>1.9850540000000001</v>
      </c>
    </row>
    <row r="27" spans="1:24" x14ac:dyDescent="0.45">
      <c r="A27">
        <v>1010</v>
      </c>
      <c r="B27">
        <v>2</v>
      </c>
      <c r="C27">
        <v>2</v>
      </c>
      <c r="D27">
        <v>4</v>
      </c>
      <c r="E27">
        <v>-45</v>
      </c>
      <c r="F27">
        <v>0</v>
      </c>
      <c r="G27">
        <v>5</v>
      </c>
      <c r="H27">
        <v>3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0.13901287080275301</v>
      </c>
      <c r="P27">
        <v>2.5099479834994698</v>
      </c>
      <c r="Q27">
        <v>68.221056797469004</v>
      </c>
      <c r="R27">
        <v>3</v>
      </c>
      <c r="S27">
        <v>2.9714140000000002</v>
      </c>
      <c r="T27">
        <v>2.978739</v>
      </c>
      <c r="U27">
        <v>2.9456829999999998</v>
      </c>
      <c r="V27">
        <v>2.9794399999999999</v>
      </c>
      <c r="W27">
        <v>3.023425</v>
      </c>
      <c r="X27">
        <f t="shared" si="0"/>
        <v>2.0560000000000134E-2</v>
      </c>
    </row>
    <row r="28" spans="1:24" x14ac:dyDescent="0.45">
      <c r="A28">
        <v>1010</v>
      </c>
      <c r="B28">
        <v>3</v>
      </c>
      <c r="C28">
        <v>3</v>
      </c>
      <c r="D28">
        <v>7</v>
      </c>
      <c r="E28">
        <v>-35</v>
      </c>
      <c r="F28">
        <v>0</v>
      </c>
      <c r="G28">
        <v>15</v>
      </c>
      <c r="H28">
        <v>3</v>
      </c>
      <c r="I28">
        <v>1</v>
      </c>
      <c r="J28">
        <v>1</v>
      </c>
      <c r="K28">
        <v>1</v>
      </c>
      <c r="L28">
        <v>2</v>
      </c>
      <c r="M28">
        <v>2</v>
      </c>
      <c r="N28">
        <v>1</v>
      </c>
      <c r="O28">
        <v>0.109976183322779</v>
      </c>
      <c r="P28">
        <v>2.17623335616166</v>
      </c>
      <c r="Q28">
        <v>77.033103690967593</v>
      </c>
      <c r="R28">
        <v>3</v>
      </c>
      <c r="S28">
        <v>2.867731</v>
      </c>
      <c r="T28">
        <v>3.0760519999999998</v>
      </c>
      <c r="U28">
        <v>3.1552500000000001</v>
      </c>
      <c r="V28">
        <v>3.176415</v>
      </c>
      <c r="W28">
        <v>3.0854029999999999</v>
      </c>
      <c r="X28">
        <f t="shared" si="0"/>
        <v>0.17641499999999999</v>
      </c>
    </row>
    <row r="29" spans="1:24" x14ac:dyDescent="0.45">
      <c r="A29">
        <v>1010</v>
      </c>
      <c r="B29">
        <v>4</v>
      </c>
      <c r="C29">
        <v>2</v>
      </c>
      <c r="D29">
        <v>2</v>
      </c>
      <c r="E29">
        <v>-35</v>
      </c>
      <c r="F29">
        <v>-3</v>
      </c>
      <c r="G29">
        <v>15</v>
      </c>
      <c r="H29">
        <v>-3</v>
      </c>
      <c r="I29">
        <v>0</v>
      </c>
      <c r="J29">
        <v>0</v>
      </c>
      <c r="K29">
        <v>1</v>
      </c>
      <c r="L29">
        <v>-2</v>
      </c>
      <c r="M29">
        <v>-2</v>
      </c>
      <c r="N29">
        <v>-2</v>
      </c>
      <c r="O29">
        <v>0.243085138655495</v>
      </c>
      <c r="P29">
        <v>7.09378002247482</v>
      </c>
      <c r="Q29">
        <v>78.446524672844504</v>
      </c>
      <c r="R29">
        <v>-3</v>
      </c>
      <c r="S29">
        <v>-3.0324550000000001</v>
      </c>
      <c r="T29">
        <v>-2.8035800000000002</v>
      </c>
      <c r="U29">
        <v>-1.8778220000000001</v>
      </c>
      <c r="V29">
        <v>-0.9707692</v>
      </c>
      <c r="W29">
        <v>-0.64598319999999998</v>
      </c>
      <c r="X29">
        <f t="shared" si="0"/>
        <v>2.0292308000000001</v>
      </c>
    </row>
    <row r="30" spans="1:24" x14ac:dyDescent="0.45">
      <c r="A30">
        <v>1010</v>
      </c>
      <c r="B30">
        <v>5</v>
      </c>
      <c r="C30">
        <v>1</v>
      </c>
      <c r="D30">
        <v>8</v>
      </c>
      <c r="E30">
        <v>-45</v>
      </c>
      <c r="F30">
        <v>0</v>
      </c>
      <c r="G30">
        <v>5</v>
      </c>
      <c r="H30">
        <v>-3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>
        <v>0.35145913700763598</v>
      </c>
      <c r="P30">
        <v>5.9723526994262199</v>
      </c>
      <c r="Q30">
        <v>68.231560989333104</v>
      </c>
      <c r="R30">
        <v>-3</v>
      </c>
      <c r="S30">
        <v>-3.0671040000000001</v>
      </c>
      <c r="T30">
        <v>-3.1509839999999998</v>
      </c>
      <c r="U30">
        <v>-2.3668260000000001</v>
      </c>
      <c r="V30">
        <v>-0.57186029999999999</v>
      </c>
      <c r="W30">
        <v>1.1673929999999999</v>
      </c>
      <c r="X30">
        <f t="shared" si="0"/>
        <v>2.4281397</v>
      </c>
    </row>
    <row r="31" spans="1:24" x14ac:dyDescent="0.45">
      <c r="A31">
        <v>1010</v>
      </c>
      <c r="B31">
        <v>6</v>
      </c>
      <c r="C31">
        <v>1</v>
      </c>
      <c r="D31">
        <v>1</v>
      </c>
      <c r="E31">
        <v>-35</v>
      </c>
      <c r="F31">
        <v>0</v>
      </c>
      <c r="G31">
        <v>15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0.118093405882569</v>
      </c>
      <c r="P31">
        <v>3.2667766642904401</v>
      </c>
      <c r="Q31">
        <v>79.116923023344697</v>
      </c>
      <c r="R31">
        <v>0</v>
      </c>
      <c r="S31">
        <v>-7.5514010000000006E-2</v>
      </c>
      <c r="T31">
        <v>-0.96435139999999997</v>
      </c>
      <c r="U31">
        <v>-2.3668110000000002</v>
      </c>
      <c r="V31">
        <v>-3.2020240000000002</v>
      </c>
      <c r="W31">
        <v>-3.592282</v>
      </c>
      <c r="X31">
        <f t="shared" si="0"/>
        <v>3.2020240000000002</v>
      </c>
    </row>
    <row r="32" spans="1:24" x14ac:dyDescent="0.45">
      <c r="A32">
        <v>1010</v>
      </c>
      <c r="B32">
        <v>7</v>
      </c>
      <c r="C32">
        <v>2</v>
      </c>
      <c r="D32">
        <v>6</v>
      </c>
      <c r="E32">
        <v>-35</v>
      </c>
      <c r="F32">
        <v>3</v>
      </c>
      <c r="G32">
        <v>15</v>
      </c>
      <c r="H32">
        <v>3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0.142164124265313</v>
      </c>
      <c r="P32">
        <v>8.5950466899244802</v>
      </c>
      <c r="Q32">
        <v>82.261974618508802</v>
      </c>
      <c r="R32">
        <v>0</v>
      </c>
      <c r="S32">
        <v>0</v>
      </c>
      <c r="T32">
        <v>0</v>
      </c>
      <c r="U32">
        <v>4.3791430000000003E-3</v>
      </c>
      <c r="V32">
        <v>1.1248689999999999</v>
      </c>
      <c r="W32">
        <v>2.3178429999999999</v>
      </c>
      <c r="X32">
        <f t="shared" si="0"/>
        <v>1.1248689999999999</v>
      </c>
    </row>
    <row r="33" spans="1:24" x14ac:dyDescent="0.45">
      <c r="A33">
        <v>1010</v>
      </c>
      <c r="B33">
        <v>8</v>
      </c>
      <c r="C33">
        <v>3</v>
      </c>
      <c r="D33">
        <v>2</v>
      </c>
      <c r="E33">
        <v>-35</v>
      </c>
      <c r="F33">
        <v>-3</v>
      </c>
      <c r="G33">
        <v>15</v>
      </c>
      <c r="H33">
        <v>-3</v>
      </c>
      <c r="I33">
        <v>0</v>
      </c>
      <c r="J33">
        <v>0</v>
      </c>
      <c r="K33">
        <v>1</v>
      </c>
      <c r="L33">
        <v>-2</v>
      </c>
      <c r="M33">
        <v>-2</v>
      </c>
      <c r="N33">
        <v>-2</v>
      </c>
      <c r="O33">
        <v>0.33452790976362601</v>
      </c>
      <c r="P33">
        <v>5.7486997986777899</v>
      </c>
      <c r="Q33">
        <v>80.820290520290399</v>
      </c>
      <c r="R33">
        <v>-3</v>
      </c>
      <c r="S33">
        <v>-3.0150549999999998</v>
      </c>
      <c r="T33">
        <v>-2.7103090000000001</v>
      </c>
      <c r="U33">
        <v>-1.74478</v>
      </c>
      <c r="V33">
        <v>-0.70498309999999997</v>
      </c>
      <c r="W33">
        <v>0.3553888</v>
      </c>
      <c r="X33">
        <f t="shared" si="0"/>
        <v>2.2950169000000002</v>
      </c>
    </row>
    <row r="34" spans="1:24" x14ac:dyDescent="0.45">
      <c r="A34">
        <v>1010</v>
      </c>
      <c r="B34">
        <v>9</v>
      </c>
      <c r="C34">
        <v>2</v>
      </c>
      <c r="D34">
        <v>7</v>
      </c>
      <c r="E34">
        <v>-35</v>
      </c>
      <c r="F34">
        <v>0</v>
      </c>
      <c r="G34">
        <v>15</v>
      </c>
      <c r="H34">
        <v>3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0.103326999252755</v>
      </c>
      <c r="P34">
        <v>1.5307823128943701</v>
      </c>
      <c r="Q34">
        <v>78.468315132652293</v>
      </c>
      <c r="R34">
        <v>3</v>
      </c>
      <c r="S34">
        <v>2.8971309999999999</v>
      </c>
      <c r="T34">
        <v>2.8799229999999998</v>
      </c>
      <c r="U34">
        <v>3.032721</v>
      </c>
      <c r="V34">
        <v>3.2486929999999998</v>
      </c>
      <c r="W34">
        <v>3.4783529999999998</v>
      </c>
      <c r="X34">
        <f t="shared" si="0"/>
        <v>0.24869299999999983</v>
      </c>
    </row>
    <row r="35" spans="1:24" x14ac:dyDescent="0.45">
      <c r="A35">
        <v>1010</v>
      </c>
      <c r="B35">
        <v>10</v>
      </c>
      <c r="C35">
        <v>1</v>
      </c>
      <c r="D35">
        <v>4</v>
      </c>
      <c r="E35">
        <v>-45</v>
      </c>
      <c r="F35">
        <v>0</v>
      </c>
      <c r="G35">
        <v>5</v>
      </c>
      <c r="H35">
        <v>3</v>
      </c>
      <c r="I35">
        <v>0</v>
      </c>
      <c r="J35">
        <v>1</v>
      </c>
      <c r="K35">
        <v>0</v>
      </c>
      <c r="L35">
        <v>1</v>
      </c>
      <c r="M35">
        <v>0</v>
      </c>
      <c r="N35">
        <v>1</v>
      </c>
      <c r="O35">
        <v>0.359002496781886</v>
      </c>
      <c r="P35">
        <v>10.3041896467144</v>
      </c>
      <c r="Q35">
        <v>69.130152546131697</v>
      </c>
      <c r="R35">
        <v>3</v>
      </c>
      <c r="S35">
        <v>2.9442539999999999</v>
      </c>
      <c r="T35">
        <v>3.2083729999999999</v>
      </c>
      <c r="U35">
        <v>1.95235</v>
      </c>
      <c r="V35">
        <v>-0.1066793</v>
      </c>
      <c r="W35">
        <v>-1.9753099999999999</v>
      </c>
      <c r="X35">
        <f t="shared" si="0"/>
        <v>3.1066793000000001</v>
      </c>
    </row>
    <row r="36" spans="1:24" x14ac:dyDescent="0.45">
      <c r="A36">
        <v>1010</v>
      </c>
      <c r="B36">
        <v>11</v>
      </c>
      <c r="C36">
        <v>3</v>
      </c>
      <c r="D36">
        <v>5</v>
      </c>
      <c r="E36">
        <v>-35</v>
      </c>
      <c r="F36">
        <v>0</v>
      </c>
      <c r="G36">
        <v>15</v>
      </c>
      <c r="H36">
        <v>0</v>
      </c>
      <c r="I36">
        <v>1</v>
      </c>
      <c r="J36">
        <v>1</v>
      </c>
      <c r="K36">
        <v>1</v>
      </c>
      <c r="L36">
        <v>2</v>
      </c>
      <c r="M36">
        <v>2</v>
      </c>
      <c r="N36">
        <v>1</v>
      </c>
      <c r="O36">
        <v>0.249404869498942</v>
      </c>
      <c r="P36">
        <v>2.23921115086626</v>
      </c>
      <c r="Q36">
        <v>76.615660810042797</v>
      </c>
      <c r="R36">
        <v>3</v>
      </c>
      <c r="S36">
        <v>2.9762840000000002</v>
      </c>
      <c r="T36">
        <v>2.866625</v>
      </c>
      <c r="U36">
        <v>3.0434809999999999</v>
      </c>
      <c r="V36">
        <v>3.138852</v>
      </c>
      <c r="W36">
        <v>2.9722940000000002</v>
      </c>
      <c r="X36">
        <f t="shared" si="0"/>
        <v>0.13885199999999998</v>
      </c>
    </row>
    <row r="37" spans="1:24" x14ac:dyDescent="0.45">
      <c r="A37">
        <v>1010</v>
      </c>
      <c r="B37">
        <v>12</v>
      </c>
      <c r="C37">
        <v>3</v>
      </c>
      <c r="D37">
        <v>3</v>
      </c>
      <c r="E37">
        <v>-35</v>
      </c>
      <c r="F37">
        <v>0</v>
      </c>
      <c r="G37">
        <v>15</v>
      </c>
      <c r="H37">
        <v>-3</v>
      </c>
      <c r="I37">
        <v>1</v>
      </c>
      <c r="J37">
        <v>1</v>
      </c>
      <c r="K37">
        <v>1</v>
      </c>
      <c r="L37">
        <v>2</v>
      </c>
      <c r="M37">
        <v>2</v>
      </c>
      <c r="N37">
        <v>2</v>
      </c>
      <c r="O37">
        <v>0.20229309933596901</v>
      </c>
      <c r="P37">
        <v>6.7618600963668101</v>
      </c>
      <c r="Q37">
        <v>77.572122982668205</v>
      </c>
      <c r="R37">
        <v>-3</v>
      </c>
      <c r="S37">
        <v>-3.3694459999999999</v>
      </c>
      <c r="T37">
        <v>-3.490469</v>
      </c>
      <c r="U37">
        <v>-3.4346369999999999</v>
      </c>
      <c r="V37">
        <v>-3.4219650000000001</v>
      </c>
      <c r="W37">
        <v>-3.3737270000000001</v>
      </c>
      <c r="X37">
        <f t="shared" si="0"/>
        <v>0.42196500000000015</v>
      </c>
    </row>
    <row r="38" spans="1:24" x14ac:dyDescent="0.45">
      <c r="A38">
        <v>1010</v>
      </c>
      <c r="B38">
        <v>13</v>
      </c>
      <c r="C38">
        <v>1</v>
      </c>
      <c r="D38">
        <v>7</v>
      </c>
      <c r="E38">
        <v>-35</v>
      </c>
      <c r="F38">
        <v>0</v>
      </c>
      <c r="G38">
        <v>15</v>
      </c>
      <c r="H38">
        <v>3</v>
      </c>
      <c r="I38">
        <v>-1</v>
      </c>
      <c r="J38">
        <v>0</v>
      </c>
      <c r="K38">
        <v>-1</v>
      </c>
      <c r="L38">
        <v>0</v>
      </c>
      <c r="M38">
        <v>1</v>
      </c>
      <c r="N38">
        <v>1</v>
      </c>
      <c r="O38">
        <v>0.11719372527525899</v>
      </c>
      <c r="P38">
        <v>1.2643894164312699</v>
      </c>
      <c r="Q38">
        <v>78.522404969024606</v>
      </c>
      <c r="R38">
        <v>3</v>
      </c>
      <c r="S38">
        <v>3.1757089999999999</v>
      </c>
      <c r="T38">
        <v>3.3239010000000002</v>
      </c>
      <c r="U38">
        <v>3.5385149999999999</v>
      </c>
      <c r="V38">
        <v>3.6204369999999999</v>
      </c>
      <c r="W38">
        <v>3.707754</v>
      </c>
      <c r="X38">
        <f t="shared" si="0"/>
        <v>0.62043699999999991</v>
      </c>
    </row>
    <row r="39" spans="1:24" x14ac:dyDescent="0.45">
      <c r="A39">
        <v>1010</v>
      </c>
      <c r="B39">
        <v>14</v>
      </c>
      <c r="C39">
        <v>3</v>
      </c>
      <c r="D39">
        <v>1</v>
      </c>
      <c r="E39">
        <v>-35</v>
      </c>
      <c r="F39">
        <v>0</v>
      </c>
      <c r="G39">
        <v>15</v>
      </c>
      <c r="H39">
        <v>0</v>
      </c>
      <c r="I39">
        <v>2</v>
      </c>
      <c r="J39">
        <v>1</v>
      </c>
      <c r="K39">
        <v>2</v>
      </c>
      <c r="L39">
        <v>2</v>
      </c>
      <c r="M39">
        <v>2</v>
      </c>
      <c r="N39">
        <v>2</v>
      </c>
      <c r="O39">
        <v>0.14752581042652099</v>
      </c>
      <c r="P39">
        <v>4.1729467036062502</v>
      </c>
      <c r="Q39">
        <v>78.053737967646796</v>
      </c>
      <c r="R39">
        <v>0</v>
      </c>
      <c r="S39">
        <v>3.314868E-2</v>
      </c>
      <c r="T39">
        <v>-0.2083024</v>
      </c>
      <c r="U39">
        <v>-1.0762510000000001</v>
      </c>
      <c r="V39">
        <v>-2.044511</v>
      </c>
      <c r="W39">
        <v>-2.9697529999999999</v>
      </c>
      <c r="X39">
        <f t="shared" si="0"/>
        <v>2.044511</v>
      </c>
    </row>
    <row r="40" spans="1:24" x14ac:dyDescent="0.45">
      <c r="A40">
        <v>1010</v>
      </c>
      <c r="B40">
        <v>15</v>
      </c>
      <c r="C40">
        <v>2</v>
      </c>
      <c r="D40">
        <v>8</v>
      </c>
      <c r="E40">
        <v>-45</v>
      </c>
      <c r="F40">
        <v>0</v>
      </c>
      <c r="G40">
        <v>5</v>
      </c>
      <c r="H40">
        <v>-3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0.128774621451413</v>
      </c>
      <c r="P40">
        <v>12.6661505310925</v>
      </c>
      <c r="Q40">
        <v>70.818387964758401</v>
      </c>
      <c r="R40">
        <v>-3</v>
      </c>
      <c r="S40">
        <v>-3.1317740000000001</v>
      </c>
      <c r="T40">
        <v>-2.9512779999999998</v>
      </c>
      <c r="U40">
        <v>-2.8432170000000001</v>
      </c>
      <c r="V40">
        <v>-2.7289979999999998</v>
      </c>
      <c r="W40">
        <v>-2.9452389999999999</v>
      </c>
      <c r="X40">
        <f t="shared" si="0"/>
        <v>0.27100200000000019</v>
      </c>
    </row>
    <row r="41" spans="1:24" x14ac:dyDescent="0.45">
      <c r="A41">
        <v>1010</v>
      </c>
      <c r="B41">
        <v>16</v>
      </c>
      <c r="C41">
        <v>2</v>
      </c>
      <c r="D41">
        <v>3</v>
      </c>
      <c r="E41">
        <v>-35</v>
      </c>
      <c r="F41">
        <v>0</v>
      </c>
      <c r="G41">
        <v>15</v>
      </c>
      <c r="H41">
        <v>-3</v>
      </c>
      <c r="I41">
        <v>-2</v>
      </c>
      <c r="J41">
        <v>-1</v>
      </c>
      <c r="K41">
        <v>0</v>
      </c>
      <c r="L41">
        <v>-2</v>
      </c>
      <c r="M41">
        <v>-2</v>
      </c>
      <c r="N41">
        <v>-2</v>
      </c>
      <c r="O41">
        <v>0.25154750360417999</v>
      </c>
      <c r="P41">
        <v>3.5290835208003601</v>
      </c>
      <c r="Q41">
        <v>77.947132768214303</v>
      </c>
      <c r="R41">
        <v>-3</v>
      </c>
      <c r="S41">
        <v>-3.1018949999999998</v>
      </c>
      <c r="T41">
        <v>-3.1702840000000001</v>
      </c>
      <c r="U41">
        <v>-3.306937</v>
      </c>
      <c r="V41">
        <v>-3.485033</v>
      </c>
      <c r="W41">
        <v>-3.2335750000000001</v>
      </c>
      <c r="X41">
        <f t="shared" si="0"/>
        <v>0.48503300000000005</v>
      </c>
    </row>
    <row r="42" spans="1:24" x14ac:dyDescent="0.45">
      <c r="A42">
        <v>1010</v>
      </c>
      <c r="B42">
        <v>17</v>
      </c>
      <c r="C42">
        <v>3</v>
      </c>
      <c r="D42">
        <v>6</v>
      </c>
      <c r="E42">
        <v>-35</v>
      </c>
      <c r="F42">
        <v>3</v>
      </c>
      <c r="G42">
        <v>15</v>
      </c>
      <c r="H42">
        <v>3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0.119582241231368</v>
      </c>
      <c r="P42">
        <v>2.6541497734704498</v>
      </c>
      <c r="Q42">
        <v>78.276393945996105</v>
      </c>
      <c r="R42">
        <v>0</v>
      </c>
      <c r="S42">
        <v>-0.18014839999999999</v>
      </c>
      <c r="T42">
        <v>-0.25053029999999998</v>
      </c>
      <c r="U42">
        <v>0.23550219999999999</v>
      </c>
      <c r="V42">
        <v>1.576274</v>
      </c>
      <c r="W42">
        <v>2.7613910000000002</v>
      </c>
      <c r="X42">
        <f t="shared" si="0"/>
        <v>1.576274</v>
      </c>
    </row>
    <row r="43" spans="1:24" x14ac:dyDescent="0.45">
      <c r="A43">
        <v>1010</v>
      </c>
      <c r="B43">
        <v>18</v>
      </c>
      <c r="C43">
        <v>1</v>
      </c>
      <c r="D43">
        <v>2</v>
      </c>
      <c r="E43">
        <v>-35</v>
      </c>
      <c r="F43">
        <v>-3</v>
      </c>
      <c r="G43">
        <v>15</v>
      </c>
      <c r="H43">
        <v>-3</v>
      </c>
      <c r="I43">
        <v>1</v>
      </c>
      <c r="J43">
        <v>0</v>
      </c>
      <c r="K43">
        <v>0</v>
      </c>
      <c r="L43">
        <v>0</v>
      </c>
      <c r="M43">
        <v>-1</v>
      </c>
      <c r="N43">
        <v>-1</v>
      </c>
      <c r="O43">
        <v>0.20426876596937801</v>
      </c>
      <c r="P43">
        <v>4.0598115471610701</v>
      </c>
      <c r="Q43">
        <v>35.983510481197598</v>
      </c>
      <c r="R43">
        <v>-3</v>
      </c>
      <c r="S43">
        <v>-3</v>
      </c>
      <c r="T43">
        <v>-3</v>
      </c>
      <c r="U43">
        <v>-3.0524140000000002</v>
      </c>
      <c r="V43">
        <v>-2.8881920000000001</v>
      </c>
      <c r="W43">
        <v>-2.5079039999999999</v>
      </c>
      <c r="X43">
        <f t="shared" si="0"/>
        <v>0.11180799999999991</v>
      </c>
    </row>
    <row r="44" spans="1:24" x14ac:dyDescent="0.45">
      <c r="A44">
        <v>1010</v>
      </c>
      <c r="B44">
        <v>19</v>
      </c>
      <c r="C44">
        <v>2</v>
      </c>
      <c r="D44">
        <v>5</v>
      </c>
      <c r="E44">
        <v>-35</v>
      </c>
      <c r="F44">
        <v>0</v>
      </c>
      <c r="G44">
        <v>15</v>
      </c>
      <c r="H44">
        <v>0</v>
      </c>
      <c r="I44">
        <v>-1</v>
      </c>
      <c r="J44">
        <v>-1</v>
      </c>
      <c r="K44">
        <v>1</v>
      </c>
      <c r="L44">
        <v>-2</v>
      </c>
      <c r="M44">
        <v>-2</v>
      </c>
      <c r="N44">
        <v>-2</v>
      </c>
      <c r="O44">
        <v>0.155560049056153</v>
      </c>
      <c r="P44">
        <v>10.166850624186299</v>
      </c>
      <c r="Q44">
        <v>78.681660154984996</v>
      </c>
      <c r="R44">
        <v>3</v>
      </c>
      <c r="S44">
        <v>2.7833480000000002</v>
      </c>
      <c r="T44">
        <v>2.738381</v>
      </c>
      <c r="U44">
        <v>1.7960229999999999</v>
      </c>
      <c r="V44">
        <v>0.33440890000000001</v>
      </c>
      <c r="W44">
        <v>1.1360980000000001</v>
      </c>
      <c r="X44">
        <f t="shared" si="0"/>
        <v>2.6655910999999999</v>
      </c>
    </row>
    <row r="45" spans="1:24" x14ac:dyDescent="0.45">
      <c r="A45">
        <v>1010</v>
      </c>
      <c r="B45">
        <v>20</v>
      </c>
      <c r="C45">
        <v>3</v>
      </c>
      <c r="D45">
        <v>4</v>
      </c>
      <c r="E45">
        <v>-45</v>
      </c>
      <c r="F45">
        <v>0</v>
      </c>
      <c r="G45">
        <v>5</v>
      </c>
      <c r="H45">
        <v>3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0.13767217731499501</v>
      </c>
      <c r="P45">
        <v>3.5689779892432498</v>
      </c>
      <c r="Q45">
        <v>68.347708995766993</v>
      </c>
      <c r="R45">
        <v>3</v>
      </c>
      <c r="S45">
        <v>2.8634759999999999</v>
      </c>
      <c r="T45">
        <v>2.9997950000000002</v>
      </c>
      <c r="U45">
        <v>3.044708</v>
      </c>
      <c r="V45">
        <v>3.0572249999999999</v>
      </c>
      <c r="W45">
        <v>3.032184</v>
      </c>
      <c r="X45">
        <f t="shared" si="0"/>
        <v>5.7224999999999859E-2</v>
      </c>
    </row>
    <row r="46" spans="1:24" x14ac:dyDescent="0.45">
      <c r="A46">
        <v>1010</v>
      </c>
      <c r="B46">
        <v>21</v>
      </c>
      <c r="C46">
        <v>1</v>
      </c>
      <c r="D46">
        <v>6</v>
      </c>
      <c r="E46">
        <v>-35</v>
      </c>
      <c r="F46">
        <v>3</v>
      </c>
      <c r="G46">
        <v>15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0.107129570927209</v>
      </c>
      <c r="P46">
        <v>2.6515496702191799</v>
      </c>
      <c r="Q46">
        <v>79.336999338162201</v>
      </c>
      <c r="R46">
        <v>0</v>
      </c>
      <c r="S46">
        <v>-2.570105E-3</v>
      </c>
      <c r="T46">
        <v>-0.26222000000000001</v>
      </c>
      <c r="U46">
        <v>0.14954219999999999</v>
      </c>
      <c r="V46">
        <v>1.4806790000000001</v>
      </c>
      <c r="W46">
        <v>2.7897430000000001</v>
      </c>
      <c r="X46">
        <f t="shared" si="0"/>
        <v>1.4806790000000001</v>
      </c>
    </row>
    <row r="47" spans="1:24" x14ac:dyDescent="0.45">
      <c r="A47">
        <v>1010</v>
      </c>
      <c r="B47">
        <v>22</v>
      </c>
      <c r="C47">
        <v>1</v>
      </c>
      <c r="D47">
        <v>3</v>
      </c>
      <c r="E47">
        <v>-35</v>
      </c>
      <c r="F47">
        <v>0</v>
      </c>
      <c r="G47">
        <v>15</v>
      </c>
      <c r="H47">
        <v>-3</v>
      </c>
      <c r="I47">
        <v>0</v>
      </c>
      <c r="J47">
        <v>0</v>
      </c>
      <c r="K47">
        <v>-1</v>
      </c>
      <c r="L47">
        <v>0</v>
      </c>
      <c r="M47">
        <v>1</v>
      </c>
      <c r="N47">
        <v>1</v>
      </c>
      <c r="O47">
        <v>0.10313514617792401</v>
      </c>
      <c r="P47">
        <v>1.2716723091351601</v>
      </c>
      <c r="Q47">
        <v>76.638141372210001</v>
      </c>
      <c r="R47">
        <v>-3</v>
      </c>
      <c r="S47">
        <v>-3.1767820000000002</v>
      </c>
      <c r="T47">
        <v>-3.6597339999999998</v>
      </c>
      <c r="U47">
        <v>-3.842422</v>
      </c>
      <c r="V47">
        <v>-3.9600050000000002</v>
      </c>
      <c r="W47">
        <v>-4.0869850000000003</v>
      </c>
      <c r="X47">
        <f t="shared" si="0"/>
        <v>0.96000500000000022</v>
      </c>
    </row>
    <row r="48" spans="1:24" x14ac:dyDescent="0.45">
      <c r="A48">
        <v>1010</v>
      </c>
      <c r="B48">
        <v>23</v>
      </c>
      <c r="C48">
        <v>3</v>
      </c>
      <c r="D48">
        <v>8</v>
      </c>
      <c r="E48">
        <v>-45</v>
      </c>
      <c r="F48">
        <v>0</v>
      </c>
      <c r="G48">
        <v>5</v>
      </c>
      <c r="H48">
        <v>-3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0.138142384064912</v>
      </c>
      <c r="P48">
        <v>4.8974283815317898</v>
      </c>
      <c r="Q48">
        <v>68.687691082437993</v>
      </c>
      <c r="R48">
        <v>-3</v>
      </c>
      <c r="S48">
        <v>-3.1869179999999999</v>
      </c>
      <c r="T48">
        <v>-3.4789289999999999</v>
      </c>
      <c r="U48">
        <v>-3.8995609999999998</v>
      </c>
      <c r="V48">
        <v>-3.7106919999999999</v>
      </c>
      <c r="W48">
        <v>-2.9618699999999998</v>
      </c>
      <c r="X48">
        <f t="shared" si="0"/>
        <v>0.71069199999999988</v>
      </c>
    </row>
    <row r="49" spans="1:24" x14ac:dyDescent="0.45">
      <c r="A49">
        <v>1010</v>
      </c>
      <c r="B49">
        <v>24</v>
      </c>
      <c r="C49">
        <v>2</v>
      </c>
      <c r="D49">
        <v>1</v>
      </c>
      <c r="E49">
        <v>-35</v>
      </c>
      <c r="F49">
        <v>0</v>
      </c>
      <c r="G49">
        <v>15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0.129955067995351</v>
      </c>
      <c r="P49">
        <v>7.0210930220577499</v>
      </c>
      <c r="Q49">
        <v>79.935069564165502</v>
      </c>
      <c r="R49">
        <v>0</v>
      </c>
      <c r="S49">
        <v>-0.16275919999999999</v>
      </c>
      <c r="T49">
        <v>-1.1248359999999999</v>
      </c>
      <c r="U49">
        <v>-2.7906219999999999</v>
      </c>
      <c r="V49">
        <v>-3.9671189999999998</v>
      </c>
      <c r="W49">
        <v>-4.4939359999999997</v>
      </c>
      <c r="X49">
        <f t="shared" si="0"/>
        <v>3.9671189999999998</v>
      </c>
    </row>
    <row r="50" spans="1:24" x14ac:dyDescent="0.45">
      <c r="A50">
        <v>1020</v>
      </c>
      <c r="B50">
        <v>1</v>
      </c>
      <c r="C50">
        <v>1</v>
      </c>
      <c r="D50">
        <v>5</v>
      </c>
      <c r="E50">
        <v>-35</v>
      </c>
      <c r="F50">
        <v>0</v>
      </c>
      <c r="G50">
        <v>15</v>
      </c>
      <c r="H50">
        <v>0</v>
      </c>
      <c r="I50">
        <v>-1</v>
      </c>
      <c r="J50">
        <v>1</v>
      </c>
      <c r="K50">
        <v>-1</v>
      </c>
      <c r="L50">
        <v>2</v>
      </c>
      <c r="M50">
        <v>1</v>
      </c>
      <c r="N50">
        <v>2</v>
      </c>
      <c r="O50">
        <v>0.118141455981379</v>
      </c>
      <c r="P50">
        <v>6.7131270470799604</v>
      </c>
      <c r="Q50">
        <v>79.3288871934393</v>
      </c>
      <c r="R50">
        <v>3</v>
      </c>
      <c r="S50">
        <v>3</v>
      </c>
      <c r="T50">
        <v>2.8619720000000002</v>
      </c>
      <c r="U50">
        <v>0.99468619999999996</v>
      </c>
      <c r="V50">
        <v>-0.72269720000000004</v>
      </c>
      <c r="W50">
        <v>-2.0938680000000001</v>
      </c>
      <c r="X50">
        <f t="shared" si="0"/>
        <v>3.7226971999999998</v>
      </c>
    </row>
    <row r="51" spans="1:24" x14ac:dyDescent="0.45">
      <c r="A51">
        <v>1020</v>
      </c>
      <c r="B51">
        <v>2</v>
      </c>
      <c r="C51">
        <v>2</v>
      </c>
      <c r="D51">
        <v>4</v>
      </c>
      <c r="E51">
        <v>-45</v>
      </c>
      <c r="F51">
        <v>0</v>
      </c>
      <c r="G51">
        <v>5</v>
      </c>
      <c r="H51">
        <v>3</v>
      </c>
      <c r="I51">
        <v>-2</v>
      </c>
      <c r="J51">
        <v>-2</v>
      </c>
      <c r="K51">
        <v>2</v>
      </c>
      <c r="L51">
        <v>-2</v>
      </c>
      <c r="M51">
        <v>-2</v>
      </c>
      <c r="N51">
        <v>-2</v>
      </c>
      <c r="O51">
        <v>0.28382020738519798</v>
      </c>
      <c r="P51">
        <v>10.3611237480961</v>
      </c>
      <c r="Q51">
        <v>72.993100308015599</v>
      </c>
      <c r="R51">
        <v>3</v>
      </c>
      <c r="S51">
        <v>3</v>
      </c>
      <c r="T51">
        <v>3</v>
      </c>
      <c r="U51">
        <v>4.1844330000000003</v>
      </c>
      <c r="V51">
        <v>4.4953909999999997</v>
      </c>
      <c r="W51">
        <v>4.4953989999999999</v>
      </c>
      <c r="X51">
        <f t="shared" si="0"/>
        <v>1.4953909999999997</v>
      </c>
    </row>
    <row r="52" spans="1:24" x14ac:dyDescent="0.45">
      <c r="A52">
        <v>1020</v>
      </c>
      <c r="B52">
        <v>3</v>
      </c>
      <c r="C52">
        <v>3</v>
      </c>
      <c r="D52">
        <v>7</v>
      </c>
      <c r="E52">
        <v>-35</v>
      </c>
      <c r="F52">
        <v>0</v>
      </c>
      <c r="G52">
        <v>15</v>
      </c>
      <c r="H52">
        <v>3</v>
      </c>
      <c r="I52">
        <v>2</v>
      </c>
      <c r="J52">
        <v>1</v>
      </c>
      <c r="K52">
        <v>2</v>
      </c>
      <c r="L52">
        <v>1</v>
      </c>
      <c r="M52">
        <v>1</v>
      </c>
      <c r="N52">
        <v>2</v>
      </c>
      <c r="O52">
        <v>0.33356190953912701</v>
      </c>
      <c r="P52">
        <v>13.8417942872306</v>
      </c>
      <c r="Q52">
        <v>79.112145025261597</v>
      </c>
      <c r="R52">
        <v>3</v>
      </c>
      <c r="S52">
        <v>3</v>
      </c>
      <c r="T52">
        <v>3.6294559999999998</v>
      </c>
      <c r="U52">
        <v>4.3302899999999998</v>
      </c>
      <c r="V52">
        <v>4.490945</v>
      </c>
      <c r="W52">
        <v>4.496378</v>
      </c>
      <c r="X52">
        <f t="shared" si="0"/>
        <v>1.490945</v>
      </c>
    </row>
    <row r="53" spans="1:24" x14ac:dyDescent="0.45">
      <c r="A53">
        <v>1020</v>
      </c>
      <c r="B53">
        <v>4</v>
      </c>
      <c r="C53">
        <v>2</v>
      </c>
      <c r="D53">
        <v>2</v>
      </c>
      <c r="E53">
        <v>-35</v>
      </c>
      <c r="F53">
        <v>-3</v>
      </c>
      <c r="G53">
        <v>15</v>
      </c>
      <c r="H53">
        <v>-3</v>
      </c>
      <c r="I53">
        <v>-1</v>
      </c>
      <c r="J53">
        <v>2</v>
      </c>
      <c r="K53">
        <v>-2</v>
      </c>
      <c r="L53">
        <v>1</v>
      </c>
      <c r="M53">
        <v>1</v>
      </c>
      <c r="N53">
        <v>1</v>
      </c>
      <c r="O53">
        <v>0.26716971209779</v>
      </c>
      <c r="P53">
        <v>14.874061319498299</v>
      </c>
      <c r="Q53">
        <v>82.520296196977895</v>
      </c>
      <c r="R53">
        <v>-3</v>
      </c>
      <c r="S53">
        <v>-3</v>
      </c>
      <c r="T53">
        <v>-1.171451</v>
      </c>
      <c r="U53">
        <v>0.71900589999999998</v>
      </c>
      <c r="V53">
        <v>2.4449540000000001</v>
      </c>
      <c r="W53">
        <v>4.1066370000000001</v>
      </c>
      <c r="X53">
        <f t="shared" si="0"/>
        <v>5.4449540000000001</v>
      </c>
    </row>
    <row r="54" spans="1:24" x14ac:dyDescent="0.45">
      <c r="A54">
        <v>1020</v>
      </c>
      <c r="B54">
        <v>5</v>
      </c>
      <c r="C54">
        <v>1</v>
      </c>
      <c r="D54">
        <v>8</v>
      </c>
      <c r="E54">
        <v>-45</v>
      </c>
      <c r="F54">
        <v>0</v>
      </c>
      <c r="G54">
        <v>5</v>
      </c>
      <c r="H54">
        <v>-3</v>
      </c>
      <c r="I54">
        <v>-2</v>
      </c>
      <c r="J54">
        <v>1</v>
      </c>
      <c r="K54">
        <v>-2</v>
      </c>
      <c r="L54">
        <v>-1</v>
      </c>
      <c r="M54">
        <v>-1</v>
      </c>
      <c r="N54">
        <v>-1</v>
      </c>
      <c r="O54">
        <v>0.21169651591778699</v>
      </c>
      <c r="P54">
        <v>7.8424677487004999</v>
      </c>
      <c r="Q54">
        <v>72.305874370779406</v>
      </c>
      <c r="R54">
        <v>-3</v>
      </c>
      <c r="S54">
        <v>-3</v>
      </c>
      <c r="T54">
        <v>-1.82917</v>
      </c>
      <c r="U54">
        <v>0.53039159999999996</v>
      </c>
      <c r="V54">
        <v>2.8342360000000002</v>
      </c>
      <c r="W54">
        <v>4.4865019999999998</v>
      </c>
      <c r="X54">
        <f t="shared" si="0"/>
        <v>5.8342360000000006</v>
      </c>
    </row>
    <row r="55" spans="1:24" x14ac:dyDescent="0.45">
      <c r="A55">
        <v>1020</v>
      </c>
      <c r="B55">
        <v>6</v>
      </c>
      <c r="C55">
        <v>1</v>
      </c>
      <c r="D55">
        <v>1</v>
      </c>
      <c r="E55">
        <v>-35</v>
      </c>
      <c r="F55">
        <v>0</v>
      </c>
      <c r="G55">
        <v>15</v>
      </c>
      <c r="H55">
        <v>0</v>
      </c>
      <c r="I55">
        <v>-1</v>
      </c>
      <c r="J55">
        <v>1</v>
      </c>
      <c r="K55">
        <v>-2</v>
      </c>
      <c r="L55">
        <v>-1</v>
      </c>
      <c r="M55">
        <v>-1</v>
      </c>
      <c r="N55">
        <v>-1</v>
      </c>
      <c r="O55">
        <v>0.26204152730578101</v>
      </c>
      <c r="P55">
        <v>10.661515835316999</v>
      </c>
      <c r="Q55">
        <v>80.256120213547504</v>
      </c>
      <c r="R55">
        <v>0</v>
      </c>
      <c r="S55">
        <v>0</v>
      </c>
      <c r="T55">
        <v>0</v>
      </c>
      <c r="U55">
        <v>-0.96876059999999997</v>
      </c>
      <c r="V55">
        <v>0.40311239999999998</v>
      </c>
      <c r="W55">
        <v>2.7556859999999999</v>
      </c>
      <c r="X55">
        <f t="shared" si="0"/>
        <v>0.40311239999999998</v>
      </c>
    </row>
    <row r="56" spans="1:24" x14ac:dyDescent="0.45">
      <c r="A56">
        <v>1020</v>
      </c>
      <c r="B56">
        <v>7</v>
      </c>
      <c r="C56">
        <v>2</v>
      </c>
      <c r="D56">
        <v>6</v>
      </c>
      <c r="E56">
        <v>-35</v>
      </c>
      <c r="F56">
        <v>3</v>
      </c>
      <c r="G56">
        <v>15</v>
      </c>
      <c r="H56">
        <v>3</v>
      </c>
      <c r="I56">
        <v>-2</v>
      </c>
      <c r="J56">
        <v>-1</v>
      </c>
      <c r="K56">
        <v>2</v>
      </c>
      <c r="L56">
        <v>-2</v>
      </c>
      <c r="M56">
        <v>-2</v>
      </c>
      <c r="N56">
        <v>-2</v>
      </c>
      <c r="O56">
        <v>0.29885957417796399</v>
      </c>
      <c r="P56">
        <v>20.6037468289272</v>
      </c>
      <c r="Q56">
        <v>90.164155443903297</v>
      </c>
      <c r="R56">
        <v>0</v>
      </c>
      <c r="S56">
        <v>0</v>
      </c>
      <c r="T56">
        <v>-1.265889</v>
      </c>
      <c r="U56">
        <v>-0.27902369999999999</v>
      </c>
      <c r="V56">
        <v>1.161365</v>
      </c>
      <c r="W56">
        <v>3.098687</v>
      </c>
      <c r="X56">
        <f t="shared" si="0"/>
        <v>1.161365</v>
      </c>
    </row>
    <row r="57" spans="1:24" x14ac:dyDescent="0.45">
      <c r="A57">
        <v>1020</v>
      </c>
      <c r="B57">
        <v>8</v>
      </c>
      <c r="C57">
        <v>3</v>
      </c>
      <c r="D57">
        <v>2</v>
      </c>
      <c r="E57">
        <v>-35</v>
      </c>
      <c r="F57">
        <v>-3</v>
      </c>
      <c r="G57">
        <v>15</v>
      </c>
      <c r="H57">
        <v>-3</v>
      </c>
      <c r="I57">
        <v>-1</v>
      </c>
      <c r="J57">
        <v>1</v>
      </c>
      <c r="K57">
        <v>-2</v>
      </c>
      <c r="L57">
        <v>2</v>
      </c>
      <c r="M57">
        <v>2</v>
      </c>
      <c r="N57">
        <v>2</v>
      </c>
      <c r="O57">
        <v>0.35190403522571301</v>
      </c>
      <c r="P57">
        <v>7.3506866382335199</v>
      </c>
      <c r="Q57">
        <v>80.564335703929103</v>
      </c>
      <c r="R57">
        <v>-3</v>
      </c>
      <c r="S57">
        <v>-3</v>
      </c>
      <c r="T57">
        <v>-2.5853730000000001</v>
      </c>
      <c r="U57">
        <v>-0.19393560000000001</v>
      </c>
      <c r="V57">
        <v>2.1980870000000001</v>
      </c>
      <c r="W57">
        <v>3.9545149999999998</v>
      </c>
      <c r="X57">
        <f t="shared" si="0"/>
        <v>5.1980870000000001</v>
      </c>
    </row>
    <row r="58" spans="1:24" x14ac:dyDescent="0.45">
      <c r="A58">
        <v>1020</v>
      </c>
      <c r="B58">
        <v>9</v>
      </c>
      <c r="C58">
        <v>2</v>
      </c>
      <c r="D58">
        <v>7</v>
      </c>
      <c r="E58">
        <v>-35</v>
      </c>
      <c r="F58">
        <v>0</v>
      </c>
      <c r="G58">
        <v>15</v>
      </c>
      <c r="H58">
        <v>3</v>
      </c>
      <c r="I58">
        <v>1</v>
      </c>
      <c r="J58">
        <v>0</v>
      </c>
      <c r="K58">
        <v>2</v>
      </c>
      <c r="L58">
        <v>-1</v>
      </c>
      <c r="M58">
        <v>0</v>
      </c>
      <c r="N58">
        <v>-1</v>
      </c>
      <c r="O58">
        <v>0.17893157897903</v>
      </c>
      <c r="P58">
        <v>9.04079402135309</v>
      </c>
      <c r="Q58">
        <v>85.1597383892056</v>
      </c>
      <c r="R58">
        <v>3</v>
      </c>
      <c r="S58">
        <v>3</v>
      </c>
      <c r="T58">
        <v>1.9570099999999999</v>
      </c>
      <c r="U58">
        <v>-0.37309399999999998</v>
      </c>
      <c r="V58">
        <v>-2.7325179999999998</v>
      </c>
      <c r="W58">
        <v>-4.4881869999999999</v>
      </c>
      <c r="X58">
        <f t="shared" si="0"/>
        <v>5.7325179999999998</v>
      </c>
    </row>
    <row r="59" spans="1:24" x14ac:dyDescent="0.45">
      <c r="A59">
        <v>1020</v>
      </c>
      <c r="B59">
        <v>10</v>
      </c>
      <c r="C59">
        <v>1</v>
      </c>
      <c r="D59">
        <v>4</v>
      </c>
      <c r="E59">
        <v>-45</v>
      </c>
      <c r="F59">
        <v>0</v>
      </c>
      <c r="G59">
        <v>5</v>
      </c>
      <c r="H59">
        <v>3</v>
      </c>
      <c r="I59">
        <v>-2</v>
      </c>
      <c r="J59">
        <v>1</v>
      </c>
      <c r="K59">
        <v>-1</v>
      </c>
      <c r="L59">
        <v>1</v>
      </c>
      <c r="M59">
        <v>-1</v>
      </c>
      <c r="N59">
        <v>1</v>
      </c>
      <c r="O59">
        <v>0.216324944241617</v>
      </c>
      <c r="P59">
        <v>13.9101066044679</v>
      </c>
      <c r="Q59">
        <v>75.583196342500699</v>
      </c>
      <c r="R59">
        <v>3</v>
      </c>
      <c r="S59">
        <v>3.3425099999999999</v>
      </c>
      <c r="T59">
        <v>2.110865</v>
      </c>
      <c r="U59">
        <v>0.2107105</v>
      </c>
      <c r="V59">
        <v>-1.0649759999999999</v>
      </c>
      <c r="W59">
        <v>-2.908935</v>
      </c>
      <c r="X59">
        <f t="shared" si="0"/>
        <v>4.0649759999999997</v>
      </c>
    </row>
    <row r="60" spans="1:24" x14ac:dyDescent="0.45">
      <c r="A60">
        <v>1020</v>
      </c>
      <c r="B60">
        <v>11</v>
      </c>
      <c r="C60">
        <v>3</v>
      </c>
      <c r="D60">
        <v>5</v>
      </c>
      <c r="E60">
        <v>-35</v>
      </c>
      <c r="F60">
        <v>0</v>
      </c>
      <c r="G60">
        <v>15</v>
      </c>
      <c r="H60">
        <v>0</v>
      </c>
      <c r="I60">
        <v>-2</v>
      </c>
      <c r="J60">
        <v>-2</v>
      </c>
      <c r="K60">
        <v>-1</v>
      </c>
      <c r="L60">
        <v>-2</v>
      </c>
      <c r="M60">
        <v>-1</v>
      </c>
      <c r="N60">
        <v>-1</v>
      </c>
      <c r="O60">
        <v>0.13714141921814599</v>
      </c>
      <c r="P60">
        <v>7.7754408231624801</v>
      </c>
      <c r="Q60">
        <v>80.371618591231496</v>
      </c>
      <c r="R60">
        <v>3</v>
      </c>
      <c r="S60">
        <v>3</v>
      </c>
      <c r="T60">
        <v>1.123122</v>
      </c>
      <c r="U60">
        <v>-0.81693360000000004</v>
      </c>
      <c r="V60">
        <v>-2.704243</v>
      </c>
      <c r="W60">
        <v>-4.0369440000000001</v>
      </c>
      <c r="X60">
        <f t="shared" si="0"/>
        <v>5.704243</v>
      </c>
    </row>
    <row r="61" spans="1:24" x14ac:dyDescent="0.45">
      <c r="A61">
        <v>1020</v>
      </c>
      <c r="B61">
        <v>12</v>
      </c>
      <c r="C61">
        <v>3</v>
      </c>
      <c r="D61">
        <v>3</v>
      </c>
      <c r="E61">
        <v>-35</v>
      </c>
      <c r="F61">
        <v>0</v>
      </c>
      <c r="G61">
        <v>15</v>
      </c>
      <c r="H61">
        <v>-3</v>
      </c>
      <c r="I61">
        <v>2</v>
      </c>
      <c r="J61">
        <v>1</v>
      </c>
      <c r="K61">
        <v>1</v>
      </c>
      <c r="L61">
        <v>1</v>
      </c>
      <c r="M61">
        <v>1</v>
      </c>
      <c r="N61">
        <v>1</v>
      </c>
      <c r="O61">
        <v>0.15964684299913801</v>
      </c>
      <c r="P61">
        <v>8.3111457305955305</v>
      </c>
      <c r="Q61">
        <v>76.584908649661401</v>
      </c>
      <c r="R61">
        <v>-3</v>
      </c>
      <c r="S61">
        <v>-3</v>
      </c>
      <c r="T61">
        <v>-3.3567330000000002</v>
      </c>
      <c r="U61">
        <v>-4.4792940000000003</v>
      </c>
      <c r="V61">
        <v>-4.4898189999999998</v>
      </c>
      <c r="W61">
        <v>-4.4898129999999998</v>
      </c>
      <c r="X61">
        <f t="shared" si="0"/>
        <v>1.4898189999999998</v>
      </c>
    </row>
    <row r="62" spans="1:24" x14ac:dyDescent="0.45">
      <c r="A62">
        <v>1020</v>
      </c>
      <c r="B62">
        <v>13</v>
      </c>
      <c r="C62">
        <v>1</v>
      </c>
      <c r="D62">
        <v>7</v>
      </c>
      <c r="E62">
        <v>-35</v>
      </c>
      <c r="F62">
        <v>0</v>
      </c>
      <c r="G62">
        <v>15</v>
      </c>
      <c r="H62">
        <v>3</v>
      </c>
      <c r="I62">
        <v>-1</v>
      </c>
      <c r="J62">
        <v>2</v>
      </c>
      <c r="K62">
        <v>-2</v>
      </c>
      <c r="L62">
        <v>1</v>
      </c>
      <c r="M62">
        <v>-1</v>
      </c>
      <c r="N62">
        <v>-1</v>
      </c>
      <c r="O62">
        <v>0.153092242513238</v>
      </c>
      <c r="P62">
        <v>11.4449818484941</v>
      </c>
      <c r="Q62">
        <v>75.873203987341597</v>
      </c>
      <c r="R62">
        <v>3</v>
      </c>
      <c r="S62">
        <v>3</v>
      </c>
      <c r="T62">
        <v>3</v>
      </c>
      <c r="U62">
        <v>3.0868630000000001</v>
      </c>
      <c r="V62">
        <v>4.0350250000000001</v>
      </c>
      <c r="W62">
        <v>4.0719640000000004</v>
      </c>
      <c r="X62">
        <f t="shared" si="0"/>
        <v>1.0350250000000001</v>
      </c>
    </row>
    <row r="63" spans="1:24" x14ac:dyDescent="0.45">
      <c r="A63">
        <v>1020</v>
      </c>
      <c r="B63">
        <v>14</v>
      </c>
      <c r="C63">
        <v>3</v>
      </c>
      <c r="D63">
        <v>1</v>
      </c>
      <c r="E63">
        <v>-35</v>
      </c>
      <c r="F63">
        <v>0</v>
      </c>
      <c r="G63">
        <v>15</v>
      </c>
      <c r="H63">
        <v>0</v>
      </c>
      <c r="I63">
        <v>2</v>
      </c>
      <c r="J63">
        <v>1</v>
      </c>
      <c r="K63">
        <v>2</v>
      </c>
      <c r="L63">
        <v>2</v>
      </c>
      <c r="M63">
        <v>0</v>
      </c>
      <c r="N63">
        <v>2</v>
      </c>
      <c r="O63">
        <v>0.15568282548730999</v>
      </c>
      <c r="P63">
        <v>6.7560584698472104</v>
      </c>
      <c r="Q63">
        <v>78.588302711375704</v>
      </c>
      <c r="R63">
        <v>0</v>
      </c>
      <c r="S63">
        <v>0</v>
      </c>
      <c r="T63">
        <v>-1.3812189999999999E-3</v>
      </c>
      <c r="U63">
        <v>-2.0867119999999999</v>
      </c>
      <c r="V63">
        <v>-3.545372</v>
      </c>
      <c r="W63">
        <v>-4.4966549999999996</v>
      </c>
      <c r="X63">
        <f t="shared" si="0"/>
        <v>3.545372</v>
      </c>
    </row>
    <row r="64" spans="1:24" x14ac:dyDescent="0.45">
      <c r="A64">
        <v>1020</v>
      </c>
      <c r="B64">
        <v>15</v>
      </c>
      <c r="C64">
        <v>2</v>
      </c>
      <c r="D64">
        <v>8</v>
      </c>
      <c r="E64">
        <v>-45</v>
      </c>
      <c r="F64">
        <v>0</v>
      </c>
      <c r="G64">
        <v>5</v>
      </c>
      <c r="H64">
        <v>-3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0.227766451576113</v>
      </c>
      <c r="P64">
        <v>3.3027622680374198</v>
      </c>
      <c r="Q64">
        <v>66.595237759310393</v>
      </c>
      <c r="R64">
        <v>-3</v>
      </c>
      <c r="S64">
        <v>-2.9689860000000001</v>
      </c>
      <c r="T64">
        <v>-2.9689860000000001</v>
      </c>
      <c r="U64">
        <v>-3.3299690000000002</v>
      </c>
      <c r="V64">
        <v>-3.7893789999999998</v>
      </c>
      <c r="W64">
        <v>-4.494713</v>
      </c>
      <c r="X64">
        <f t="shared" si="0"/>
        <v>0.78937899999999983</v>
      </c>
    </row>
    <row r="65" spans="1:24" x14ac:dyDescent="0.45">
      <c r="A65">
        <v>1020</v>
      </c>
      <c r="B65">
        <v>16</v>
      </c>
      <c r="C65">
        <v>2</v>
      </c>
      <c r="D65">
        <v>3</v>
      </c>
      <c r="E65">
        <v>-35</v>
      </c>
      <c r="F65">
        <v>0</v>
      </c>
      <c r="G65">
        <v>15</v>
      </c>
      <c r="H65">
        <v>-3</v>
      </c>
      <c r="I65">
        <v>1</v>
      </c>
      <c r="J65">
        <v>1</v>
      </c>
      <c r="K65">
        <v>1</v>
      </c>
      <c r="L65">
        <v>1</v>
      </c>
      <c r="M65">
        <v>2</v>
      </c>
      <c r="N65">
        <v>1</v>
      </c>
      <c r="O65">
        <v>0.17884540127662699</v>
      </c>
      <c r="P65">
        <v>2.7541984818723702</v>
      </c>
      <c r="Q65">
        <v>75.279219555278303</v>
      </c>
      <c r="R65">
        <v>-3</v>
      </c>
      <c r="S65">
        <v>-3</v>
      </c>
      <c r="T65">
        <v>-4.0276639999999997</v>
      </c>
      <c r="U65">
        <v>-4.4972849999999998</v>
      </c>
      <c r="V65">
        <v>-4.4972960000000004</v>
      </c>
      <c r="W65">
        <v>-4.4973159999999996</v>
      </c>
      <c r="X65">
        <f t="shared" si="0"/>
        <v>1.4972960000000004</v>
      </c>
    </row>
    <row r="66" spans="1:24" x14ac:dyDescent="0.45">
      <c r="A66">
        <v>1020</v>
      </c>
      <c r="B66">
        <v>17</v>
      </c>
      <c r="C66">
        <v>3</v>
      </c>
      <c r="D66">
        <v>6</v>
      </c>
      <c r="E66">
        <v>-35</v>
      </c>
      <c r="F66">
        <v>3</v>
      </c>
      <c r="G66">
        <v>15</v>
      </c>
      <c r="H66">
        <v>3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0.15689873526317599</v>
      </c>
      <c r="P66">
        <v>2.7095969544476701</v>
      </c>
      <c r="Q66">
        <v>76.208691516685093</v>
      </c>
      <c r="R66">
        <v>0</v>
      </c>
      <c r="S66">
        <v>4.7864629999999998E-2</v>
      </c>
      <c r="T66">
        <v>1.6463429999999999</v>
      </c>
      <c r="U66">
        <v>2.8460510000000001</v>
      </c>
      <c r="V66">
        <v>3.8876529999999998</v>
      </c>
      <c r="W66">
        <v>4.4986649999999999</v>
      </c>
      <c r="X66">
        <f t="shared" si="0"/>
        <v>3.8876529999999998</v>
      </c>
    </row>
    <row r="67" spans="1:24" x14ac:dyDescent="0.45">
      <c r="A67">
        <v>1020</v>
      </c>
      <c r="B67">
        <v>18</v>
      </c>
      <c r="C67">
        <v>1</v>
      </c>
      <c r="D67">
        <v>2</v>
      </c>
      <c r="E67">
        <v>-35</v>
      </c>
      <c r="F67">
        <v>-3</v>
      </c>
      <c r="G67">
        <v>15</v>
      </c>
      <c r="H67">
        <v>-3</v>
      </c>
      <c r="I67">
        <v>-2</v>
      </c>
      <c r="J67">
        <v>2</v>
      </c>
      <c r="K67">
        <v>-2</v>
      </c>
      <c r="L67">
        <v>1</v>
      </c>
      <c r="M67">
        <v>-1</v>
      </c>
      <c r="N67">
        <v>-1</v>
      </c>
      <c r="O67">
        <v>0.137735434686898</v>
      </c>
      <c r="P67">
        <v>5.6989475998621604</v>
      </c>
      <c r="Q67">
        <v>78.648701213093403</v>
      </c>
      <c r="R67">
        <v>-3</v>
      </c>
      <c r="S67">
        <v>-2.9776919999999998</v>
      </c>
      <c r="T67">
        <v>-1.09961</v>
      </c>
      <c r="U67">
        <v>0.89443729999999999</v>
      </c>
      <c r="V67">
        <v>2.6902300000000001</v>
      </c>
      <c r="W67">
        <v>4.1093349999999997</v>
      </c>
      <c r="X67">
        <f t="shared" ref="X67:X130" si="1">ABS(V67-R67)</f>
        <v>5.6902299999999997</v>
      </c>
    </row>
    <row r="68" spans="1:24" x14ac:dyDescent="0.45">
      <c r="A68">
        <v>1020</v>
      </c>
      <c r="B68">
        <v>19</v>
      </c>
      <c r="C68">
        <v>2</v>
      </c>
      <c r="D68">
        <v>5</v>
      </c>
      <c r="E68">
        <v>-35</v>
      </c>
      <c r="F68">
        <v>0</v>
      </c>
      <c r="G68">
        <v>15</v>
      </c>
      <c r="H68">
        <v>0</v>
      </c>
      <c r="I68">
        <v>-2</v>
      </c>
      <c r="J68">
        <v>2</v>
      </c>
      <c r="K68">
        <v>-2</v>
      </c>
      <c r="L68">
        <v>1</v>
      </c>
      <c r="M68">
        <v>1</v>
      </c>
      <c r="N68">
        <v>1</v>
      </c>
      <c r="O68">
        <v>0.18731322557246499</v>
      </c>
      <c r="P68">
        <v>9.2860737676603193</v>
      </c>
      <c r="Q68">
        <v>78.958341376598597</v>
      </c>
      <c r="R68">
        <v>3</v>
      </c>
      <c r="S68">
        <v>2.9939740000000001</v>
      </c>
      <c r="T68">
        <v>0.92984789999999995</v>
      </c>
      <c r="U68">
        <v>-1.022964</v>
      </c>
      <c r="V68">
        <v>-2.8995829999999998</v>
      </c>
      <c r="W68">
        <v>-3.601915</v>
      </c>
      <c r="X68">
        <f t="shared" si="1"/>
        <v>5.8995829999999998</v>
      </c>
    </row>
    <row r="69" spans="1:24" x14ac:dyDescent="0.45">
      <c r="A69">
        <v>1020</v>
      </c>
      <c r="B69">
        <v>20</v>
      </c>
      <c r="C69">
        <v>3</v>
      </c>
      <c r="D69">
        <v>4</v>
      </c>
      <c r="E69">
        <v>-45</v>
      </c>
      <c r="F69">
        <v>0</v>
      </c>
      <c r="G69">
        <v>5</v>
      </c>
      <c r="H69">
        <v>3</v>
      </c>
      <c r="I69">
        <v>2</v>
      </c>
      <c r="J69">
        <v>1</v>
      </c>
      <c r="K69">
        <v>2</v>
      </c>
      <c r="L69">
        <v>2</v>
      </c>
      <c r="M69">
        <v>2</v>
      </c>
      <c r="N69">
        <v>2</v>
      </c>
      <c r="O69">
        <v>0.15705281638205601</v>
      </c>
      <c r="P69">
        <v>3.4150935930416599</v>
      </c>
      <c r="Q69">
        <v>66.104637398001998</v>
      </c>
      <c r="R69">
        <v>3</v>
      </c>
      <c r="S69">
        <v>3</v>
      </c>
      <c r="T69">
        <v>3</v>
      </c>
      <c r="U69">
        <v>3</v>
      </c>
      <c r="V69">
        <v>4.4720009999999997</v>
      </c>
      <c r="W69">
        <v>4.4941380000000004</v>
      </c>
      <c r="X69">
        <f t="shared" si="1"/>
        <v>1.4720009999999997</v>
      </c>
    </row>
    <row r="70" spans="1:24" x14ac:dyDescent="0.45">
      <c r="A70">
        <v>1020</v>
      </c>
      <c r="B70">
        <v>21</v>
      </c>
      <c r="C70">
        <v>1</v>
      </c>
      <c r="D70">
        <v>6</v>
      </c>
      <c r="E70">
        <v>-35</v>
      </c>
      <c r="F70">
        <v>3</v>
      </c>
      <c r="G70">
        <v>15</v>
      </c>
      <c r="H70">
        <v>3</v>
      </c>
      <c r="I70">
        <v>-2</v>
      </c>
      <c r="J70">
        <v>2</v>
      </c>
      <c r="K70">
        <v>-2</v>
      </c>
      <c r="L70">
        <v>1</v>
      </c>
      <c r="M70">
        <v>1</v>
      </c>
      <c r="N70">
        <v>1</v>
      </c>
      <c r="O70">
        <v>0.16156278621395301</v>
      </c>
      <c r="P70">
        <v>4.5270269292365803</v>
      </c>
      <c r="Q70">
        <v>76.589882854570703</v>
      </c>
      <c r="R70">
        <v>0</v>
      </c>
      <c r="S70">
        <v>0</v>
      </c>
      <c r="T70">
        <v>0</v>
      </c>
      <c r="U70">
        <v>1.3367329999999999</v>
      </c>
      <c r="V70">
        <v>3.288351</v>
      </c>
      <c r="W70">
        <v>4.4963759999999997</v>
      </c>
      <c r="X70">
        <f t="shared" si="1"/>
        <v>3.288351</v>
      </c>
    </row>
    <row r="71" spans="1:24" x14ac:dyDescent="0.45">
      <c r="A71">
        <v>1020</v>
      </c>
      <c r="B71">
        <v>22</v>
      </c>
      <c r="C71">
        <v>1</v>
      </c>
      <c r="D71">
        <v>3</v>
      </c>
      <c r="E71">
        <v>-35</v>
      </c>
      <c r="F71">
        <v>0</v>
      </c>
      <c r="G71">
        <v>15</v>
      </c>
      <c r="H71">
        <v>-3</v>
      </c>
      <c r="I71">
        <v>-2</v>
      </c>
      <c r="J71">
        <v>2</v>
      </c>
      <c r="K71">
        <v>-1</v>
      </c>
      <c r="L71">
        <v>1</v>
      </c>
      <c r="M71">
        <v>1</v>
      </c>
      <c r="N71">
        <v>1</v>
      </c>
      <c r="O71">
        <v>0.17806071886945199</v>
      </c>
      <c r="P71">
        <v>4.5903917754234804</v>
      </c>
      <c r="Q71">
        <v>75.018073504925397</v>
      </c>
      <c r="R71">
        <v>-3</v>
      </c>
      <c r="S71">
        <v>-3.16452</v>
      </c>
      <c r="T71">
        <v>-3.7855910000000002</v>
      </c>
      <c r="U71">
        <v>-4.2541570000000002</v>
      </c>
      <c r="V71">
        <v>-4.3610819999999997</v>
      </c>
      <c r="W71">
        <v>-4.4983329999999997</v>
      </c>
      <c r="X71">
        <f t="shared" si="1"/>
        <v>1.3610819999999997</v>
      </c>
    </row>
    <row r="72" spans="1:24" x14ac:dyDescent="0.45">
      <c r="A72">
        <v>1020</v>
      </c>
      <c r="B72">
        <v>23</v>
      </c>
      <c r="C72">
        <v>3</v>
      </c>
      <c r="D72">
        <v>8</v>
      </c>
      <c r="E72">
        <v>-45</v>
      </c>
      <c r="F72">
        <v>0</v>
      </c>
      <c r="G72">
        <v>5</v>
      </c>
      <c r="H72">
        <v>-3</v>
      </c>
      <c r="I72">
        <v>2</v>
      </c>
      <c r="J72">
        <v>1</v>
      </c>
      <c r="K72">
        <v>1</v>
      </c>
      <c r="L72">
        <v>1</v>
      </c>
      <c r="M72">
        <v>2</v>
      </c>
      <c r="N72">
        <v>1</v>
      </c>
      <c r="O72">
        <v>0.167814477697971</v>
      </c>
      <c r="P72">
        <v>2.4592589295170302</v>
      </c>
      <c r="Q72">
        <v>66.189610554899701</v>
      </c>
      <c r="R72">
        <v>-3</v>
      </c>
      <c r="S72">
        <v>-3.421119</v>
      </c>
      <c r="T72">
        <v>-4.1764539999999997</v>
      </c>
      <c r="U72">
        <v>-4.498545</v>
      </c>
      <c r="V72">
        <v>-4.4985549999999996</v>
      </c>
      <c r="W72">
        <v>-4.4985600000000003</v>
      </c>
      <c r="X72">
        <f t="shared" si="1"/>
        <v>1.4985549999999996</v>
      </c>
    </row>
    <row r="73" spans="1:24" x14ac:dyDescent="0.45">
      <c r="A73">
        <v>1020</v>
      </c>
      <c r="B73">
        <v>24</v>
      </c>
      <c r="C73">
        <v>2</v>
      </c>
      <c r="D73">
        <v>1</v>
      </c>
      <c r="E73">
        <v>-35</v>
      </c>
      <c r="F73">
        <v>0</v>
      </c>
      <c r="G73">
        <v>15</v>
      </c>
      <c r="H73">
        <v>0</v>
      </c>
      <c r="I73">
        <v>1</v>
      </c>
      <c r="J73">
        <v>1</v>
      </c>
      <c r="K73">
        <v>1</v>
      </c>
      <c r="L73">
        <v>1</v>
      </c>
      <c r="M73">
        <v>2</v>
      </c>
      <c r="N73">
        <v>1</v>
      </c>
      <c r="O73">
        <v>0.147772333042754</v>
      </c>
      <c r="P73">
        <v>2.5257568648742201</v>
      </c>
      <c r="Q73">
        <v>75.767487754044495</v>
      </c>
      <c r="R73">
        <v>0</v>
      </c>
      <c r="S73">
        <v>-6.180956E-2</v>
      </c>
      <c r="T73">
        <v>-1.5838110000000001</v>
      </c>
      <c r="U73">
        <v>-2.9730430000000001</v>
      </c>
      <c r="V73">
        <v>-4.2423729999999997</v>
      </c>
      <c r="W73">
        <v>-4.4946679999999999</v>
      </c>
      <c r="X73">
        <f t="shared" si="1"/>
        <v>4.2423729999999997</v>
      </c>
    </row>
    <row r="74" spans="1:24" x14ac:dyDescent="0.45">
      <c r="A74">
        <v>1030</v>
      </c>
      <c r="B74">
        <v>1</v>
      </c>
      <c r="C74">
        <v>2</v>
      </c>
      <c r="D74">
        <v>1</v>
      </c>
      <c r="E74">
        <v>-35</v>
      </c>
      <c r="F74">
        <v>0</v>
      </c>
      <c r="G74">
        <v>15</v>
      </c>
      <c r="H74">
        <v>0</v>
      </c>
      <c r="I74">
        <v>-1</v>
      </c>
      <c r="J74">
        <v>-1</v>
      </c>
      <c r="K74">
        <v>1</v>
      </c>
      <c r="L74">
        <v>-2</v>
      </c>
      <c r="M74">
        <v>-2</v>
      </c>
      <c r="N74">
        <v>-1</v>
      </c>
      <c r="O74">
        <v>0.26624552743470398</v>
      </c>
      <c r="P74">
        <v>15.510476741044601</v>
      </c>
      <c r="Q74">
        <v>78.777181570813795</v>
      </c>
      <c r="R74">
        <v>0</v>
      </c>
      <c r="S74">
        <v>-5.4538969999999999E-2</v>
      </c>
      <c r="T74">
        <v>0.59511029999999998</v>
      </c>
      <c r="U74">
        <v>1.4514640000000001</v>
      </c>
      <c r="V74">
        <v>2.052502</v>
      </c>
      <c r="W74">
        <v>3.194906</v>
      </c>
      <c r="X74">
        <f t="shared" si="1"/>
        <v>2.052502</v>
      </c>
    </row>
    <row r="75" spans="1:24" x14ac:dyDescent="0.45">
      <c r="A75">
        <v>1030</v>
      </c>
      <c r="B75">
        <v>2</v>
      </c>
      <c r="C75">
        <v>3</v>
      </c>
      <c r="D75">
        <v>8</v>
      </c>
      <c r="E75">
        <v>-45</v>
      </c>
      <c r="F75">
        <v>0</v>
      </c>
      <c r="G75">
        <v>5</v>
      </c>
      <c r="H75">
        <v>-3</v>
      </c>
      <c r="I75">
        <v>1</v>
      </c>
      <c r="J75">
        <v>2</v>
      </c>
      <c r="K75">
        <v>1</v>
      </c>
      <c r="L75">
        <v>2</v>
      </c>
      <c r="M75">
        <v>2</v>
      </c>
      <c r="N75">
        <v>2</v>
      </c>
      <c r="O75">
        <v>0.15426744192758901</v>
      </c>
      <c r="P75">
        <v>5.1615003708189402</v>
      </c>
      <c r="Q75">
        <v>68.170171036147494</v>
      </c>
      <c r="R75">
        <v>-3</v>
      </c>
      <c r="S75">
        <v>-2.9763999999999999</v>
      </c>
      <c r="T75">
        <v>-2.4657520000000002</v>
      </c>
      <c r="U75">
        <v>-1.9894510000000001</v>
      </c>
      <c r="V75">
        <v>-2.3373360000000001</v>
      </c>
      <c r="W75">
        <v>-3.1346270000000001</v>
      </c>
      <c r="X75">
        <f t="shared" si="1"/>
        <v>0.66266399999999992</v>
      </c>
    </row>
    <row r="76" spans="1:24" x14ac:dyDescent="0.45">
      <c r="A76">
        <v>1030</v>
      </c>
      <c r="B76">
        <v>3</v>
      </c>
      <c r="C76">
        <v>1</v>
      </c>
      <c r="D76">
        <v>3</v>
      </c>
      <c r="E76">
        <v>-35</v>
      </c>
      <c r="F76">
        <v>0</v>
      </c>
      <c r="G76">
        <v>15</v>
      </c>
      <c r="H76">
        <v>-3</v>
      </c>
      <c r="I76">
        <v>1</v>
      </c>
      <c r="J76">
        <v>1</v>
      </c>
      <c r="K76">
        <v>-2</v>
      </c>
      <c r="L76">
        <v>-1</v>
      </c>
      <c r="M76">
        <v>1</v>
      </c>
      <c r="N76">
        <v>1</v>
      </c>
      <c r="O76">
        <v>0.198957857535149</v>
      </c>
      <c r="P76">
        <v>7.6838157832697203</v>
      </c>
      <c r="Q76">
        <v>77.642505472256801</v>
      </c>
      <c r="R76">
        <v>-3</v>
      </c>
      <c r="S76">
        <v>-2.7207490000000001</v>
      </c>
      <c r="T76">
        <v>-3.6545779999999999</v>
      </c>
      <c r="U76">
        <v>-4.077032</v>
      </c>
      <c r="V76">
        <v>-3.6728160000000001</v>
      </c>
      <c r="W76">
        <v>-3.4533070000000001</v>
      </c>
      <c r="X76">
        <f t="shared" si="1"/>
        <v>0.67281600000000008</v>
      </c>
    </row>
    <row r="77" spans="1:24" x14ac:dyDescent="0.45">
      <c r="A77">
        <v>1030</v>
      </c>
      <c r="B77">
        <v>4</v>
      </c>
      <c r="C77">
        <v>1</v>
      </c>
      <c r="D77">
        <v>6</v>
      </c>
      <c r="E77">
        <v>-35</v>
      </c>
      <c r="F77">
        <v>3</v>
      </c>
      <c r="G77">
        <v>15</v>
      </c>
      <c r="H77">
        <v>3</v>
      </c>
      <c r="I77">
        <v>-1</v>
      </c>
      <c r="J77">
        <v>1</v>
      </c>
      <c r="K77">
        <v>-2</v>
      </c>
      <c r="L77">
        <v>-1</v>
      </c>
      <c r="M77">
        <v>-1</v>
      </c>
      <c r="N77">
        <v>-1</v>
      </c>
      <c r="O77">
        <v>0.32714881993488498</v>
      </c>
      <c r="P77">
        <v>13.755379421008501</v>
      </c>
      <c r="Q77">
        <v>81.163391992031407</v>
      </c>
      <c r="R77">
        <v>0</v>
      </c>
      <c r="S77">
        <v>-6.9023249999999994E-2</v>
      </c>
      <c r="T77">
        <v>0.71509909999999999</v>
      </c>
      <c r="U77">
        <v>1.595906</v>
      </c>
      <c r="V77">
        <v>2.5567799999999998</v>
      </c>
      <c r="W77">
        <v>3.284046</v>
      </c>
      <c r="X77">
        <f t="shared" si="1"/>
        <v>2.5567799999999998</v>
      </c>
    </row>
    <row r="78" spans="1:24" x14ac:dyDescent="0.45">
      <c r="A78">
        <v>1030</v>
      </c>
      <c r="B78">
        <v>5</v>
      </c>
      <c r="C78">
        <v>3</v>
      </c>
      <c r="D78">
        <v>4</v>
      </c>
      <c r="E78">
        <v>-45</v>
      </c>
      <c r="F78">
        <v>0</v>
      </c>
      <c r="G78">
        <v>5</v>
      </c>
      <c r="H78">
        <v>3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0.28758566569222499</v>
      </c>
      <c r="P78">
        <v>3.1166583880231502</v>
      </c>
      <c r="Q78">
        <v>66.1029140632902</v>
      </c>
      <c r="R78">
        <v>3</v>
      </c>
      <c r="S78">
        <v>2.9685990000000002</v>
      </c>
      <c r="T78">
        <v>1.4361999999999999</v>
      </c>
      <c r="U78">
        <v>0.16353110000000001</v>
      </c>
      <c r="V78">
        <v>-1.1083069999999999</v>
      </c>
      <c r="W78">
        <v>-1.8990959999999999</v>
      </c>
      <c r="X78">
        <f t="shared" si="1"/>
        <v>4.1083069999999999</v>
      </c>
    </row>
    <row r="79" spans="1:24" x14ac:dyDescent="0.45">
      <c r="A79">
        <v>1030</v>
      </c>
      <c r="B79">
        <v>6</v>
      </c>
      <c r="C79">
        <v>2</v>
      </c>
      <c r="D79">
        <v>5</v>
      </c>
      <c r="E79">
        <v>-35</v>
      </c>
      <c r="F79">
        <v>0</v>
      </c>
      <c r="G79">
        <v>15</v>
      </c>
      <c r="H79">
        <v>0</v>
      </c>
      <c r="I79">
        <v>-2</v>
      </c>
      <c r="J79">
        <v>2</v>
      </c>
      <c r="K79">
        <v>2</v>
      </c>
      <c r="L79">
        <v>1</v>
      </c>
      <c r="M79">
        <v>-1</v>
      </c>
      <c r="N79">
        <v>1</v>
      </c>
      <c r="O79">
        <v>0.26107570016165998</v>
      </c>
      <c r="P79">
        <v>13.4569526243188</v>
      </c>
      <c r="Q79">
        <v>77.991986084850396</v>
      </c>
      <c r="R79">
        <v>3</v>
      </c>
      <c r="S79">
        <v>2.9998860000000001</v>
      </c>
      <c r="T79">
        <v>2.781809</v>
      </c>
      <c r="U79">
        <v>1.5358069999999999</v>
      </c>
      <c r="V79">
        <v>3.4282720000000003E-2</v>
      </c>
      <c r="W79">
        <v>-1.420444</v>
      </c>
      <c r="X79">
        <f t="shared" si="1"/>
        <v>2.9657172799999998</v>
      </c>
    </row>
    <row r="80" spans="1:24" x14ac:dyDescent="0.45">
      <c r="A80">
        <v>1030</v>
      </c>
      <c r="B80">
        <v>7</v>
      </c>
      <c r="C80">
        <v>1</v>
      </c>
      <c r="D80">
        <v>2</v>
      </c>
      <c r="E80">
        <v>-35</v>
      </c>
      <c r="F80">
        <v>-3</v>
      </c>
      <c r="G80">
        <v>15</v>
      </c>
      <c r="H80">
        <v>-3</v>
      </c>
      <c r="I80">
        <v>-2</v>
      </c>
      <c r="J80">
        <v>2</v>
      </c>
      <c r="K80">
        <v>1</v>
      </c>
      <c r="L80">
        <v>-1</v>
      </c>
      <c r="M80">
        <v>-1</v>
      </c>
      <c r="N80">
        <v>-1</v>
      </c>
      <c r="O80">
        <v>0.26846605378371502</v>
      </c>
      <c r="P80">
        <v>10.3239779655175</v>
      </c>
      <c r="Q80">
        <v>76.677460123762003</v>
      </c>
      <c r="R80">
        <v>-3</v>
      </c>
      <c r="S80">
        <v>-3</v>
      </c>
      <c r="T80">
        <v>-2.0352860000000002</v>
      </c>
      <c r="U80">
        <v>-0.76173860000000004</v>
      </c>
      <c r="V80">
        <v>0.1387178</v>
      </c>
      <c r="W80">
        <v>0.89571789999999996</v>
      </c>
      <c r="X80">
        <f t="shared" si="1"/>
        <v>3.1387178000000002</v>
      </c>
    </row>
    <row r="81" spans="1:24" x14ac:dyDescent="0.45">
      <c r="A81">
        <v>1030</v>
      </c>
      <c r="B81">
        <v>8</v>
      </c>
      <c r="C81">
        <v>3</v>
      </c>
      <c r="D81">
        <v>6</v>
      </c>
      <c r="E81">
        <v>-35</v>
      </c>
      <c r="F81">
        <v>3</v>
      </c>
      <c r="G81">
        <v>15</v>
      </c>
      <c r="H81">
        <v>3</v>
      </c>
      <c r="I81">
        <v>2</v>
      </c>
      <c r="J81">
        <v>1</v>
      </c>
      <c r="K81">
        <v>2</v>
      </c>
      <c r="L81">
        <v>1</v>
      </c>
      <c r="M81">
        <v>1</v>
      </c>
      <c r="N81">
        <v>1</v>
      </c>
      <c r="O81">
        <v>0.33630097497849598</v>
      </c>
      <c r="P81">
        <v>14.863003609221501</v>
      </c>
      <c r="Q81">
        <v>79.753531226932296</v>
      </c>
      <c r="R81">
        <v>0</v>
      </c>
      <c r="S81">
        <v>-8.975287E-4</v>
      </c>
      <c r="T81">
        <v>0.92228969999999999</v>
      </c>
      <c r="U81">
        <v>2.0785640000000001</v>
      </c>
      <c r="V81">
        <v>3.0570550000000001</v>
      </c>
      <c r="W81">
        <v>3.4627490000000001</v>
      </c>
      <c r="X81">
        <f t="shared" si="1"/>
        <v>3.0570550000000001</v>
      </c>
    </row>
    <row r="82" spans="1:24" x14ac:dyDescent="0.45">
      <c r="A82">
        <v>1030</v>
      </c>
      <c r="B82">
        <v>9</v>
      </c>
      <c r="C82">
        <v>2</v>
      </c>
      <c r="D82">
        <v>3</v>
      </c>
      <c r="E82">
        <v>-35</v>
      </c>
      <c r="F82">
        <v>0</v>
      </c>
      <c r="G82">
        <v>15</v>
      </c>
      <c r="H82">
        <v>-3</v>
      </c>
      <c r="I82">
        <v>-2</v>
      </c>
      <c r="J82">
        <v>-2</v>
      </c>
      <c r="K82">
        <v>2</v>
      </c>
      <c r="L82">
        <v>-2</v>
      </c>
      <c r="M82">
        <v>-2</v>
      </c>
      <c r="N82">
        <v>-2</v>
      </c>
      <c r="O82">
        <v>0.30282464951351901</v>
      </c>
      <c r="P82">
        <v>19.228571860157199</v>
      </c>
      <c r="Q82">
        <v>84.122574471215003</v>
      </c>
      <c r="R82">
        <v>-3</v>
      </c>
      <c r="S82">
        <v>-2.8861469999999998</v>
      </c>
      <c r="T82">
        <v>-3.346689</v>
      </c>
      <c r="U82">
        <v>-3.6827670000000001</v>
      </c>
      <c r="V82">
        <v>-4.0381330000000002</v>
      </c>
      <c r="W82">
        <v>-3.600355</v>
      </c>
      <c r="X82">
        <f t="shared" si="1"/>
        <v>1.0381330000000002</v>
      </c>
    </row>
    <row r="83" spans="1:24" x14ac:dyDescent="0.45">
      <c r="A83">
        <v>1030</v>
      </c>
      <c r="B83">
        <v>10</v>
      </c>
      <c r="C83">
        <v>2</v>
      </c>
      <c r="D83">
        <v>8</v>
      </c>
      <c r="E83">
        <v>-45</v>
      </c>
      <c r="F83">
        <v>0</v>
      </c>
      <c r="G83">
        <v>5</v>
      </c>
      <c r="H83">
        <v>-3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0.24803520438613</v>
      </c>
      <c r="P83">
        <v>8.4712330327001801</v>
      </c>
      <c r="Q83">
        <v>67.851167319216003</v>
      </c>
      <c r="R83">
        <v>-3</v>
      </c>
      <c r="S83">
        <v>-2.8753489999999999</v>
      </c>
      <c r="T83">
        <v>-1.397378</v>
      </c>
      <c r="U83">
        <v>7.7695829999999994E-2</v>
      </c>
      <c r="V83">
        <v>1.4581569999999999</v>
      </c>
      <c r="W83">
        <v>2.8596529999999998</v>
      </c>
      <c r="X83">
        <f t="shared" si="1"/>
        <v>4.4581569999999999</v>
      </c>
    </row>
    <row r="84" spans="1:24" x14ac:dyDescent="0.45">
      <c r="A84">
        <v>1030</v>
      </c>
      <c r="B84">
        <v>11</v>
      </c>
      <c r="C84">
        <v>3</v>
      </c>
      <c r="D84">
        <v>1</v>
      </c>
      <c r="E84">
        <v>-35</v>
      </c>
      <c r="F84">
        <v>0</v>
      </c>
      <c r="G84">
        <v>15</v>
      </c>
      <c r="H84">
        <v>0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0.21075363363410299</v>
      </c>
      <c r="P84">
        <v>5.6199367309823201</v>
      </c>
      <c r="Q84">
        <v>76.202770630909697</v>
      </c>
      <c r="R84">
        <v>0</v>
      </c>
      <c r="S84">
        <v>5.330215E-2</v>
      </c>
      <c r="T84">
        <v>-0.25890920000000001</v>
      </c>
      <c r="U84">
        <v>0.23782139999999999</v>
      </c>
      <c r="V84">
        <v>-0.81232729999999997</v>
      </c>
      <c r="W84">
        <v>-2.5400960000000001</v>
      </c>
      <c r="X84">
        <f t="shared" si="1"/>
        <v>0.81232729999999997</v>
      </c>
    </row>
    <row r="85" spans="1:24" x14ac:dyDescent="0.45">
      <c r="A85">
        <v>1030</v>
      </c>
      <c r="B85">
        <v>12</v>
      </c>
      <c r="C85">
        <v>1</v>
      </c>
      <c r="D85">
        <v>7</v>
      </c>
      <c r="E85">
        <v>-35</v>
      </c>
      <c r="F85">
        <v>0</v>
      </c>
      <c r="G85">
        <v>15</v>
      </c>
      <c r="H85">
        <v>3</v>
      </c>
      <c r="I85">
        <v>-2</v>
      </c>
      <c r="J85">
        <v>2</v>
      </c>
      <c r="K85">
        <v>-2</v>
      </c>
      <c r="L85">
        <v>0</v>
      </c>
      <c r="M85">
        <v>1</v>
      </c>
      <c r="N85">
        <v>-1</v>
      </c>
      <c r="O85">
        <v>0.31840694918822998</v>
      </c>
      <c r="P85">
        <v>3.6190310440854301</v>
      </c>
      <c r="Q85">
        <v>76.341096449018906</v>
      </c>
      <c r="R85">
        <v>3</v>
      </c>
      <c r="S85">
        <v>3</v>
      </c>
      <c r="T85">
        <v>3.0531000000000001</v>
      </c>
      <c r="U85">
        <v>3.7371780000000001</v>
      </c>
      <c r="V85">
        <v>4.2828229999999996</v>
      </c>
      <c r="W85">
        <v>4.0147789999999999</v>
      </c>
      <c r="X85">
        <f t="shared" si="1"/>
        <v>1.2828229999999996</v>
      </c>
    </row>
    <row r="86" spans="1:24" x14ac:dyDescent="0.45">
      <c r="A86">
        <v>1030</v>
      </c>
      <c r="B86">
        <v>13</v>
      </c>
      <c r="C86">
        <v>3</v>
      </c>
      <c r="D86">
        <v>3</v>
      </c>
      <c r="E86">
        <v>-35</v>
      </c>
      <c r="F86">
        <v>0</v>
      </c>
      <c r="G86">
        <v>15</v>
      </c>
      <c r="H86">
        <v>-3</v>
      </c>
      <c r="I86">
        <v>2</v>
      </c>
      <c r="J86">
        <v>1</v>
      </c>
      <c r="K86">
        <v>2</v>
      </c>
      <c r="L86">
        <v>1</v>
      </c>
      <c r="M86">
        <v>1</v>
      </c>
      <c r="N86">
        <v>1</v>
      </c>
      <c r="O86">
        <v>0.27641043611632699</v>
      </c>
      <c r="P86">
        <v>23.838045173509901</v>
      </c>
      <c r="Q86">
        <v>79.699672652685507</v>
      </c>
      <c r="R86">
        <v>-3</v>
      </c>
      <c r="S86">
        <v>-3</v>
      </c>
      <c r="T86">
        <v>-3.1900360000000001</v>
      </c>
      <c r="U86">
        <v>-3.783229</v>
      </c>
      <c r="V86">
        <v>-3.8500009999999998</v>
      </c>
      <c r="W86">
        <v>-3.9318789999999999</v>
      </c>
      <c r="X86">
        <f t="shared" si="1"/>
        <v>0.85000099999999978</v>
      </c>
    </row>
    <row r="87" spans="1:24" x14ac:dyDescent="0.45">
      <c r="A87">
        <v>1030</v>
      </c>
      <c r="B87">
        <v>14</v>
      </c>
      <c r="C87">
        <v>3</v>
      </c>
      <c r="D87">
        <v>5</v>
      </c>
      <c r="E87">
        <v>-35</v>
      </c>
      <c r="F87">
        <v>0</v>
      </c>
      <c r="G87">
        <v>15</v>
      </c>
      <c r="H87">
        <v>0</v>
      </c>
      <c r="I87">
        <v>-2</v>
      </c>
      <c r="J87">
        <v>-2</v>
      </c>
      <c r="K87">
        <v>2</v>
      </c>
      <c r="L87">
        <v>-2</v>
      </c>
      <c r="M87">
        <v>-2</v>
      </c>
      <c r="N87">
        <v>-2</v>
      </c>
      <c r="O87">
        <v>0.198206663562734</v>
      </c>
      <c r="P87">
        <v>16.528933460569501</v>
      </c>
      <c r="Q87">
        <v>82.0290884861367</v>
      </c>
      <c r="R87">
        <v>3</v>
      </c>
      <c r="S87">
        <v>3</v>
      </c>
      <c r="T87">
        <v>3.032041</v>
      </c>
      <c r="U87">
        <v>3.4704449999999998</v>
      </c>
      <c r="V87">
        <v>1.728748</v>
      </c>
      <c r="W87">
        <v>-6.8224720000000003E-2</v>
      </c>
      <c r="X87">
        <f t="shared" si="1"/>
        <v>1.271252</v>
      </c>
    </row>
    <row r="88" spans="1:24" x14ac:dyDescent="0.45">
      <c r="A88">
        <v>1030</v>
      </c>
      <c r="B88">
        <v>15</v>
      </c>
      <c r="C88">
        <v>1</v>
      </c>
      <c r="D88">
        <v>4</v>
      </c>
      <c r="E88">
        <v>-45</v>
      </c>
      <c r="F88">
        <v>0</v>
      </c>
      <c r="G88">
        <v>5</v>
      </c>
      <c r="H88">
        <v>3</v>
      </c>
      <c r="I88">
        <v>-2</v>
      </c>
      <c r="J88">
        <v>2</v>
      </c>
      <c r="K88">
        <v>-2</v>
      </c>
      <c r="L88">
        <v>-1</v>
      </c>
      <c r="M88">
        <v>0</v>
      </c>
      <c r="N88">
        <v>-1</v>
      </c>
      <c r="O88">
        <v>0.142288814703704</v>
      </c>
      <c r="P88">
        <v>2.04596532632016</v>
      </c>
      <c r="Q88">
        <v>67.327101537333903</v>
      </c>
      <c r="R88">
        <v>3</v>
      </c>
      <c r="S88">
        <v>3.0175260000000002</v>
      </c>
      <c r="T88">
        <v>3.4658099999999998</v>
      </c>
      <c r="U88">
        <v>3.8508309999999999</v>
      </c>
      <c r="V88">
        <v>4.1997819999999999</v>
      </c>
      <c r="W88">
        <v>4.431686</v>
      </c>
      <c r="X88">
        <f t="shared" si="1"/>
        <v>1.1997819999999999</v>
      </c>
    </row>
    <row r="89" spans="1:24" x14ac:dyDescent="0.45">
      <c r="A89">
        <v>1030</v>
      </c>
      <c r="B89">
        <v>16</v>
      </c>
      <c r="C89">
        <v>2</v>
      </c>
      <c r="D89">
        <v>7</v>
      </c>
      <c r="E89">
        <v>-35</v>
      </c>
      <c r="F89">
        <v>0</v>
      </c>
      <c r="G89">
        <v>15</v>
      </c>
      <c r="H89">
        <v>3</v>
      </c>
      <c r="I89">
        <v>-2</v>
      </c>
      <c r="J89">
        <v>-2</v>
      </c>
      <c r="K89">
        <v>-1</v>
      </c>
      <c r="L89">
        <v>-2</v>
      </c>
      <c r="M89">
        <v>-2</v>
      </c>
      <c r="N89">
        <v>-2</v>
      </c>
      <c r="O89">
        <v>0.317607862790176</v>
      </c>
      <c r="P89">
        <v>14.5252824075841</v>
      </c>
      <c r="Q89">
        <v>83.463036287984707</v>
      </c>
      <c r="R89">
        <v>3</v>
      </c>
      <c r="S89">
        <v>2.7823319999999998</v>
      </c>
      <c r="T89">
        <v>3.2444470000000001</v>
      </c>
      <c r="U89">
        <v>3.5868419999999999</v>
      </c>
      <c r="V89">
        <v>4.0381309999999999</v>
      </c>
      <c r="W89">
        <v>4.3133160000000004</v>
      </c>
      <c r="X89">
        <f t="shared" si="1"/>
        <v>1.0381309999999999</v>
      </c>
    </row>
    <row r="90" spans="1:24" x14ac:dyDescent="0.45">
      <c r="A90">
        <v>1030</v>
      </c>
      <c r="B90">
        <v>17</v>
      </c>
      <c r="C90">
        <v>3</v>
      </c>
      <c r="D90">
        <v>2</v>
      </c>
      <c r="E90">
        <v>-35</v>
      </c>
      <c r="F90">
        <v>-3</v>
      </c>
      <c r="G90">
        <v>15</v>
      </c>
      <c r="H90">
        <v>-3</v>
      </c>
      <c r="I90">
        <v>-1</v>
      </c>
      <c r="J90">
        <v>-1</v>
      </c>
      <c r="K90">
        <v>1</v>
      </c>
      <c r="L90">
        <v>1</v>
      </c>
      <c r="M90">
        <v>1</v>
      </c>
      <c r="N90">
        <v>-1</v>
      </c>
      <c r="O90">
        <v>0.224774542511925</v>
      </c>
      <c r="P90">
        <v>15.773999334837701</v>
      </c>
      <c r="Q90">
        <v>80.249513131743299</v>
      </c>
      <c r="R90">
        <v>-3</v>
      </c>
      <c r="S90">
        <v>-2.7592310000000002</v>
      </c>
      <c r="T90">
        <v>-1.132231</v>
      </c>
      <c r="U90">
        <v>-0.65589339999999996</v>
      </c>
      <c r="V90">
        <v>0.31001630000000002</v>
      </c>
      <c r="W90">
        <v>0.52958050000000001</v>
      </c>
      <c r="X90">
        <f t="shared" si="1"/>
        <v>3.3100163</v>
      </c>
    </row>
    <row r="91" spans="1:24" x14ac:dyDescent="0.45">
      <c r="A91">
        <v>1030</v>
      </c>
      <c r="B91">
        <v>18</v>
      </c>
      <c r="C91">
        <v>2</v>
      </c>
      <c r="D91">
        <v>6</v>
      </c>
      <c r="E91">
        <v>-35</v>
      </c>
      <c r="F91">
        <v>3</v>
      </c>
      <c r="G91">
        <v>15</v>
      </c>
      <c r="H91">
        <v>3</v>
      </c>
      <c r="I91">
        <v>-1</v>
      </c>
      <c r="J91">
        <v>-2</v>
      </c>
      <c r="K91">
        <v>-2</v>
      </c>
      <c r="L91">
        <v>1</v>
      </c>
      <c r="M91">
        <v>-1</v>
      </c>
      <c r="N91">
        <v>-1</v>
      </c>
      <c r="O91">
        <v>0.27907726208313</v>
      </c>
      <c r="P91">
        <v>18.012371046645502</v>
      </c>
      <c r="Q91">
        <v>81.273251368261199</v>
      </c>
      <c r="R91">
        <v>0</v>
      </c>
      <c r="S91">
        <v>6.6867960000000004E-2</v>
      </c>
      <c r="T91">
        <v>1.53366</v>
      </c>
      <c r="U91">
        <v>2.894936</v>
      </c>
      <c r="V91">
        <v>3.886771</v>
      </c>
      <c r="W91">
        <v>4.4988460000000003</v>
      </c>
      <c r="X91">
        <f t="shared" si="1"/>
        <v>3.886771</v>
      </c>
    </row>
    <row r="92" spans="1:24" x14ac:dyDescent="0.45">
      <c r="A92">
        <v>1030</v>
      </c>
      <c r="B92">
        <v>19</v>
      </c>
      <c r="C92">
        <v>1</v>
      </c>
      <c r="D92">
        <v>1</v>
      </c>
      <c r="E92">
        <v>-35</v>
      </c>
      <c r="F92">
        <v>0</v>
      </c>
      <c r="G92">
        <v>15</v>
      </c>
      <c r="H92">
        <v>0</v>
      </c>
      <c r="I92">
        <v>2</v>
      </c>
      <c r="J92">
        <v>1</v>
      </c>
      <c r="K92">
        <v>1</v>
      </c>
      <c r="L92">
        <v>2</v>
      </c>
      <c r="M92">
        <v>1</v>
      </c>
      <c r="N92">
        <v>1</v>
      </c>
      <c r="O92">
        <v>0.13675553833043899</v>
      </c>
      <c r="P92">
        <v>4.6589829313160704</v>
      </c>
      <c r="Q92">
        <v>76.710137899979898</v>
      </c>
      <c r="R92">
        <v>0</v>
      </c>
      <c r="S92">
        <v>0</v>
      </c>
      <c r="T92">
        <v>0</v>
      </c>
      <c r="U92">
        <v>-0.73127629999999999</v>
      </c>
      <c r="V92">
        <v>-2.1439110000000001</v>
      </c>
      <c r="W92">
        <v>-3.0166219999999999</v>
      </c>
      <c r="X92">
        <f t="shared" si="1"/>
        <v>2.1439110000000001</v>
      </c>
    </row>
    <row r="93" spans="1:24" x14ac:dyDescent="0.45">
      <c r="A93">
        <v>1030</v>
      </c>
      <c r="B93">
        <v>20</v>
      </c>
      <c r="C93">
        <v>1</v>
      </c>
      <c r="D93">
        <v>8</v>
      </c>
      <c r="E93">
        <v>-45</v>
      </c>
      <c r="F93">
        <v>0</v>
      </c>
      <c r="G93">
        <v>5</v>
      </c>
      <c r="H93">
        <v>-3</v>
      </c>
      <c r="I93">
        <v>0</v>
      </c>
      <c r="J93">
        <v>-1</v>
      </c>
      <c r="K93">
        <v>1</v>
      </c>
      <c r="L93">
        <v>-2</v>
      </c>
      <c r="M93">
        <v>-1</v>
      </c>
      <c r="N93">
        <v>-1</v>
      </c>
      <c r="O93">
        <v>0.168388464883652</v>
      </c>
      <c r="P93">
        <v>7.9655147035485099</v>
      </c>
      <c r="Q93">
        <v>68.188745904493402</v>
      </c>
      <c r="R93">
        <v>-3</v>
      </c>
      <c r="S93">
        <v>-3.0006599999999999</v>
      </c>
      <c r="T93">
        <v>-2.8864670000000001</v>
      </c>
      <c r="U93">
        <v>-2.0519560000000001</v>
      </c>
      <c r="V93">
        <v>-0.2278048</v>
      </c>
      <c r="W93">
        <v>1.445174</v>
      </c>
      <c r="X93">
        <f t="shared" si="1"/>
        <v>2.7721952000000001</v>
      </c>
    </row>
    <row r="94" spans="1:24" x14ac:dyDescent="0.45">
      <c r="A94">
        <v>1030</v>
      </c>
      <c r="B94">
        <v>21</v>
      </c>
      <c r="C94">
        <v>2</v>
      </c>
      <c r="D94">
        <v>2</v>
      </c>
      <c r="E94">
        <v>-35</v>
      </c>
      <c r="F94">
        <v>-3</v>
      </c>
      <c r="G94">
        <v>15</v>
      </c>
      <c r="H94">
        <v>-3</v>
      </c>
      <c r="I94">
        <v>-2</v>
      </c>
      <c r="J94">
        <v>2</v>
      </c>
      <c r="K94">
        <v>-2</v>
      </c>
      <c r="L94">
        <v>1</v>
      </c>
      <c r="M94">
        <v>1</v>
      </c>
      <c r="N94">
        <v>0</v>
      </c>
      <c r="O94">
        <v>0.11388474320943801</v>
      </c>
      <c r="P94">
        <v>3.5970485088197202</v>
      </c>
      <c r="Q94">
        <v>78.830648595139095</v>
      </c>
      <c r="R94">
        <v>-3</v>
      </c>
      <c r="S94">
        <v>-2.6752739999999999</v>
      </c>
      <c r="T94">
        <v>-1.5750109999999999</v>
      </c>
      <c r="U94">
        <v>-0.42669760000000001</v>
      </c>
      <c r="V94">
        <v>0.66970810000000003</v>
      </c>
      <c r="W94">
        <v>1.6564540000000001</v>
      </c>
      <c r="X94">
        <f t="shared" si="1"/>
        <v>3.6697081000000003</v>
      </c>
    </row>
    <row r="95" spans="1:24" x14ac:dyDescent="0.45">
      <c r="A95">
        <v>1030</v>
      </c>
      <c r="B95">
        <v>22</v>
      </c>
      <c r="C95">
        <v>3</v>
      </c>
      <c r="D95">
        <v>7</v>
      </c>
      <c r="E95">
        <v>-35</v>
      </c>
      <c r="F95">
        <v>0</v>
      </c>
      <c r="G95">
        <v>15</v>
      </c>
      <c r="H95">
        <v>3</v>
      </c>
      <c r="I95">
        <v>1</v>
      </c>
      <c r="J95">
        <v>1</v>
      </c>
      <c r="K95">
        <v>2</v>
      </c>
      <c r="L95">
        <v>1</v>
      </c>
      <c r="M95">
        <v>1</v>
      </c>
      <c r="N95">
        <v>1</v>
      </c>
      <c r="O95">
        <v>0.125151460301101</v>
      </c>
      <c r="P95">
        <v>2.0830162067185798</v>
      </c>
      <c r="Q95">
        <v>76.482270248571396</v>
      </c>
      <c r="R95">
        <v>3</v>
      </c>
      <c r="S95">
        <v>3.0396169999999998</v>
      </c>
      <c r="T95">
        <v>3.4350969999999998</v>
      </c>
      <c r="U95">
        <v>4.1535880000000001</v>
      </c>
      <c r="V95">
        <v>4.2923790000000004</v>
      </c>
      <c r="W95">
        <v>4.4984060000000001</v>
      </c>
      <c r="X95">
        <f t="shared" si="1"/>
        <v>1.2923790000000004</v>
      </c>
    </row>
    <row r="96" spans="1:24" x14ac:dyDescent="0.45">
      <c r="A96">
        <v>1030</v>
      </c>
      <c r="B96">
        <v>23</v>
      </c>
      <c r="C96">
        <v>2</v>
      </c>
      <c r="D96">
        <v>4</v>
      </c>
      <c r="E96">
        <v>-45</v>
      </c>
      <c r="F96">
        <v>0</v>
      </c>
      <c r="G96">
        <v>5</v>
      </c>
      <c r="H96">
        <v>3</v>
      </c>
      <c r="I96">
        <v>1</v>
      </c>
      <c r="J96">
        <v>-1</v>
      </c>
      <c r="K96">
        <v>1</v>
      </c>
      <c r="L96">
        <v>2</v>
      </c>
      <c r="M96">
        <v>1</v>
      </c>
      <c r="N96">
        <v>1</v>
      </c>
      <c r="O96">
        <v>0.16701137985423201</v>
      </c>
      <c r="P96">
        <v>3.3264483247318801</v>
      </c>
      <c r="Q96">
        <v>67.861830846806896</v>
      </c>
      <c r="R96">
        <v>3</v>
      </c>
      <c r="S96">
        <v>2.9088440000000002</v>
      </c>
      <c r="T96">
        <v>2.9527160000000001</v>
      </c>
      <c r="U96">
        <v>3.4405649999999999</v>
      </c>
      <c r="V96">
        <v>4.144037</v>
      </c>
      <c r="W96">
        <v>4.4959709999999999</v>
      </c>
      <c r="X96">
        <f t="shared" si="1"/>
        <v>1.144037</v>
      </c>
    </row>
    <row r="97" spans="1:24" x14ac:dyDescent="0.45">
      <c r="A97">
        <v>1030</v>
      </c>
      <c r="B97">
        <v>24</v>
      </c>
      <c r="C97">
        <v>1</v>
      </c>
      <c r="D97">
        <v>5</v>
      </c>
      <c r="E97">
        <v>-35</v>
      </c>
      <c r="F97">
        <v>0</v>
      </c>
      <c r="G97">
        <v>15</v>
      </c>
      <c r="H97">
        <v>0</v>
      </c>
      <c r="I97">
        <v>-1</v>
      </c>
      <c r="J97">
        <v>1</v>
      </c>
      <c r="K97">
        <v>-1</v>
      </c>
      <c r="L97">
        <v>1</v>
      </c>
      <c r="M97">
        <v>1</v>
      </c>
      <c r="N97">
        <v>-1</v>
      </c>
      <c r="O97">
        <v>0.21009326286692101</v>
      </c>
      <c r="P97">
        <v>6.4995114528332998</v>
      </c>
      <c r="Q97">
        <v>77.858932059810101</v>
      </c>
      <c r="R97">
        <v>3</v>
      </c>
      <c r="S97">
        <v>2.9424359999999998</v>
      </c>
      <c r="T97">
        <v>2.8827729999999998</v>
      </c>
      <c r="U97">
        <v>1.6530879999999999</v>
      </c>
      <c r="V97">
        <v>0.38671689999999997</v>
      </c>
      <c r="W97">
        <v>-0.63927820000000002</v>
      </c>
      <c r="X97">
        <f t="shared" si="1"/>
        <v>2.6132830999999999</v>
      </c>
    </row>
    <row r="98" spans="1:24" x14ac:dyDescent="0.45">
      <c r="A98">
        <v>1040</v>
      </c>
      <c r="B98">
        <v>1</v>
      </c>
      <c r="C98">
        <v>2</v>
      </c>
      <c r="D98">
        <v>1</v>
      </c>
      <c r="E98">
        <v>-35</v>
      </c>
      <c r="F98">
        <v>0</v>
      </c>
      <c r="G98">
        <v>15</v>
      </c>
      <c r="H98">
        <v>0</v>
      </c>
      <c r="I98">
        <v>-1</v>
      </c>
      <c r="J98">
        <v>1</v>
      </c>
      <c r="K98">
        <v>0</v>
      </c>
      <c r="L98">
        <v>-1</v>
      </c>
      <c r="M98">
        <v>0</v>
      </c>
      <c r="N98">
        <v>-1</v>
      </c>
      <c r="O98">
        <v>0.13254379610922901</v>
      </c>
      <c r="P98">
        <v>3.39200130620475</v>
      </c>
      <c r="Q98">
        <v>75.761618820548094</v>
      </c>
      <c r="R98">
        <v>0</v>
      </c>
      <c r="S98">
        <v>-3.6861619999999998E-2</v>
      </c>
      <c r="T98">
        <v>2.741505E-2</v>
      </c>
      <c r="U98">
        <v>2.6204890000000002E-2</v>
      </c>
      <c r="V98">
        <v>0.17979349999999999</v>
      </c>
      <c r="W98">
        <v>-0.76023390000000002</v>
      </c>
      <c r="X98">
        <f t="shared" si="1"/>
        <v>0.17979349999999999</v>
      </c>
    </row>
    <row r="99" spans="1:24" x14ac:dyDescent="0.45">
      <c r="A99">
        <v>1040</v>
      </c>
      <c r="B99">
        <v>2</v>
      </c>
      <c r="C99">
        <v>3</v>
      </c>
      <c r="D99">
        <v>8</v>
      </c>
      <c r="E99">
        <v>-45</v>
      </c>
      <c r="F99">
        <v>0</v>
      </c>
      <c r="G99">
        <v>5</v>
      </c>
      <c r="H99">
        <v>-3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0.115849750173337</v>
      </c>
      <c r="P99">
        <v>2.7169126303341899</v>
      </c>
      <c r="Q99">
        <v>68.424387754903293</v>
      </c>
      <c r="R99">
        <v>-3</v>
      </c>
      <c r="S99">
        <v>-2.7610060000000001</v>
      </c>
      <c r="T99">
        <v>-3.1750340000000001</v>
      </c>
      <c r="U99">
        <v>-3.5563639999999999</v>
      </c>
      <c r="V99">
        <v>-3.8507959999999999</v>
      </c>
      <c r="W99">
        <v>-4.1248690000000003</v>
      </c>
      <c r="X99">
        <f t="shared" si="1"/>
        <v>0.85079599999999989</v>
      </c>
    </row>
    <row r="100" spans="1:24" x14ac:dyDescent="0.45">
      <c r="A100">
        <v>1040</v>
      </c>
      <c r="B100">
        <v>3</v>
      </c>
      <c r="C100">
        <v>1</v>
      </c>
      <c r="D100">
        <v>3</v>
      </c>
      <c r="E100">
        <v>-35</v>
      </c>
      <c r="F100">
        <v>0</v>
      </c>
      <c r="G100">
        <v>15</v>
      </c>
      <c r="H100">
        <v>-3</v>
      </c>
      <c r="I100">
        <v>0</v>
      </c>
      <c r="J100">
        <v>1</v>
      </c>
      <c r="K100">
        <v>-1</v>
      </c>
      <c r="L100">
        <v>1</v>
      </c>
      <c r="M100">
        <v>1</v>
      </c>
      <c r="N100">
        <v>1</v>
      </c>
      <c r="O100">
        <v>0.158928916016155</v>
      </c>
      <c r="P100">
        <v>1.5545534832536001</v>
      </c>
      <c r="Q100">
        <v>74.989280291441702</v>
      </c>
      <c r="R100">
        <v>-3</v>
      </c>
      <c r="S100">
        <v>-3</v>
      </c>
      <c r="T100">
        <v>-3.6557590000000002</v>
      </c>
      <c r="U100">
        <v>-4.2097040000000003</v>
      </c>
      <c r="V100">
        <v>-4.498062</v>
      </c>
      <c r="W100">
        <v>-4.4980510000000002</v>
      </c>
      <c r="X100">
        <f t="shared" si="1"/>
        <v>1.498062</v>
      </c>
    </row>
    <row r="101" spans="1:24" x14ac:dyDescent="0.45">
      <c r="A101">
        <v>1040</v>
      </c>
      <c r="B101">
        <v>4</v>
      </c>
      <c r="C101">
        <v>1</v>
      </c>
      <c r="D101">
        <v>6</v>
      </c>
      <c r="E101">
        <v>-35</v>
      </c>
      <c r="F101">
        <v>3</v>
      </c>
      <c r="G101">
        <v>15</v>
      </c>
      <c r="H101">
        <v>3</v>
      </c>
      <c r="I101">
        <v>-2</v>
      </c>
      <c r="J101">
        <v>0</v>
      </c>
      <c r="K101">
        <v>0</v>
      </c>
      <c r="L101">
        <v>-2</v>
      </c>
      <c r="M101">
        <v>-1</v>
      </c>
      <c r="N101">
        <v>-1</v>
      </c>
      <c r="O101">
        <v>0.19278920164268901</v>
      </c>
      <c r="P101">
        <v>2.4081407507824499</v>
      </c>
      <c r="Q101">
        <v>35.441003000938501</v>
      </c>
      <c r="R101">
        <v>0</v>
      </c>
      <c r="S101">
        <v>1.3533989999999999E-2</v>
      </c>
      <c r="T101">
        <v>-4.5372750000000003E-2</v>
      </c>
      <c r="U101">
        <v>-0.1472591</v>
      </c>
      <c r="V101">
        <v>-0.23846300000000001</v>
      </c>
      <c r="W101">
        <v>2.4555469999999999E-2</v>
      </c>
      <c r="X101">
        <f t="shared" si="1"/>
        <v>0.23846300000000001</v>
      </c>
    </row>
    <row r="102" spans="1:24" x14ac:dyDescent="0.45">
      <c r="A102">
        <v>1040</v>
      </c>
      <c r="B102">
        <v>5</v>
      </c>
      <c r="C102">
        <v>3</v>
      </c>
      <c r="D102">
        <v>4</v>
      </c>
      <c r="E102">
        <v>-45</v>
      </c>
      <c r="F102">
        <v>0</v>
      </c>
      <c r="G102">
        <v>5</v>
      </c>
      <c r="H102">
        <v>3</v>
      </c>
      <c r="I102">
        <v>2</v>
      </c>
      <c r="J102">
        <v>0</v>
      </c>
      <c r="K102">
        <v>2</v>
      </c>
      <c r="L102">
        <v>2</v>
      </c>
      <c r="M102">
        <v>-1</v>
      </c>
      <c r="N102">
        <v>2</v>
      </c>
      <c r="O102">
        <v>0.138287225086063</v>
      </c>
      <c r="P102">
        <v>2.57593263682356</v>
      </c>
      <c r="Q102">
        <v>68.363547707212803</v>
      </c>
      <c r="R102">
        <v>3</v>
      </c>
      <c r="S102">
        <v>3</v>
      </c>
      <c r="T102">
        <v>2.5876039999999998</v>
      </c>
      <c r="U102">
        <v>1.131235</v>
      </c>
      <c r="V102">
        <v>0.30691109999999999</v>
      </c>
      <c r="W102">
        <v>0.3646819</v>
      </c>
      <c r="X102">
        <f t="shared" si="1"/>
        <v>2.6930889000000002</v>
      </c>
    </row>
    <row r="103" spans="1:24" x14ac:dyDescent="0.45">
      <c r="A103">
        <v>1040</v>
      </c>
      <c r="B103">
        <v>6</v>
      </c>
      <c r="C103">
        <v>2</v>
      </c>
      <c r="D103">
        <v>5</v>
      </c>
      <c r="E103">
        <v>-35</v>
      </c>
      <c r="F103">
        <v>0</v>
      </c>
      <c r="G103">
        <v>15</v>
      </c>
      <c r="H103">
        <v>0</v>
      </c>
      <c r="I103">
        <v>1</v>
      </c>
      <c r="J103">
        <v>1</v>
      </c>
      <c r="K103">
        <v>1</v>
      </c>
      <c r="L103">
        <v>-1</v>
      </c>
      <c r="M103">
        <v>0</v>
      </c>
      <c r="N103">
        <v>0</v>
      </c>
      <c r="O103">
        <v>0.10815834787275</v>
      </c>
      <c r="P103">
        <v>1.2810880236639299</v>
      </c>
      <c r="Q103">
        <v>76.497725026626398</v>
      </c>
      <c r="R103">
        <v>3</v>
      </c>
      <c r="S103">
        <v>3</v>
      </c>
      <c r="T103">
        <v>2.9117890000000002</v>
      </c>
      <c r="U103">
        <v>2.4830999999999999</v>
      </c>
      <c r="V103">
        <v>2.236354</v>
      </c>
      <c r="W103">
        <v>2.172085</v>
      </c>
      <c r="X103">
        <f t="shared" si="1"/>
        <v>0.76364600000000005</v>
      </c>
    </row>
    <row r="104" spans="1:24" x14ac:dyDescent="0.45">
      <c r="A104">
        <v>1040</v>
      </c>
      <c r="B104">
        <v>7</v>
      </c>
      <c r="C104">
        <v>1</v>
      </c>
      <c r="D104">
        <v>2</v>
      </c>
      <c r="E104">
        <v>-35</v>
      </c>
      <c r="F104">
        <v>-3</v>
      </c>
      <c r="G104">
        <v>15</v>
      </c>
      <c r="H104">
        <v>-3</v>
      </c>
      <c r="I104">
        <v>-2</v>
      </c>
      <c r="J104">
        <v>0</v>
      </c>
      <c r="K104">
        <v>0</v>
      </c>
      <c r="L104">
        <v>-1</v>
      </c>
      <c r="M104">
        <v>0</v>
      </c>
      <c r="N104">
        <v>-1</v>
      </c>
      <c r="O104">
        <v>0.143129911924995</v>
      </c>
      <c r="P104">
        <v>3.2754779075271498</v>
      </c>
      <c r="Q104">
        <v>78.060950891193301</v>
      </c>
      <c r="R104">
        <v>-3</v>
      </c>
      <c r="S104">
        <v>-2.9699990000000001</v>
      </c>
      <c r="T104">
        <v>-2.6854900000000002</v>
      </c>
      <c r="U104">
        <v>-2.881259</v>
      </c>
      <c r="V104">
        <v>-3.2703579999999999</v>
      </c>
      <c r="W104">
        <v>-3.2869120000000001</v>
      </c>
      <c r="X104">
        <f t="shared" si="1"/>
        <v>0.27035799999999988</v>
      </c>
    </row>
    <row r="105" spans="1:24" x14ac:dyDescent="0.45">
      <c r="A105">
        <v>1040</v>
      </c>
      <c r="B105">
        <v>8</v>
      </c>
      <c r="C105">
        <v>3</v>
      </c>
      <c r="D105">
        <v>6</v>
      </c>
      <c r="E105">
        <v>-35</v>
      </c>
      <c r="F105">
        <v>3</v>
      </c>
      <c r="G105">
        <v>15</v>
      </c>
      <c r="H105">
        <v>3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0.103195817251945</v>
      </c>
      <c r="P105">
        <v>1.6283276977238601</v>
      </c>
      <c r="Q105">
        <v>76.571296327001804</v>
      </c>
      <c r="R105">
        <v>0</v>
      </c>
      <c r="S105">
        <v>0.16092390000000001</v>
      </c>
      <c r="T105">
        <v>0.18046309999999999</v>
      </c>
      <c r="U105">
        <v>0.17541129999999999</v>
      </c>
      <c r="V105">
        <v>0.1401307</v>
      </c>
      <c r="W105">
        <v>0.2488813</v>
      </c>
      <c r="X105">
        <f t="shared" si="1"/>
        <v>0.1401307</v>
      </c>
    </row>
    <row r="106" spans="1:24" x14ac:dyDescent="0.45">
      <c r="A106">
        <v>1040</v>
      </c>
      <c r="B106">
        <v>9</v>
      </c>
      <c r="C106">
        <v>2</v>
      </c>
      <c r="D106">
        <v>3</v>
      </c>
      <c r="E106">
        <v>-35</v>
      </c>
      <c r="F106">
        <v>0</v>
      </c>
      <c r="G106">
        <v>15</v>
      </c>
      <c r="H106">
        <v>-3</v>
      </c>
      <c r="I106">
        <v>0</v>
      </c>
      <c r="J106">
        <v>1</v>
      </c>
      <c r="K106">
        <v>0</v>
      </c>
      <c r="L106">
        <v>-1</v>
      </c>
      <c r="M106">
        <v>0</v>
      </c>
      <c r="N106">
        <v>-1</v>
      </c>
      <c r="O106">
        <v>0.12510640829780101</v>
      </c>
      <c r="P106">
        <v>1.0297172775040799</v>
      </c>
      <c r="Q106">
        <v>76.688683884111995</v>
      </c>
      <c r="R106">
        <v>-3</v>
      </c>
      <c r="S106">
        <v>-3</v>
      </c>
      <c r="T106">
        <v>-3.6118969999999999</v>
      </c>
      <c r="U106">
        <v>-4.1327249999999998</v>
      </c>
      <c r="V106">
        <v>-4.498024</v>
      </c>
      <c r="W106">
        <v>-4.498094</v>
      </c>
      <c r="X106">
        <f t="shared" si="1"/>
        <v>1.498024</v>
      </c>
    </row>
    <row r="107" spans="1:24" x14ac:dyDescent="0.45">
      <c r="A107">
        <v>1040</v>
      </c>
      <c r="B107">
        <v>10</v>
      </c>
      <c r="C107">
        <v>2</v>
      </c>
      <c r="D107">
        <v>8</v>
      </c>
      <c r="E107">
        <v>-45</v>
      </c>
      <c r="F107">
        <v>0</v>
      </c>
      <c r="G107">
        <v>5</v>
      </c>
      <c r="H107">
        <v>-3</v>
      </c>
      <c r="I107">
        <v>-1</v>
      </c>
      <c r="J107">
        <v>-1</v>
      </c>
      <c r="K107">
        <v>-1</v>
      </c>
      <c r="L107">
        <v>-1</v>
      </c>
      <c r="M107">
        <v>0</v>
      </c>
      <c r="N107">
        <v>-1</v>
      </c>
      <c r="O107">
        <v>0.108966442994836</v>
      </c>
      <c r="P107">
        <v>2.6561673127235599</v>
      </c>
      <c r="Q107">
        <v>67.082038510833399</v>
      </c>
      <c r="R107">
        <v>-3</v>
      </c>
      <c r="S107">
        <v>-2.9967760000000001</v>
      </c>
      <c r="T107">
        <v>-2.7009889999999999</v>
      </c>
      <c r="U107">
        <v>-2.4910830000000002</v>
      </c>
      <c r="V107">
        <v>-2.1631339999999999</v>
      </c>
      <c r="W107">
        <v>-1.845647</v>
      </c>
      <c r="X107">
        <f t="shared" si="1"/>
        <v>0.83686600000000011</v>
      </c>
    </row>
    <row r="108" spans="1:24" x14ac:dyDescent="0.45">
      <c r="A108">
        <v>1040</v>
      </c>
      <c r="B108">
        <v>11</v>
      </c>
      <c r="C108">
        <v>3</v>
      </c>
      <c r="D108">
        <v>1</v>
      </c>
      <c r="E108">
        <v>-35</v>
      </c>
      <c r="F108">
        <v>0</v>
      </c>
      <c r="G108">
        <v>15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0.103434122456651</v>
      </c>
      <c r="P108">
        <v>1.23669958624569</v>
      </c>
      <c r="Q108">
        <v>76.419118785489403</v>
      </c>
      <c r="R108">
        <v>0</v>
      </c>
      <c r="S108">
        <v>-1.115906E-4</v>
      </c>
      <c r="T108">
        <v>-0.66792960000000001</v>
      </c>
      <c r="U108">
        <v>-1.268645</v>
      </c>
      <c r="V108">
        <v>-1.8965320000000001</v>
      </c>
      <c r="W108">
        <v>-2.4514490000000002</v>
      </c>
      <c r="X108">
        <f t="shared" si="1"/>
        <v>1.8965320000000001</v>
      </c>
    </row>
    <row r="109" spans="1:24" x14ac:dyDescent="0.45">
      <c r="A109">
        <v>1040</v>
      </c>
      <c r="B109">
        <v>12</v>
      </c>
      <c r="C109">
        <v>1</v>
      </c>
      <c r="D109">
        <v>7</v>
      </c>
      <c r="E109">
        <v>-35</v>
      </c>
      <c r="F109">
        <v>0</v>
      </c>
      <c r="G109">
        <v>15</v>
      </c>
      <c r="H109">
        <v>3</v>
      </c>
      <c r="I109">
        <v>-1</v>
      </c>
      <c r="J109">
        <v>-1</v>
      </c>
      <c r="K109">
        <v>-1</v>
      </c>
      <c r="L109">
        <v>-1</v>
      </c>
      <c r="M109">
        <v>-2</v>
      </c>
      <c r="N109">
        <v>-1</v>
      </c>
      <c r="O109">
        <v>0.116670045325908</v>
      </c>
      <c r="P109">
        <v>1.91854309858095</v>
      </c>
      <c r="Q109">
        <v>78.092316247155296</v>
      </c>
      <c r="R109">
        <v>3</v>
      </c>
      <c r="S109">
        <v>3</v>
      </c>
      <c r="T109">
        <v>2.922275</v>
      </c>
      <c r="U109">
        <v>2.9166590000000001</v>
      </c>
      <c r="V109">
        <v>3.0103330000000001</v>
      </c>
      <c r="W109">
        <v>3.0814439999999998</v>
      </c>
      <c r="X109">
        <f t="shared" si="1"/>
        <v>1.0333000000000148E-2</v>
      </c>
    </row>
    <row r="110" spans="1:24" x14ac:dyDescent="0.45">
      <c r="A110">
        <v>1040</v>
      </c>
      <c r="B110">
        <v>13</v>
      </c>
      <c r="C110">
        <v>3</v>
      </c>
      <c r="D110">
        <v>3</v>
      </c>
      <c r="E110">
        <v>-35</v>
      </c>
      <c r="F110">
        <v>0</v>
      </c>
      <c r="G110">
        <v>15</v>
      </c>
      <c r="H110">
        <v>-3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>
        <v>0.107097228299109</v>
      </c>
      <c r="P110">
        <v>1.4437052112741799</v>
      </c>
      <c r="Q110">
        <v>76.852460574010706</v>
      </c>
      <c r="R110">
        <v>-3</v>
      </c>
      <c r="S110">
        <v>-3</v>
      </c>
      <c r="T110">
        <v>-3.12079</v>
      </c>
      <c r="U110">
        <v>-3.2520359999999999</v>
      </c>
      <c r="V110">
        <v>-3.475895</v>
      </c>
      <c r="W110">
        <v>-3.7439800000000001</v>
      </c>
      <c r="X110">
        <f t="shared" si="1"/>
        <v>0.47589499999999996</v>
      </c>
    </row>
    <row r="111" spans="1:24" x14ac:dyDescent="0.45">
      <c r="A111">
        <v>1040</v>
      </c>
      <c r="B111">
        <v>14</v>
      </c>
      <c r="C111">
        <v>3</v>
      </c>
      <c r="D111">
        <v>5</v>
      </c>
      <c r="E111">
        <v>-35</v>
      </c>
      <c r="F111">
        <v>0</v>
      </c>
      <c r="G111">
        <v>15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0.10695518677735</v>
      </c>
      <c r="P111">
        <v>1.44987111595916</v>
      </c>
      <c r="Q111">
        <v>77.530040559801606</v>
      </c>
      <c r="R111">
        <v>3</v>
      </c>
      <c r="S111">
        <v>3.0210050000000002</v>
      </c>
      <c r="T111">
        <v>2.741984</v>
      </c>
      <c r="U111">
        <v>2.4816950000000002</v>
      </c>
      <c r="V111">
        <v>2.415178</v>
      </c>
      <c r="W111">
        <v>2.4105699999999999</v>
      </c>
      <c r="X111">
        <f t="shared" si="1"/>
        <v>0.58482199999999995</v>
      </c>
    </row>
    <row r="112" spans="1:24" x14ac:dyDescent="0.45">
      <c r="A112">
        <v>1040</v>
      </c>
      <c r="B112">
        <v>15</v>
      </c>
      <c r="C112">
        <v>1</v>
      </c>
      <c r="D112">
        <v>4</v>
      </c>
      <c r="E112">
        <v>-45</v>
      </c>
      <c r="F112">
        <v>0</v>
      </c>
      <c r="G112">
        <v>5</v>
      </c>
      <c r="H112">
        <v>3</v>
      </c>
      <c r="I112">
        <v>-2</v>
      </c>
      <c r="J112">
        <v>-2</v>
      </c>
      <c r="K112">
        <v>-1</v>
      </c>
      <c r="L112">
        <v>-2</v>
      </c>
      <c r="M112">
        <v>-1</v>
      </c>
      <c r="N112">
        <v>-2</v>
      </c>
      <c r="O112">
        <v>0.14686249193803</v>
      </c>
      <c r="P112">
        <v>2.5733489812847301</v>
      </c>
      <c r="Q112">
        <v>67.735846678685505</v>
      </c>
      <c r="R112">
        <v>3</v>
      </c>
      <c r="S112">
        <v>2.998364</v>
      </c>
      <c r="T112">
        <v>2.1262539999999999</v>
      </c>
      <c r="U112">
        <v>1.370903</v>
      </c>
      <c r="V112">
        <v>0.61334909999999998</v>
      </c>
      <c r="W112">
        <v>-0.18051590000000001</v>
      </c>
      <c r="X112">
        <f t="shared" si="1"/>
        <v>2.3866509000000002</v>
      </c>
    </row>
    <row r="113" spans="1:24" x14ac:dyDescent="0.45">
      <c r="A113">
        <v>1040</v>
      </c>
      <c r="B113">
        <v>16</v>
      </c>
      <c r="C113">
        <v>2</v>
      </c>
      <c r="D113">
        <v>7</v>
      </c>
      <c r="E113">
        <v>-35</v>
      </c>
      <c r="F113">
        <v>0</v>
      </c>
      <c r="G113">
        <v>15</v>
      </c>
      <c r="H113">
        <v>3</v>
      </c>
      <c r="I113">
        <v>-1</v>
      </c>
      <c r="J113">
        <v>-2</v>
      </c>
      <c r="K113">
        <v>-1</v>
      </c>
      <c r="L113">
        <v>-2</v>
      </c>
      <c r="M113">
        <v>-2</v>
      </c>
      <c r="N113">
        <v>-2</v>
      </c>
      <c r="O113">
        <v>0.117330054834992</v>
      </c>
      <c r="P113">
        <v>1.23640190540797</v>
      </c>
      <c r="Q113">
        <v>77.486805473209202</v>
      </c>
      <c r="R113">
        <v>3</v>
      </c>
      <c r="S113">
        <v>2.9657969999999998</v>
      </c>
      <c r="T113">
        <v>2.8226200000000001</v>
      </c>
      <c r="U113">
        <v>2.721041</v>
      </c>
      <c r="V113">
        <v>2.6270500000000001</v>
      </c>
      <c r="W113">
        <v>2.5598920000000001</v>
      </c>
      <c r="X113">
        <f t="shared" si="1"/>
        <v>0.37294999999999989</v>
      </c>
    </row>
    <row r="114" spans="1:24" x14ac:dyDescent="0.45">
      <c r="A114">
        <v>1040</v>
      </c>
      <c r="B114">
        <v>17</v>
      </c>
      <c r="C114">
        <v>3</v>
      </c>
      <c r="D114">
        <v>2</v>
      </c>
      <c r="E114">
        <v>-35</v>
      </c>
      <c r="F114">
        <v>-3</v>
      </c>
      <c r="G114">
        <v>15</v>
      </c>
      <c r="H114">
        <v>-3</v>
      </c>
      <c r="I114">
        <v>2</v>
      </c>
      <c r="J114">
        <v>1</v>
      </c>
      <c r="K114">
        <v>2</v>
      </c>
      <c r="L114">
        <v>2</v>
      </c>
      <c r="M114">
        <v>1</v>
      </c>
      <c r="N114">
        <v>2</v>
      </c>
      <c r="O114">
        <v>0.121650673033577</v>
      </c>
      <c r="P114">
        <v>0.429620845210886</v>
      </c>
      <c r="Q114">
        <v>77.171947976078002</v>
      </c>
      <c r="R114">
        <v>-3</v>
      </c>
      <c r="S114">
        <v>-3.0056579999999999</v>
      </c>
      <c r="T114">
        <v>-3.2390560000000002</v>
      </c>
      <c r="U114">
        <v>-3.4821759999999999</v>
      </c>
      <c r="V114">
        <v>-3.7499549999999999</v>
      </c>
      <c r="W114">
        <v>-3.9198689999999998</v>
      </c>
      <c r="X114">
        <f t="shared" si="1"/>
        <v>0.74995499999999993</v>
      </c>
    </row>
    <row r="115" spans="1:24" x14ac:dyDescent="0.45">
      <c r="A115">
        <v>1040</v>
      </c>
      <c r="B115">
        <v>18</v>
      </c>
      <c r="C115">
        <v>2</v>
      </c>
      <c r="D115">
        <v>6</v>
      </c>
      <c r="E115">
        <v>-35</v>
      </c>
      <c r="F115">
        <v>3</v>
      </c>
      <c r="G115">
        <v>15</v>
      </c>
      <c r="H115">
        <v>3</v>
      </c>
      <c r="I115">
        <v>-2</v>
      </c>
      <c r="J115">
        <v>-2</v>
      </c>
      <c r="K115">
        <v>2</v>
      </c>
      <c r="L115">
        <v>-2</v>
      </c>
      <c r="M115">
        <v>-2</v>
      </c>
      <c r="N115">
        <v>-2</v>
      </c>
      <c r="O115">
        <v>0.177952374033331</v>
      </c>
      <c r="P115">
        <v>2.5363757395257598</v>
      </c>
      <c r="Q115">
        <v>78.428212668201397</v>
      </c>
      <c r="R115">
        <v>0</v>
      </c>
      <c r="S115">
        <v>6.6112749999999998E-3</v>
      </c>
      <c r="T115">
        <v>0.34965570000000001</v>
      </c>
      <c r="U115">
        <v>0.6485938</v>
      </c>
      <c r="V115">
        <v>0.87295290000000003</v>
      </c>
      <c r="W115">
        <v>1.0300389999999999</v>
      </c>
      <c r="X115">
        <f t="shared" si="1"/>
        <v>0.87295290000000003</v>
      </c>
    </row>
    <row r="116" spans="1:24" x14ac:dyDescent="0.45">
      <c r="A116">
        <v>1040</v>
      </c>
      <c r="B116">
        <v>19</v>
      </c>
      <c r="C116">
        <v>1</v>
      </c>
      <c r="D116">
        <v>1</v>
      </c>
      <c r="E116">
        <v>-35</v>
      </c>
      <c r="F116">
        <v>0</v>
      </c>
      <c r="G116">
        <v>15</v>
      </c>
      <c r="H116">
        <v>0</v>
      </c>
      <c r="I116">
        <v>-1</v>
      </c>
      <c r="J116">
        <v>-1</v>
      </c>
      <c r="K116">
        <v>-2</v>
      </c>
      <c r="L116">
        <v>-1</v>
      </c>
      <c r="M116">
        <v>-1</v>
      </c>
      <c r="N116">
        <v>-1</v>
      </c>
      <c r="O116">
        <v>0.14153723020185499</v>
      </c>
      <c r="P116">
        <v>1.42070384875371</v>
      </c>
      <c r="Q116">
        <v>76.823546540010994</v>
      </c>
      <c r="R116">
        <v>0</v>
      </c>
      <c r="S116">
        <v>0</v>
      </c>
      <c r="T116">
        <v>-0.25696970000000002</v>
      </c>
      <c r="U116">
        <v>-1.0679860000000001</v>
      </c>
      <c r="V116">
        <v>-1.603243</v>
      </c>
      <c r="W116">
        <v>-2.121553</v>
      </c>
      <c r="X116">
        <f t="shared" si="1"/>
        <v>1.603243</v>
      </c>
    </row>
    <row r="117" spans="1:24" x14ac:dyDescent="0.45">
      <c r="A117">
        <v>1040</v>
      </c>
      <c r="B117">
        <v>20</v>
      </c>
      <c r="C117">
        <v>1</v>
      </c>
      <c r="D117">
        <v>8</v>
      </c>
      <c r="E117">
        <v>-45</v>
      </c>
      <c r="F117">
        <v>0</v>
      </c>
      <c r="G117">
        <v>5</v>
      </c>
      <c r="H117">
        <v>-3</v>
      </c>
      <c r="I117">
        <v>-1</v>
      </c>
      <c r="J117">
        <v>-1</v>
      </c>
      <c r="K117">
        <v>-2</v>
      </c>
      <c r="L117">
        <v>-2</v>
      </c>
      <c r="M117">
        <v>-1</v>
      </c>
      <c r="N117">
        <v>-1</v>
      </c>
      <c r="O117">
        <v>0.13635595877797901</v>
      </c>
      <c r="P117">
        <v>3.64433107924128</v>
      </c>
      <c r="Q117">
        <v>67.327244373328199</v>
      </c>
      <c r="R117">
        <v>-3</v>
      </c>
      <c r="S117">
        <v>-3.2953600000000001</v>
      </c>
      <c r="T117">
        <v>-3.0503969999999998</v>
      </c>
      <c r="U117">
        <v>-2.7194419999999999</v>
      </c>
      <c r="V117">
        <v>-2.378714</v>
      </c>
      <c r="W117">
        <v>-1.86067</v>
      </c>
      <c r="X117">
        <f t="shared" si="1"/>
        <v>0.621286</v>
      </c>
    </row>
    <row r="118" spans="1:24" x14ac:dyDescent="0.45">
      <c r="A118">
        <v>1040</v>
      </c>
      <c r="B118">
        <v>21</v>
      </c>
      <c r="C118">
        <v>2</v>
      </c>
      <c r="D118">
        <v>2</v>
      </c>
      <c r="E118">
        <v>-35</v>
      </c>
      <c r="F118">
        <v>-3</v>
      </c>
      <c r="G118">
        <v>15</v>
      </c>
      <c r="H118">
        <v>-3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0.128996276652035</v>
      </c>
      <c r="P118">
        <v>0.75047726894659395</v>
      </c>
      <c r="Q118">
        <v>76.718775843219404</v>
      </c>
      <c r="R118">
        <v>-3</v>
      </c>
      <c r="S118">
        <v>-3.1333700000000002</v>
      </c>
      <c r="T118">
        <v>-3.7674820000000002</v>
      </c>
      <c r="U118">
        <v>-4.0737649999999999</v>
      </c>
      <c r="V118">
        <v>-4.197635</v>
      </c>
      <c r="W118">
        <v>-4.2837529999999999</v>
      </c>
      <c r="X118">
        <f t="shared" si="1"/>
        <v>1.197635</v>
      </c>
    </row>
    <row r="119" spans="1:24" x14ac:dyDescent="0.45">
      <c r="A119">
        <v>1040</v>
      </c>
      <c r="B119">
        <v>22</v>
      </c>
      <c r="C119">
        <v>3</v>
      </c>
      <c r="D119">
        <v>7</v>
      </c>
      <c r="E119">
        <v>-35</v>
      </c>
      <c r="F119">
        <v>0</v>
      </c>
      <c r="G119">
        <v>15</v>
      </c>
      <c r="H119">
        <v>3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1</v>
      </c>
      <c r="O119">
        <v>0.114342449548489</v>
      </c>
      <c r="P119">
        <v>0.83388974167975904</v>
      </c>
      <c r="Q119">
        <v>77.475459683762395</v>
      </c>
      <c r="R119">
        <v>3</v>
      </c>
      <c r="S119">
        <v>2.9990239999999999</v>
      </c>
      <c r="T119">
        <v>3.214823</v>
      </c>
      <c r="U119">
        <v>3.4156659999999999</v>
      </c>
      <c r="V119">
        <v>3.6051250000000001</v>
      </c>
      <c r="W119">
        <v>3.7482340000000001</v>
      </c>
      <c r="X119">
        <f t="shared" si="1"/>
        <v>0.60512500000000014</v>
      </c>
    </row>
    <row r="120" spans="1:24" x14ac:dyDescent="0.45">
      <c r="A120">
        <v>1040</v>
      </c>
      <c r="B120">
        <v>23</v>
      </c>
      <c r="C120">
        <v>2</v>
      </c>
      <c r="D120">
        <v>4</v>
      </c>
      <c r="E120">
        <v>-45</v>
      </c>
      <c r="F120">
        <v>0</v>
      </c>
      <c r="G120">
        <v>5</v>
      </c>
      <c r="H120">
        <v>3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1</v>
      </c>
      <c r="O120">
        <v>0.112656792953715</v>
      </c>
      <c r="P120">
        <v>2.0318072131270801</v>
      </c>
      <c r="Q120">
        <v>67.376430370157294</v>
      </c>
      <c r="R120">
        <v>3</v>
      </c>
      <c r="S120">
        <v>3</v>
      </c>
      <c r="T120">
        <v>2.0343939999999998</v>
      </c>
      <c r="U120">
        <v>1.2481230000000001</v>
      </c>
      <c r="V120">
        <v>0.50318609999999997</v>
      </c>
      <c r="W120">
        <v>-0.25756489999999999</v>
      </c>
      <c r="X120">
        <f t="shared" si="1"/>
        <v>2.4968139000000003</v>
      </c>
    </row>
    <row r="121" spans="1:24" x14ac:dyDescent="0.45">
      <c r="A121">
        <v>1040</v>
      </c>
      <c r="B121">
        <v>24</v>
      </c>
      <c r="C121">
        <v>1</v>
      </c>
      <c r="D121">
        <v>5</v>
      </c>
      <c r="E121">
        <v>-35</v>
      </c>
      <c r="F121">
        <v>0</v>
      </c>
      <c r="G121">
        <v>15</v>
      </c>
      <c r="H121">
        <v>0</v>
      </c>
      <c r="I121">
        <v>-1</v>
      </c>
      <c r="J121">
        <v>-1</v>
      </c>
      <c r="K121">
        <v>0</v>
      </c>
      <c r="L121">
        <v>0</v>
      </c>
      <c r="M121">
        <v>0</v>
      </c>
      <c r="N121">
        <v>0</v>
      </c>
      <c r="O121">
        <v>0.13357601775431399</v>
      </c>
      <c r="P121">
        <v>3.1871858174762502</v>
      </c>
      <c r="Q121">
        <v>77.813792816847396</v>
      </c>
      <c r="R121">
        <v>3</v>
      </c>
      <c r="S121">
        <v>2.949408</v>
      </c>
      <c r="T121">
        <v>2.3840430000000001</v>
      </c>
      <c r="U121">
        <v>2.060022</v>
      </c>
      <c r="V121">
        <v>1.8288530000000001</v>
      </c>
      <c r="W121">
        <v>1.5898779999999999</v>
      </c>
      <c r="X121">
        <f t="shared" si="1"/>
        <v>1.1711469999999999</v>
      </c>
    </row>
    <row r="122" spans="1:24" x14ac:dyDescent="0.45">
      <c r="A122">
        <v>1050</v>
      </c>
      <c r="B122">
        <v>1</v>
      </c>
      <c r="C122">
        <v>2</v>
      </c>
      <c r="D122">
        <v>1</v>
      </c>
      <c r="E122">
        <v>-35</v>
      </c>
      <c r="F122">
        <v>0</v>
      </c>
      <c r="G122">
        <v>15</v>
      </c>
      <c r="H122">
        <v>0</v>
      </c>
      <c r="I122">
        <v>1</v>
      </c>
      <c r="J122">
        <v>-1</v>
      </c>
      <c r="K122">
        <v>2</v>
      </c>
      <c r="L122">
        <v>-1</v>
      </c>
      <c r="M122">
        <v>0</v>
      </c>
      <c r="N122">
        <v>0</v>
      </c>
      <c r="O122">
        <v>0.17190008814791</v>
      </c>
      <c r="P122">
        <v>4.9044972823157602</v>
      </c>
      <c r="Q122">
        <v>77.537247105534803</v>
      </c>
      <c r="R122">
        <v>0</v>
      </c>
      <c r="S122">
        <v>0</v>
      </c>
      <c r="T122">
        <v>-0.1794114</v>
      </c>
      <c r="U122">
        <v>-0.1000016</v>
      </c>
      <c r="V122">
        <v>1.3995150000000001</v>
      </c>
      <c r="W122">
        <v>2.9539780000000002</v>
      </c>
      <c r="X122">
        <f t="shared" si="1"/>
        <v>1.3995150000000001</v>
      </c>
    </row>
    <row r="123" spans="1:24" x14ac:dyDescent="0.45">
      <c r="A123">
        <v>1050</v>
      </c>
      <c r="B123">
        <v>2</v>
      </c>
      <c r="C123">
        <v>3</v>
      </c>
      <c r="D123">
        <v>8</v>
      </c>
      <c r="E123">
        <v>-45</v>
      </c>
      <c r="F123">
        <v>0</v>
      </c>
      <c r="G123">
        <v>5</v>
      </c>
      <c r="H123">
        <v>-3</v>
      </c>
      <c r="I123">
        <v>-1</v>
      </c>
      <c r="J123">
        <v>-1</v>
      </c>
      <c r="K123">
        <v>1</v>
      </c>
      <c r="L123">
        <v>-1</v>
      </c>
      <c r="M123">
        <v>0</v>
      </c>
      <c r="N123">
        <v>-1</v>
      </c>
      <c r="O123">
        <v>0.22453222471078901</v>
      </c>
      <c r="P123">
        <v>6.3066211942363797</v>
      </c>
      <c r="Q123">
        <v>67.064044808793398</v>
      </c>
      <c r="R123">
        <v>-3</v>
      </c>
      <c r="S123">
        <v>-3</v>
      </c>
      <c r="T123">
        <v>-1.2895129999999999</v>
      </c>
      <c r="U123">
        <v>-1.2777959999999999</v>
      </c>
      <c r="V123">
        <v>-2.0281920000000002</v>
      </c>
      <c r="W123">
        <v>-2.5192410000000001</v>
      </c>
      <c r="X123">
        <f t="shared" si="1"/>
        <v>0.97180799999999978</v>
      </c>
    </row>
    <row r="124" spans="1:24" x14ac:dyDescent="0.45">
      <c r="A124">
        <v>1050</v>
      </c>
      <c r="B124">
        <v>3</v>
      </c>
      <c r="C124">
        <v>1</v>
      </c>
      <c r="D124">
        <v>3</v>
      </c>
      <c r="E124">
        <v>-35</v>
      </c>
      <c r="F124">
        <v>0</v>
      </c>
      <c r="G124">
        <v>15</v>
      </c>
      <c r="H124">
        <v>-3</v>
      </c>
      <c r="I124">
        <v>-2</v>
      </c>
      <c r="J124">
        <v>2</v>
      </c>
      <c r="K124">
        <v>-2</v>
      </c>
      <c r="L124">
        <v>-2</v>
      </c>
      <c r="M124">
        <v>-2</v>
      </c>
      <c r="N124">
        <v>-1</v>
      </c>
      <c r="O124">
        <v>0.13091766146978001</v>
      </c>
      <c r="P124">
        <v>2.7175171579570501</v>
      </c>
      <c r="Q124">
        <v>76.134247019952198</v>
      </c>
      <c r="R124">
        <v>-3</v>
      </c>
      <c r="S124">
        <v>-3</v>
      </c>
      <c r="T124">
        <v>-3.213622</v>
      </c>
      <c r="U124">
        <v>-3.959746</v>
      </c>
      <c r="V124">
        <v>-4.1508690000000001</v>
      </c>
      <c r="W124">
        <v>-4.3256399999999999</v>
      </c>
      <c r="X124">
        <f t="shared" si="1"/>
        <v>1.1508690000000001</v>
      </c>
    </row>
    <row r="125" spans="1:24" x14ac:dyDescent="0.45">
      <c r="A125">
        <v>1050</v>
      </c>
      <c r="B125">
        <v>4</v>
      </c>
      <c r="C125">
        <v>1</v>
      </c>
      <c r="D125">
        <v>6</v>
      </c>
      <c r="E125">
        <v>-35</v>
      </c>
      <c r="F125">
        <v>3</v>
      </c>
      <c r="G125">
        <v>15</v>
      </c>
      <c r="H125">
        <v>3</v>
      </c>
      <c r="I125">
        <v>-2</v>
      </c>
      <c r="J125">
        <v>2</v>
      </c>
      <c r="K125">
        <v>-2</v>
      </c>
      <c r="L125">
        <v>-1</v>
      </c>
      <c r="M125">
        <v>-1</v>
      </c>
      <c r="N125">
        <v>-1</v>
      </c>
      <c r="O125">
        <v>0.14375461065983899</v>
      </c>
      <c r="P125">
        <v>3.0787923663578001</v>
      </c>
      <c r="Q125">
        <v>76.186644050977193</v>
      </c>
      <c r="R125">
        <v>0</v>
      </c>
      <c r="S125">
        <v>0</v>
      </c>
      <c r="T125">
        <v>0.77236740000000004</v>
      </c>
      <c r="U125">
        <v>2.3342269999999998</v>
      </c>
      <c r="V125">
        <v>3.8539690000000002</v>
      </c>
      <c r="W125">
        <v>4.4969229999999998</v>
      </c>
      <c r="X125">
        <f t="shared" si="1"/>
        <v>3.8539690000000002</v>
      </c>
    </row>
    <row r="126" spans="1:24" x14ac:dyDescent="0.45">
      <c r="A126">
        <v>1050</v>
      </c>
      <c r="B126">
        <v>5</v>
      </c>
      <c r="C126">
        <v>3</v>
      </c>
      <c r="D126">
        <v>4</v>
      </c>
      <c r="E126">
        <v>-45</v>
      </c>
      <c r="F126">
        <v>0</v>
      </c>
      <c r="G126">
        <v>5</v>
      </c>
      <c r="H126">
        <v>3</v>
      </c>
      <c r="I126">
        <v>1</v>
      </c>
      <c r="J126">
        <v>1</v>
      </c>
      <c r="K126">
        <v>2</v>
      </c>
      <c r="L126">
        <v>2</v>
      </c>
      <c r="M126">
        <v>2</v>
      </c>
      <c r="N126">
        <v>1</v>
      </c>
      <c r="O126">
        <v>0.12893596889721801</v>
      </c>
      <c r="P126">
        <v>3.1477809398733001</v>
      </c>
      <c r="Q126">
        <v>67.292221967294395</v>
      </c>
      <c r="R126">
        <v>3</v>
      </c>
      <c r="S126">
        <v>3</v>
      </c>
      <c r="T126">
        <v>2.5378509999999999</v>
      </c>
      <c r="U126">
        <v>0.68093939999999997</v>
      </c>
      <c r="V126">
        <v>-1.017935</v>
      </c>
      <c r="W126">
        <v>-2.449424</v>
      </c>
      <c r="X126">
        <f t="shared" si="1"/>
        <v>4.0179349999999996</v>
      </c>
    </row>
    <row r="127" spans="1:24" x14ac:dyDescent="0.45">
      <c r="A127">
        <v>1050</v>
      </c>
      <c r="B127">
        <v>6</v>
      </c>
      <c r="C127">
        <v>2</v>
      </c>
      <c r="D127">
        <v>5</v>
      </c>
      <c r="E127">
        <v>-35</v>
      </c>
      <c r="F127">
        <v>0</v>
      </c>
      <c r="G127">
        <v>15</v>
      </c>
      <c r="H127">
        <v>0</v>
      </c>
      <c r="I127">
        <v>-2</v>
      </c>
      <c r="J127">
        <v>2</v>
      </c>
      <c r="K127">
        <v>-2</v>
      </c>
      <c r="L127">
        <v>0</v>
      </c>
      <c r="M127">
        <v>2</v>
      </c>
      <c r="N127">
        <v>-1</v>
      </c>
      <c r="O127">
        <v>0.12736245351324499</v>
      </c>
      <c r="P127">
        <v>4.4006535474825199</v>
      </c>
      <c r="Q127">
        <v>77.660949634224593</v>
      </c>
      <c r="R127">
        <v>3</v>
      </c>
      <c r="S127">
        <v>3</v>
      </c>
      <c r="T127">
        <v>2.7286899999999998</v>
      </c>
      <c r="U127">
        <v>1.280332</v>
      </c>
      <c r="V127">
        <v>-0.29334450000000001</v>
      </c>
      <c r="W127">
        <v>-1.5046809999999999</v>
      </c>
      <c r="X127">
        <f t="shared" si="1"/>
        <v>3.2933444999999999</v>
      </c>
    </row>
    <row r="128" spans="1:24" x14ac:dyDescent="0.45">
      <c r="A128">
        <v>1050</v>
      </c>
      <c r="B128">
        <v>7</v>
      </c>
      <c r="C128">
        <v>1</v>
      </c>
      <c r="D128">
        <v>2</v>
      </c>
      <c r="E128">
        <v>-35</v>
      </c>
      <c r="F128">
        <v>-3</v>
      </c>
      <c r="G128">
        <v>15</v>
      </c>
      <c r="H128">
        <v>-3</v>
      </c>
      <c r="I128">
        <v>-2</v>
      </c>
      <c r="J128">
        <v>2</v>
      </c>
      <c r="K128">
        <v>-2</v>
      </c>
      <c r="L128">
        <v>-1</v>
      </c>
      <c r="M128">
        <v>1</v>
      </c>
      <c r="N128">
        <v>-1</v>
      </c>
      <c r="O128">
        <v>0.134781224745946</v>
      </c>
      <c r="P128">
        <v>3.5861976236024602</v>
      </c>
      <c r="Q128">
        <v>78.644708371961499</v>
      </c>
      <c r="R128">
        <v>-3</v>
      </c>
      <c r="S128">
        <v>-2.9095339999999998</v>
      </c>
      <c r="T128">
        <v>-1.2904979999999999</v>
      </c>
      <c r="U128">
        <v>0.33160489999999998</v>
      </c>
      <c r="V128">
        <v>1.8521300000000001</v>
      </c>
      <c r="W128">
        <v>2.8526449999999999</v>
      </c>
      <c r="X128">
        <f t="shared" si="1"/>
        <v>4.8521299999999998</v>
      </c>
    </row>
    <row r="129" spans="1:24" x14ac:dyDescent="0.45">
      <c r="A129">
        <v>1050</v>
      </c>
      <c r="B129">
        <v>8</v>
      </c>
      <c r="C129">
        <v>3</v>
      </c>
      <c r="D129">
        <v>6</v>
      </c>
      <c r="E129">
        <v>-35</v>
      </c>
      <c r="F129">
        <v>3</v>
      </c>
      <c r="G129">
        <v>15</v>
      </c>
      <c r="H129">
        <v>3</v>
      </c>
      <c r="I129">
        <v>1</v>
      </c>
      <c r="J129">
        <v>-1</v>
      </c>
      <c r="K129">
        <v>2</v>
      </c>
      <c r="L129">
        <v>1</v>
      </c>
      <c r="M129">
        <v>1</v>
      </c>
      <c r="N129">
        <v>1</v>
      </c>
      <c r="O129">
        <v>0.14800579363305499</v>
      </c>
      <c r="P129">
        <v>2.1156044178540601</v>
      </c>
      <c r="Q129">
        <v>75.756526832773702</v>
      </c>
      <c r="R129">
        <v>0</v>
      </c>
      <c r="S129">
        <v>0</v>
      </c>
      <c r="T129">
        <v>0.66601909999999998</v>
      </c>
      <c r="U129">
        <v>2.0734870000000001</v>
      </c>
      <c r="V129">
        <v>3.3397130000000002</v>
      </c>
      <c r="W129">
        <v>4.1008979999999999</v>
      </c>
      <c r="X129">
        <f t="shared" si="1"/>
        <v>3.3397130000000002</v>
      </c>
    </row>
    <row r="130" spans="1:24" x14ac:dyDescent="0.45">
      <c r="A130">
        <v>1050</v>
      </c>
      <c r="B130">
        <v>9</v>
      </c>
      <c r="C130">
        <v>2</v>
      </c>
      <c r="D130">
        <v>3</v>
      </c>
      <c r="E130">
        <v>-35</v>
      </c>
      <c r="F130">
        <v>0</v>
      </c>
      <c r="G130">
        <v>15</v>
      </c>
      <c r="H130">
        <v>-3</v>
      </c>
      <c r="I130">
        <v>1</v>
      </c>
      <c r="J130">
        <v>1</v>
      </c>
      <c r="K130">
        <v>1</v>
      </c>
      <c r="L130">
        <v>-1</v>
      </c>
      <c r="M130">
        <v>1</v>
      </c>
      <c r="N130">
        <v>0</v>
      </c>
      <c r="O130">
        <v>0.131830605406141</v>
      </c>
      <c r="P130">
        <v>2.1834370302245301</v>
      </c>
      <c r="Q130">
        <v>77.093995907660201</v>
      </c>
      <c r="R130">
        <v>-3</v>
      </c>
      <c r="S130">
        <v>-3</v>
      </c>
      <c r="T130">
        <v>-3.7564649999999999</v>
      </c>
      <c r="U130">
        <v>-4.1768609999999997</v>
      </c>
      <c r="V130">
        <v>-4.1664979999999998</v>
      </c>
      <c r="W130">
        <v>-4.1525550000000004</v>
      </c>
      <c r="X130">
        <f t="shared" si="1"/>
        <v>1.1664979999999998</v>
      </c>
    </row>
    <row r="131" spans="1:24" x14ac:dyDescent="0.45">
      <c r="A131">
        <v>1050</v>
      </c>
      <c r="B131">
        <v>10</v>
      </c>
      <c r="C131">
        <v>2</v>
      </c>
      <c r="D131">
        <v>8</v>
      </c>
      <c r="E131">
        <v>-45</v>
      </c>
      <c r="F131">
        <v>0</v>
      </c>
      <c r="G131">
        <v>5</v>
      </c>
      <c r="H131">
        <v>-3</v>
      </c>
      <c r="I131">
        <v>1</v>
      </c>
      <c r="J131">
        <v>1</v>
      </c>
      <c r="K131">
        <v>1</v>
      </c>
      <c r="L131">
        <v>-1</v>
      </c>
      <c r="M131">
        <v>0</v>
      </c>
      <c r="N131">
        <v>-1</v>
      </c>
      <c r="O131">
        <v>0.150426855269926</v>
      </c>
      <c r="P131">
        <v>3.19930804106904</v>
      </c>
      <c r="Q131">
        <v>67.770950854183496</v>
      </c>
      <c r="R131">
        <v>-3</v>
      </c>
      <c r="S131">
        <v>-3</v>
      </c>
      <c r="T131">
        <v>-2.1634859999999998</v>
      </c>
      <c r="U131">
        <v>-0.52044690000000005</v>
      </c>
      <c r="V131">
        <v>1.1610210000000001</v>
      </c>
      <c r="W131">
        <v>2.850171</v>
      </c>
      <c r="X131">
        <f t="shared" ref="X131:X194" si="2">ABS(V131-R131)</f>
        <v>4.1610209999999999</v>
      </c>
    </row>
    <row r="132" spans="1:24" x14ac:dyDescent="0.45">
      <c r="A132">
        <v>1050</v>
      </c>
      <c r="B132">
        <v>11</v>
      </c>
      <c r="C132">
        <v>3</v>
      </c>
      <c r="D132">
        <v>1</v>
      </c>
      <c r="E132">
        <v>-35</v>
      </c>
      <c r="F132">
        <v>0</v>
      </c>
      <c r="G132">
        <v>15</v>
      </c>
      <c r="H132">
        <v>0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0.13478008984655099</v>
      </c>
      <c r="P132">
        <v>4.7222378740672797</v>
      </c>
      <c r="Q132">
        <v>77.196781147520099</v>
      </c>
      <c r="R132">
        <v>0</v>
      </c>
      <c r="S132">
        <v>0</v>
      </c>
      <c r="T132">
        <v>-1.3317600000000001</v>
      </c>
      <c r="U132">
        <v>-2.8606609999999999</v>
      </c>
      <c r="V132">
        <v>-3.8110689999999998</v>
      </c>
      <c r="W132">
        <v>-4.2991089999999996</v>
      </c>
      <c r="X132">
        <f t="shared" si="2"/>
        <v>3.8110689999999998</v>
      </c>
    </row>
    <row r="133" spans="1:24" x14ac:dyDescent="0.45">
      <c r="A133">
        <v>1050</v>
      </c>
      <c r="B133">
        <v>12</v>
      </c>
      <c r="C133">
        <v>1</v>
      </c>
      <c r="D133">
        <v>7</v>
      </c>
      <c r="E133">
        <v>-35</v>
      </c>
      <c r="F133">
        <v>0</v>
      </c>
      <c r="G133">
        <v>15</v>
      </c>
      <c r="H133">
        <v>3</v>
      </c>
      <c r="I133">
        <v>-2</v>
      </c>
      <c r="J133">
        <v>2</v>
      </c>
      <c r="K133">
        <v>-2</v>
      </c>
      <c r="L133">
        <v>1</v>
      </c>
      <c r="M133">
        <v>1</v>
      </c>
      <c r="N133">
        <v>1</v>
      </c>
      <c r="O133">
        <v>0.14422455139086801</v>
      </c>
      <c r="P133">
        <v>2.3842297831977901</v>
      </c>
      <c r="Q133">
        <v>76.513419597671501</v>
      </c>
      <c r="R133">
        <v>3</v>
      </c>
      <c r="S133">
        <v>3</v>
      </c>
      <c r="T133">
        <v>3.3227669999999998</v>
      </c>
      <c r="U133">
        <v>4.0087590000000004</v>
      </c>
      <c r="V133">
        <v>4.4963160000000002</v>
      </c>
      <c r="W133">
        <v>4.4971870000000003</v>
      </c>
      <c r="X133">
        <f t="shared" si="2"/>
        <v>1.4963160000000002</v>
      </c>
    </row>
    <row r="134" spans="1:24" x14ac:dyDescent="0.45">
      <c r="A134">
        <v>1050</v>
      </c>
      <c r="B134">
        <v>13</v>
      </c>
      <c r="C134">
        <v>3</v>
      </c>
      <c r="D134">
        <v>3</v>
      </c>
      <c r="E134">
        <v>-35</v>
      </c>
      <c r="F134">
        <v>0</v>
      </c>
      <c r="G134">
        <v>15</v>
      </c>
      <c r="H134">
        <v>-3</v>
      </c>
      <c r="I134">
        <v>-2</v>
      </c>
      <c r="J134">
        <v>2</v>
      </c>
      <c r="K134">
        <v>-2</v>
      </c>
      <c r="L134">
        <v>-1</v>
      </c>
      <c r="M134">
        <v>1</v>
      </c>
      <c r="N134">
        <v>0</v>
      </c>
      <c r="O134">
        <v>0.13064341900913201</v>
      </c>
      <c r="P134">
        <v>3.4861226812147299</v>
      </c>
      <c r="Q134">
        <v>77.298975590682105</v>
      </c>
      <c r="R134">
        <v>-3</v>
      </c>
      <c r="S134">
        <v>-3</v>
      </c>
      <c r="T134">
        <v>-3.7529659999999998</v>
      </c>
      <c r="U134">
        <v>-4.0340569999999998</v>
      </c>
      <c r="V134">
        <v>-4.2672410000000003</v>
      </c>
      <c r="W134">
        <v>-4.2487550000000001</v>
      </c>
      <c r="X134">
        <f t="shared" si="2"/>
        <v>1.2672410000000003</v>
      </c>
    </row>
    <row r="135" spans="1:24" x14ac:dyDescent="0.45">
      <c r="A135">
        <v>1050</v>
      </c>
      <c r="B135">
        <v>14</v>
      </c>
      <c r="C135">
        <v>3</v>
      </c>
      <c r="D135">
        <v>5</v>
      </c>
      <c r="E135">
        <v>-35</v>
      </c>
      <c r="F135">
        <v>0</v>
      </c>
      <c r="G135">
        <v>15</v>
      </c>
      <c r="H135">
        <v>0</v>
      </c>
      <c r="I135">
        <v>-2</v>
      </c>
      <c r="J135">
        <v>2</v>
      </c>
      <c r="K135">
        <v>-2</v>
      </c>
      <c r="L135">
        <v>-1</v>
      </c>
      <c r="M135">
        <v>1</v>
      </c>
      <c r="N135">
        <v>-1</v>
      </c>
      <c r="O135">
        <v>0.13175347708898999</v>
      </c>
      <c r="P135">
        <v>3.79976501025561</v>
      </c>
      <c r="Q135">
        <v>78.474109288773207</v>
      </c>
      <c r="R135">
        <v>3</v>
      </c>
      <c r="S135">
        <v>3</v>
      </c>
      <c r="T135">
        <v>2.054891</v>
      </c>
      <c r="U135">
        <v>0.76636579999999999</v>
      </c>
      <c r="V135">
        <v>-0.552651</v>
      </c>
      <c r="W135">
        <v>-1.8507579999999999</v>
      </c>
      <c r="X135">
        <f t="shared" si="2"/>
        <v>3.552651</v>
      </c>
    </row>
    <row r="136" spans="1:24" x14ac:dyDescent="0.45">
      <c r="A136">
        <v>1050</v>
      </c>
      <c r="B136">
        <v>15</v>
      </c>
      <c r="C136">
        <v>1</v>
      </c>
      <c r="D136">
        <v>4</v>
      </c>
      <c r="E136">
        <v>-45</v>
      </c>
      <c r="F136">
        <v>0</v>
      </c>
      <c r="G136">
        <v>5</v>
      </c>
      <c r="H136">
        <v>3</v>
      </c>
      <c r="I136">
        <v>-2</v>
      </c>
      <c r="J136">
        <v>2</v>
      </c>
      <c r="K136">
        <v>-2</v>
      </c>
      <c r="L136">
        <v>-1</v>
      </c>
      <c r="M136">
        <v>-1</v>
      </c>
      <c r="N136">
        <v>-1</v>
      </c>
      <c r="O136">
        <v>0.120509831454108</v>
      </c>
      <c r="P136">
        <v>2.4521484580628701</v>
      </c>
      <c r="Q136">
        <v>68.012966653597005</v>
      </c>
      <c r="R136">
        <v>3</v>
      </c>
      <c r="S136">
        <v>3</v>
      </c>
      <c r="T136">
        <v>1.5712459999999999</v>
      </c>
      <c r="U136">
        <v>-1.0038190000000001E-2</v>
      </c>
      <c r="V136">
        <v>-1.6001730000000001</v>
      </c>
      <c r="W136">
        <v>-3.1350699999999998</v>
      </c>
      <c r="X136">
        <f t="shared" si="2"/>
        <v>4.6001729999999998</v>
      </c>
    </row>
    <row r="137" spans="1:24" x14ac:dyDescent="0.45">
      <c r="A137">
        <v>1050</v>
      </c>
      <c r="B137">
        <v>16</v>
      </c>
      <c r="C137">
        <v>2</v>
      </c>
      <c r="D137">
        <v>7</v>
      </c>
      <c r="E137">
        <v>-35</v>
      </c>
      <c r="F137">
        <v>0</v>
      </c>
      <c r="G137">
        <v>15</v>
      </c>
      <c r="H137">
        <v>3</v>
      </c>
      <c r="I137">
        <v>1</v>
      </c>
      <c r="J137">
        <v>-1</v>
      </c>
      <c r="K137">
        <v>1</v>
      </c>
      <c r="L137">
        <v>-1</v>
      </c>
      <c r="M137">
        <v>-1</v>
      </c>
      <c r="N137">
        <v>-1</v>
      </c>
      <c r="O137">
        <v>0.12779448016306799</v>
      </c>
      <c r="P137">
        <v>1.7733674946376199</v>
      </c>
      <c r="Q137">
        <v>77.645450370015695</v>
      </c>
      <c r="R137">
        <v>3</v>
      </c>
      <c r="S137">
        <v>3.1771669999999999</v>
      </c>
      <c r="T137">
        <v>3.9325389999999998</v>
      </c>
      <c r="U137">
        <v>4.4980370000000001</v>
      </c>
      <c r="V137">
        <v>4.4981780000000002</v>
      </c>
      <c r="W137">
        <v>4.4981780000000002</v>
      </c>
      <c r="X137">
        <f t="shared" si="2"/>
        <v>1.4981780000000002</v>
      </c>
    </row>
    <row r="138" spans="1:24" x14ac:dyDescent="0.45">
      <c r="A138">
        <v>1050</v>
      </c>
      <c r="B138">
        <v>17</v>
      </c>
      <c r="C138">
        <v>3</v>
      </c>
      <c r="D138">
        <v>2</v>
      </c>
      <c r="E138">
        <v>-35</v>
      </c>
      <c r="F138">
        <v>-3</v>
      </c>
      <c r="G138">
        <v>15</v>
      </c>
      <c r="H138">
        <v>-3</v>
      </c>
      <c r="I138">
        <v>-2</v>
      </c>
      <c r="J138">
        <v>2</v>
      </c>
      <c r="K138">
        <v>-2</v>
      </c>
      <c r="L138">
        <v>-1</v>
      </c>
      <c r="M138">
        <v>1</v>
      </c>
      <c r="N138">
        <v>1</v>
      </c>
      <c r="O138">
        <v>0.142571437232104</v>
      </c>
      <c r="P138">
        <v>2.9470320448465999</v>
      </c>
      <c r="Q138">
        <v>79.106912593531305</v>
      </c>
      <c r="R138">
        <v>-3</v>
      </c>
      <c r="S138">
        <v>-2.8221440000000002</v>
      </c>
      <c r="T138">
        <v>-1.1011649999999999</v>
      </c>
      <c r="U138">
        <v>0.66181049999999997</v>
      </c>
      <c r="V138">
        <v>2.3097720000000002</v>
      </c>
      <c r="W138">
        <v>2.9798049999999998</v>
      </c>
      <c r="X138">
        <f t="shared" si="2"/>
        <v>5.3097720000000006</v>
      </c>
    </row>
    <row r="139" spans="1:24" x14ac:dyDescent="0.45">
      <c r="A139">
        <v>1050</v>
      </c>
      <c r="B139">
        <v>18</v>
      </c>
      <c r="C139">
        <v>2</v>
      </c>
      <c r="D139">
        <v>6</v>
      </c>
      <c r="E139">
        <v>-35</v>
      </c>
      <c r="F139">
        <v>3</v>
      </c>
      <c r="G139">
        <v>15</v>
      </c>
      <c r="H139">
        <v>3</v>
      </c>
      <c r="I139">
        <v>1</v>
      </c>
      <c r="J139">
        <v>-1</v>
      </c>
      <c r="K139">
        <v>1</v>
      </c>
      <c r="L139">
        <v>-1</v>
      </c>
      <c r="M139">
        <v>1</v>
      </c>
      <c r="N139">
        <v>1</v>
      </c>
      <c r="O139">
        <v>0.113347980913938</v>
      </c>
      <c r="P139">
        <v>2.6265686141400901</v>
      </c>
      <c r="Q139">
        <v>76.739517408939903</v>
      </c>
      <c r="R139">
        <v>0</v>
      </c>
      <c r="S139">
        <v>4.0890250000000003E-2</v>
      </c>
      <c r="T139">
        <v>1.8579509999999999</v>
      </c>
      <c r="U139">
        <v>3.5994000000000002</v>
      </c>
      <c r="V139">
        <v>4.4843209999999996</v>
      </c>
      <c r="W139">
        <v>4.4979509999999996</v>
      </c>
      <c r="X139">
        <f t="shared" si="2"/>
        <v>4.4843209999999996</v>
      </c>
    </row>
    <row r="140" spans="1:24" x14ac:dyDescent="0.45">
      <c r="A140">
        <v>1050</v>
      </c>
      <c r="B140">
        <v>19</v>
      </c>
      <c r="C140">
        <v>1</v>
      </c>
      <c r="D140">
        <v>1</v>
      </c>
      <c r="E140">
        <v>-35</v>
      </c>
      <c r="F140">
        <v>0</v>
      </c>
      <c r="G140">
        <v>15</v>
      </c>
      <c r="H140">
        <v>0</v>
      </c>
      <c r="I140">
        <v>-2</v>
      </c>
      <c r="J140">
        <v>2</v>
      </c>
      <c r="K140">
        <v>-2</v>
      </c>
      <c r="L140">
        <v>0</v>
      </c>
      <c r="M140">
        <v>1</v>
      </c>
      <c r="N140">
        <v>0</v>
      </c>
      <c r="O140">
        <v>0.109709871589969</v>
      </c>
      <c r="P140">
        <v>2.89536175629115</v>
      </c>
      <c r="Q140">
        <v>78.365937116694795</v>
      </c>
      <c r="R140">
        <v>0</v>
      </c>
      <c r="S140">
        <v>-3.7940880000000001E-3</v>
      </c>
      <c r="T140">
        <v>-1.1881079999999999</v>
      </c>
      <c r="U140">
        <v>-2.4532729999999998</v>
      </c>
      <c r="V140">
        <v>-3.4890189999999999</v>
      </c>
      <c r="W140">
        <v>-3.9881289999999998</v>
      </c>
      <c r="X140">
        <f t="shared" si="2"/>
        <v>3.4890189999999999</v>
      </c>
    </row>
    <row r="141" spans="1:24" x14ac:dyDescent="0.45">
      <c r="A141">
        <v>1050</v>
      </c>
      <c r="B141">
        <v>20</v>
      </c>
      <c r="C141">
        <v>1</v>
      </c>
      <c r="D141">
        <v>8</v>
      </c>
      <c r="E141">
        <v>-45</v>
      </c>
      <c r="F141">
        <v>0</v>
      </c>
      <c r="G141">
        <v>5</v>
      </c>
      <c r="H141">
        <v>-3</v>
      </c>
      <c r="I141">
        <v>-2</v>
      </c>
      <c r="J141">
        <v>2</v>
      </c>
      <c r="K141">
        <v>-2</v>
      </c>
      <c r="L141">
        <v>0</v>
      </c>
      <c r="M141">
        <v>1</v>
      </c>
      <c r="N141">
        <v>0</v>
      </c>
      <c r="O141">
        <v>0.13726790210319401</v>
      </c>
      <c r="P141">
        <v>2.3400169693299699</v>
      </c>
      <c r="Q141">
        <v>68.768087714320501</v>
      </c>
      <c r="R141">
        <v>-3</v>
      </c>
      <c r="S141">
        <v>-3</v>
      </c>
      <c r="T141">
        <v>-2.283671</v>
      </c>
      <c r="U141">
        <v>-0.36452030000000002</v>
      </c>
      <c r="V141">
        <v>1.5599229999999999</v>
      </c>
      <c r="W141">
        <v>3.5586169999999999</v>
      </c>
      <c r="X141">
        <f t="shared" si="2"/>
        <v>4.5599229999999995</v>
      </c>
    </row>
    <row r="142" spans="1:24" x14ac:dyDescent="0.45">
      <c r="A142">
        <v>1050</v>
      </c>
      <c r="B142">
        <v>21</v>
      </c>
      <c r="C142">
        <v>2</v>
      </c>
      <c r="D142">
        <v>2</v>
      </c>
      <c r="E142">
        <v>-35</v>
      </c>
      <c r="F142">
        <v>-3</v>
      </c>
      <c r="G142">
        <v>15</v>
      </c>
      <c r="H142">
        <v>-3</v>
      </c>
      <c r="I142">
        <v>-2</v>
      </c>
      <c r="J142">
        <v>2</v>
      </c>
      <c r="K142">
        <v>-2</v>
      </c>
      <c r="L142">
        <v>0</v>
      </c>
      <c r="M142">
        <v>1</v>
      </c>
      <c r="N142">
        <v>0</v>
      </c>
      <c r="O142">
        <v>0.102309023416119</v>
      </c>
      <c r="P142">
        <v>3.3485923811129998</v>
      </c>
      <c r="Q142">
        <v>78.556277458874803</v>
      </c>
      <c r="R142">
        <v>-3</v>
      </c>
      <c r="S142">
        <v>-3</v>
      </c>
      <c r="T142">
        <v>-1.402773</v>
      </c>
      <c r="U142">
        <v>0.475935</v>
      </c>
      <c r="V142">
        <v>2.140997</v>
      </c>
      <c r="W142">
        <v>3.11978</v>
      </c>
      <c r="X142">
        <f t="shared" si="2"/>
        <v>5.1409970000000005</v>
      </c>
    </row>
    <row r="143" spans="1:24" x14ac:dyDescent="0.45">
      <c r="A143">
        <v>1050</v>
      </c>
      <c r="B143">
        <v>22</v>
      </c>
      <c r="C143">
        <v>3</v>
      </c>
      <c r="D143">
        <v>7</v>
      </c>
      <c r="E143">
        <v>-35</v>
      </c>
      <c r="F143">
        <v>0</v>
      </c>
      <c r="G143">
        <v>15</v>
      </c>
      <c r="H143">
        <v>3</v>
      </c>
      <c r="I143">
        <v>-2</v>
      </c>
      <c r="J143">
        <v>2</v>
      </c>
      <c r="K143">
        <v>-2</v>
      </c>
      <c r="L143">
        <v>1</v>
      </c>
      <c r="M143">
        <v>1</v>
      </c>
      <c r="N143">
        <v>0</v>
      </c>
      <c r="O143">
        <v>0.12597507683169201</v>
      </c>
      <c r="P143">
        <v>1.6673211849696801</v>
      </c>
      <c r="Q143">
        <v>77.016894934901899</v>
      </c>
      <c r="R143">
        <v>3</v>
      </c>
      <c r="S143">
        <v>3</v>
      </c>
      <c r="T143">
        <v>3.4521069999999998</v>
      </c>
      <c r="U143">
        <v>4.4996600000000004</v>
      </c>
      <c r="V143">
        <v>4.4996809999999998</v>
      </c>
      <c r="W143">
        <v>4.4998750000000003</v>
      </c>
      <c r="X143">
        <f t="shared" si="2"/>
        <v>1.4996809999999998</v>
      </c>
    </row>
    <row r="144" spans="1:24" x14ac:dyDescent="0.45">
      <c r="A144">
        <v>1050</v>
      </c>
      <c r="B144">
        <v>23</v>
      </c>
      <c r="C144">
        <v>2</v>
      </c>
      <c r="D144">
        <v>4</v>
      </c>
      <c r="E144">
        <v>-45</v>
      </c>
      <c r="F144">
        <v>0</v>
      </c>
      <c r="G144">
        <v>5</v>
      </c>
      <c r="H144">
        <v>3</v>
      </c>
      <c r="I144">
        <v>-2</v>
      </c>
      <c r="J144">
        <v>-2</v>
      </c>
      <c r="K144">
        <v>1</v>
      </c>
      <c r="L144">
        <v>-2</v>
      </c>
      <c r="M144">
        <v>-2</v>
      </c>
      <c r="N144">
        <v>-2</v>
      </c>
      <c r="O144">
        <v>0.18012597859346099</v>
      </c>
      <c r="P144">
        <v>8.5641140601183796</v>
      </c>
      <c r="Q144">
        <v>72.326975485999697</v>
      </c>
      <c r="R144">
        <v>3</v>
      </c>
      <c r="S144">
        <v>3</v>
      </c>
      <c r="T144">
        <v>2.0826199999999999</v>
      </c>
      <c r="U144">
        <v>0.24554709999999999</v>
      </c>
      <c r="V144">
        <v>-1.6247290000000001</v>
      </c>
      <c r="W144">
        <v>-3.1064080000000001</v>
      </c>
      <c r="X144">
        <f t="shared" si="2"/>
        <v>4.6247290000000003</v>
      </c>
    </row>
    <row r="145" spans="1:24" x14ac:dyDescent="0.45">
      <c r="A145">
        <v>1050</v>
      </c>
      <c r="B145">
        <v>24</v>
      </c>
      <c r="C145">
        <v>1</v>
      </c>
      <c r="D145">
        <v>5</v>
      </c>
      <c r="E145">
        <v>-35</v>
      </c>
      <c r="F145">
        <v>0</v>
      </c>
      <c r="G145">
        <v>15</v>
      </c>
      <c r="H145">
        <v>0</v>
      </c>
      <c r="I145">
        <v>-2</v>
      </c>
      <c r="J145">
        <v>2</v>
      </c>
      <c r="K145">
        <v>-2</v>
      </c>
      <c r="L145">
        <v>0</v>
      </c>
      <c r="M145">
        <v>1</v>
      </c>
      <c r="N145">
        <v>0</v>
      </c>
      <c r="O145">
        <v>0.113281165788483</v>
      </c>
      <c r="P145">
        <v>2.6114341734506001</v>
      </c>
      <c r="Q145">
        <v>78.125148237907595</v>
      </c>
      <c r="R145">
        <v>3</v>
      </c>
      <c r="S145">
        <v>2.7554430000000001</v>
      </c>
      <c r="T145">
        <v>1.2406779999999999</v>
      </c>
      <c r="U145">
        <v>-0.24922749999999999</v>
      </c>
      <c r="V145">
        <v>-1.7338800000000001</v>
      </c>
      <c r="W145">
        <v>-2.785326</v>
      </c>
      <c r="X145">
        <f t="shared" si="2"/>
        <v>4.7338800000000001</v>
      </c>
    </row>
    <row r="146" spans="1:24" x14ac:dyDescent="0.45">
      <c r="A146">
        <v>1060</v>
      </c>
      <c r="B146">
        <v>1</v>
      </c>
      <c r="C146">
        <v>1</v>
      </c>
      <c r="D146">
        <v>5</v>
      </c>
      <c r="E146">
        <v>-35</v>
      </c>
      <c r="F146">
        <v>0</v>
      </c>
      <c r="G146">
        <v>15</v>
      </c>
      <c r="H146">
        <v>0</v>
      </c>
      <c r="I146">
        <v>1</v>
      </c>
      <c r="J146">
        <v>2</v>
      </c>
      <c r="K146">
        <v>1</v>
      </c>
      <c r="L146">
        <v>1</v>
      </c>
      <c r="M146">
        <v>1</v>
      </c>
      <c r="N146">
        <v>1</v>
      </c>
      <c r="O146">
        <v>0.30338228915173399</v>
      </c>
      <c r="P146">
        <v>4.5680105962307396</v>
      </c>
      <c r="Q146">
        <v>78.020733387840295</v>
      </c>
      <c r="R146">
        <v>3</v>
      </c>
      <c r="S146">
        <v>3</v>
      </c>
      <c r="T146">
        <v>3</v>
      </c>
      <c r="U146">
        <v>3</v>
      </c>
      <c r="V146">
        <v>3</v>
      </c>
      <c r="W146">
        <v>3</v>
      </c>
      <c r="X146">
        <f t="shared" si="2"/>
        <v>0</v>
      </c>
    </row>
    <row r="147" spans="1:24" x14ac:dyDescent="0.45">
      <c r="A147">
        <v>1060</v>
      </c>
      <c r="B147">
        <v>2</v>
      </c>
      <c r="C147">
        <v>2</v>
      </c>
      <c r="D147">
        <v>4</v>
      </c>
      <c r="E147">
        <v>-45</v>
      </c>
      <c r="F147">
        <v>0</v>
      </c>
      <c r="G147">
        <v>5</v>
      </c>
      <c r="H147">
        <v>3</v>
      </c>
      <c r="I147">
        <v>-2</v>
      </c>
      <c r="J147">
        <v>-2</v>
      </c>
      <c r="K147">
        <v>-2</v>
      </c>
      <c r="L147">
        <v>-2</v>
      </c>
      <c r="M147">
        <v>-2</v>
      </c>
      <c r="N147">
        <v>-2</v>
      </c>
      <c r="O147">
        <v>0.52215449918376799</v>
      </c>
      <c r="P147">
        <v>4.2298999081549198</v>
      </c>
      <c r="Q147">
        <v>66.174270683418101</v>
      </c>
      <c r="R147">
        <v>3</v>
      </c>
      <c r="S147">
        <v>3</v>
      </c>
      <c r="T147">
        <v>3</v>
      </c>
      <c r="U147">
        <v>2.9948839999999999</v>
      </c>
      <c r="V147">
        <v>2.9183620000000001</v>
      </c>
      <c r="W147">
        <v>2.8951069999999999</v>
      </c>
      <c r="X147">
        <f t="shared" si="2"/>
        <v>8.1637999999999877E-2</v>
      </c>
    </row>
    <row r="148" spans="1:24" x14ac:dyDescent="0.45">
      <c r="A148">
        <v>1060</v>
      </c>
      <c r="B148">
        <v>3</v>
      </c>
      <c r="C148">
        <v>3</v>
      </c>
      <c r="D148">
        <v>7</v>
      </c>
      <c r="E148">
        <v>-35</v>
      </c>
      <c r="F148">
        <v>0</v>
      </c>
      <c r="G148">
        <v>15</v>
      </c>
      <c r="H148">
        <v>3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0.25105024893314898</v>
      </c>
      <c r="P148">
        <v>2.69216714017587</v>
      </c>
      <c r="Q148">
        <v>75.699466472328496</v>
      </c>
      <c r="R148">
        <v>3</v>
      </c>
      <c r="S148">
        <v>3</v>
      </c>
      <c r="T148">
        <v>3</v>
      </c>
      <c r="U148">
        <v>3</v>
      </c>
      <c r="V148">
        <v>3.2039339999999998</v>
      </c>
      <c r="W148">
        <v>3.2796050000000001</v>
      </c>
      <c r="X148">
        <f t="shared" si="2"/>
        <v>0.20393399999999984</v>
      </c>
    </row>
    <row r="149" spans="1:24" x14ac:dyDescent="0.45">
      <c r="A149">
        <v>1060</v>
      </c>
      <c r="B149">
        <v>4</v>
      </c>
      <c r="C149">
        <v>2</v>
      </c>
      <c r="D149">
        <v>2</v>
      </c>
      <c r="E149">
        <v>-35</v>
      </c>
      <c r="F149">
        <v>-3</v>
      </c>
      <c r="G149">
        <v>15</v>
      </c>
      <c r="H149">
        <v>-3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0.300033085088595</v>
      </c>
      <c r="P149">
        <v>3.43854222154072</v>
      </c>
      <c r="Q149">
        <v>75.171989100146803</v>
      </c>
      <c r="R149">
        <v>-3</v>
      </c>
      <c r="S149">
        <v>-3</v>
      </c>
      <c r="T149">
        <v>-3</v>
      </c>
      <c r="U149">
        <v>-3</v>
      </c>
      <c r="V149">
        <v>-2.6118579999999998</v>
      </c>
      <c r="W149">
        <v>-2.421802</v>
      </c>
      <c r="X149">
        <f t="shared" si="2"/>
        <v>0.38814200000000021</v>
      </c>
    </row>
    <row r="150" spans="1:24" x14ac:dyDescent="0.45">
      <c r="A150">
        <v>1060</v>
      </c>
      <c r="B150">
        <v>5</v>
      </c>
      <c r="C150">
        <v>1</v>
      </c>
      <c r="D150">
        <v>8</v>
      </c>
      <c r="E150">
        <v>-45</v>
      </c>
      <c r="F150">
        <v>0</v>
      </c>
      <c r="G150">
        <v>5</v>
      </c>
      <c r="H150">
        <v>-3</v>
      </c>
      <c r="I150">
        <v>-1</v>
      </c>
      <c r="J150">
        <v>0</v>
      </c>
      <c r="K150">
        <v>1</v>
      </c>
      <c r="L150">
        <v>0</v>
      </c>
      <c r="M150">
        <v>-1</v>
      </c>
      <c r="N150">
        <v>-1</v>
      </c>
      <c r="O150">
        <v>0.51760381254338195</v>
      </c>
      <c r="P150">
        <v>6.0465435040530604</v>
      </c>
      <c r="Q150">
        <v>34.339133562363003</v>
      </c>
      <c r="R150">
        <v>-3</v>
      </c>
      <c r="S150">
        <v>-3</v>
      </c>
      <c r="T150">
        <v>-3</v>
      </c>
      <c r="U150">
        <v>-3</v>
      </c>
      <c r="V150">
        <v>-2.6853739999999999</v>
      </c>
      <c r="W150">
        <v>-2.315725</v>
      </c>
      <c r="X150">
        <f t="shared" si="2"/>
        <v>0.31462600000000007</v>
      </c>
    </row>
    <row r="151" spans="1:24" x14ac:dyDescent="0.45">
      <c r="A151">
        <v>1060</v>
      </c>
      <c r="B151">
        <v>6</v>
      </c>
      <c r="C151">
        <v>1</v>
      </c>
      <c r="D151">
        <v>1</v>
      </c>
      <c r="E151">
        <v>-35</v>
      </c>
      <c r="F151">
        <v>0</v>
      </c>
      <c r="G151">
        <v>15</v>
      </c>
      <c r="H151">
        <v>0</v>
      </c>
      <c r="I151">
        <v>-2</v>
      </c>
      <c r="J151">
        <v>1</v>
      </c>
      <c r="K151">
        <v>1</v>
      </c>
      <c r="L151">
        <v>-1</v>
      </c>
      <c r="M151">
        <v>-1</v>
      </c>
      <c r="N151">
        <v>-1</v>
      </c>
      <c r="O151">
        <v>0.247511596271377</v>
      </c>
      <c r="P151">
        <v>4.1058113347075196</v>
      </c>
      <c r="Q151">
        <v>77.469222463174702</v>
      </c>
      <c r="R151">
        <v>0</v>
      </c>
      <c r="S151">
        <v>0</v>
      </c>
      <c r="T151">
        <v>0</v>
      </c>
      <c r="U151">
        <v>0</v>
      </c>
      <c r="V151">
        <v>8.1647809999999998E-6</v>
      </c>
      <c r="W151">
        <v>-3.5409419999999997E-2</v>
      </c>
      <c r="X151">
        <f t="shared" si="2"/>
        <v>8.1647809999999998E-6</v>
      </c>
    </row>
    <row r="152" spans="1:24" x14ac:dyDescent="0.45">
      <c r="A152">
        <v>1060</v>
      </c>
      <c r="B152">
        <v>7</v>
      </c>
      <c r="C152">
        <v>2</v>
      </c>
      <c r="D152">
        <v>6</v>
      </c>
      <c r="E152">
        <v>-35</v>
      </c>
      <c r="F152">
        <v>3</v>
      </c>
      <c r="G152">
        <v>15</v>
      </c>
      <c r="H152">
        <v>3</v>
      </c>
      <c r="I152">
        <v>1</v>
      </c>
      <c r="J152">
        <v>-1</v>
      </c>
      <c r="K152">
        <v>1</v>
      </c>
      <c r="L152">
        <v>-1</v>
      </c>
      <c r="M152">
        <v>-2</v>
      </c>
      <c r="N152">
        <v>0</v>
      </c>
      <c r="O152">
        <v>0.169527263453918</v>
      </c>
      <c r="P152">
        <v>3.1794001733944</v>
      </c>
      <c r="Q152">
        <v>76.796061056777006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4.4408089999999997E-2</v>
      </c>
      <c r="X152">
        <f t="shared" si="2"/>
        <v>0</v>
      </c>
    </row>
    <row r="153" spans="1:24" x14ac:dyDescent="0.45">
      <c r="A153">
        <v>1060</v>
      </c>
      <c r="B153">
        <v>8</v>
      </c>
      <c r="C153">
        <v>3</v>
      </c>
      <c r="D153">
        <v>2</v>
      </c>
      <c r="E153">
        <v>-35</v>
      </c>
      <c r="F153">
        <v>-3</v>
      </c>
      <c r="G153">
        <v>15</v>
      </c>
      <c r="H153">
        <v>-3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0.236360807701188</v>
      </c>
      <c r="P153">
        <v>2.52983448933858</v>
      </c>
      <c r="Q153">
        <v>74.011217925595503</v>
      </c>
      <c r="R153">
        <v>-3</v>
      </c>
      <c r="S153">
        <v>-3</v>
      </c>
      <c r="T153">
        <v>-3</v>
      </c>
      <c r="U153">
        <v>-2.8158569999999998</v>
      </c>
      <c r="V153">
        <v>-2.840204</v>
      </c>
      <c r="W153">
        <v>-3.1936550000000001</v>
      </c>
      <c r="X153">
        <f t="shared" si="2"/>
        <v>0.15979600000000005</v>
      </c>
    </row>
    <row r="154" spans="1:24" x14ac:dyDescent="0.45">
      <c r="A154">
        <v>1060</v>
      </c>
      <c r="B154">
        <v>9</v>
      </c>
      <c r="C154">
        <v>2</v>
      </c>
      <c r="D154">
        <v>7</v>
      </c>
      <c r="E154">
        <v>-35</v>
      </c>
      <c r="F154">
        <v>0</v>
      </c>
      <c r="G154">
        <v>15</v>
      </c>
      <c r="H154">
        <v>3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1</v>
      </c>
      <c r="O154">
        <v>0.160110978233339</v>
      </c>
      <c r="P154">
        <v>2.0419673558387701</v>
      </c>
      <c r="Q154">
        <v>75.619574111919405</v>
      </c>
      <c r="R154">
        <v>3</v>
      </c>
      <c r="S154">
        <v>3</v>
      </c>
      <c r="T154">
        <v>3</v>
      </c>
      <c r="U154">
        <v>2.9999189999999998</v>
      </c>
      <c r="V154">
        <v>3.0846110000000002</v>
      </c>
      <c r="W154">
        <v>3.1022180000000001</v>
      </c>
      <c r="X154">
        <f t="shared" si="2"/>
        <v>8.4611000000000214E-2</v>
      </c>
    </row>
    <row r="155" spans="1:24" x14ac:dyDescent="0.45">
      <c r="A155">
        <v>1060</v>
      </c>
      <c r="B155">
        <v>10</v>
      </c>
      <c r="C155">
        <v>1</v>
      </c>
      <c r="D155">
        <v>4</v>
      </c>
      <c r="E155">
        <v>-45</v>
      </c>
      <c r="F155">
        <v>0</v>
      </c>
      <c r="G155">
        <v>5</v>
      </c>
      <c r="H155">
        <v>3</v>
      </c>
      <c r="I155">
        <v>0</v>
      </c>
      <c r="J155">
        <v>1</v>
      </c>
      <c r="K155">
        <v>1</v>
      </c>
      <c r="L155">
        <v>1</v>
      </c>
      <c r="M155">
        <v>0</v>
      </c>
      <c r="N155">
        <v>-1</v>
      </c>
      <c r="O155">
        <v>0.27204607054587798</v>
      </c>
      <c r="P155">
        <v>5.7374118720869598</v>
      </c>
      <c r="Q155">
        <v>66.908071457249207</v>
      </c>
      <c r="R155">
        <v>3</v>
      </c>
      <c r="S155">
        <v>3</v>
      </c>
      <c r="T155">
        <v>3</v>
      </c>
      <c r="U155">
        <v>3</v>
      </c>
      <c r="V155">
        <v>2.63544</v>
      </c>
      <c r="W155">
        <v>0.87476609999999999</v>
      </c>
      <c r="X155">
        <f t="shared" si="2"/>
        <v>0.36456</v>
      </c>
    </row>
    <row r="156" spans="1:24" x14ac:dyDescent="0.45">
      <c r="A156">
        <v>1060</v>
      </c>
      <c r="B156">
        <v>11</v>
      </c>
      <c r="C156">
        <v>3</v>
      </c>
      <c r="D156">
        <v>5</v>
      </c>
      <c r="E156">
        <v>-35</v>
      </c>
      <c r="F156">
        <v>0</v>
      </c>
      <c r="G156">
        <v>15</v>
      </c>
      <c r="H156">
        <v>0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0.14230737537392299</v>
      </c>
      <c r="P156">
        <v>1.6831070935626</v>
      </c>
      <c r="Q156">
        <v>74.694457511385394</v>
      </c>
      <c r="R156">
        <v>3</v>
      </c>
      <c r="S156">
        <v>3</v>
      </c>
      <c r="T156">
        <v>3</v>
      </c>
      <c r="U156">
        <v>3</v>
      </c>
      <c r="V156">
        <v>2.9807429999999999</v>
      </c>
      <c r="W156">
        <v>2.91012</v>
      </c>
      <c r="X156">
        <f t="shared" si="2"/>
        <v>1.925700000000008E-2</v>
      </c>
    </row>
    <row r="157" spans="1:24" x14ac:dyDescent="0.45">
      <c r="A157">
        <v>1060</v>
      </c>
      <c r="B157">
        <v>12</v>
      </c>
      <c r="C157">
        <v>3</v>
      </c>
      <c r="D157">
        <v>3</v>
      </c>
      <c r="E157">
        <v>-35</v>
      </c>
      <c r="F157">
        <v>0</v>
      </c>
      <c r="G157">
        <v>15</v>
      </c>
      <c r="H157">
        <v>-3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0.13857799790251599</v>
      </c>
      <c r="P157">
        <v>1.61365103655565</v>
      </c>
      <c r="Q157">
        <v>75.488695047824095</v>
      </c>
      <c r="R157">
        <v>-3</v>
      </c>
      <c r="S157">
        <v>-3</v>
      </c>
      <c r="T157">
        <v>-3</v>
      </c>
      <c r="U157">
        <v>-2.9818250000000002</v>
      </c>
      <c r="V157">
        <v>-2.5561189999999998</v>
      </c>
      <c r="W157">
        <v>-2.355515</v>
      </c>
      <c r="X157">
        <f t="shared" si="2"/>
        <v>0.44388100000000019</v>
      </c>
    </row>
    <row r="158" spans="1:24" x14ac:dyDescent="0.45">
      <c r="A158">
        <v>1060</v>
      </c>
      <c r="B158">
        <v>13</v>
      </c>
      <c r="C158">
        <v>1</v>
      </c>
      <c r="D158">
        <v>7</v>
      </c>
      <c r="E158">
        <v>-35</v>
      </c>
      <c r="F158">
        <v>0</v>
      </c>
      <c r="G158">
        <v>15</v>
      </c>
      <c r="H158">
        <v>3</v>
      </c>
      <c r="I158">
        <v>-1</v>
      </c>
      <c r="J158">
        <v>0</v>
      </c>
      <c r="K158">
        <v>1</v>
      </c>
      <c r="L158">
        <v>0</v>
      </c>
      <c r="M158">
        <v>-1</v>
      </c>
      <c r="N158">
        <v>-1</v>
      </c>
      <c r="O158">
        <v>0.27681481544855802</v>
      </c>
      <c r="P158">
        <v>3.3446440464262102</v>
      </c>
      <c r="Q158">
        <v>75.455091893110804</v>
      </c>
      <c r="R158">
        <v>3</v>
      </c>
      <c r="S158">
        <v>3</v>
      </c>
      <c r="T158">
        <v>3</v>
      </c>
      <c r="U158">
        <v>2.986796</v>
      </c>
      <c r="V158">
        <v>2.8738320000000002</v>
      </c>
      <c r="W158">
        <v>2.6919729999999999</v>
      </c>
      <c r="X158">
        <f t="shared" si="2"/>
        <v>0.12616799999999984</v>
      </c>
    </row>
    <row r="159" spans="1:24" x14ac:dyDescent="0.45">
      <c r="A159">
        <v>1060</v>
      </c>
      <c r="B159">
        <v>14</v>
      </c>
      <c r="C159">
        <v>3</v>
      </c>
      <c r="D159">
        <v>1</v>
      </c>
      <c r="E159">
        <v>-35</v>
      </c>
      <c r="F159">
        <v>0</v>
      </c>
      <c r="G159">
        <v>15</v>
      </c>
      <c r="H159">
        <v>0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0.119760264592392</v>
      </c>
      <c r="P159">
        <v>3.2126308194814301</v>
      </c>
      <c r="Q159">
        <v>76.433745553482098</v>
      </c>
      <c r="R159">
        <v>0</v>
      </c>
      <c r="S159">
        <v>0</v>
      </c>
      <c r="T159">
        <v>0</v>
      </c>
      <c r="U159">
        <v>0</v>
      </c>
      <c r="V159">
        <v>0.29689660000000001</v>
      </c>
      <c r="W159">
        <v>0.4414672</v>
      </c>
      <c r="X159">
        <f t="shared" si="2"/>
        <v>0.29689660000000001</v>
      </c>
    </row>
    <row r="160" spans="1:24" x14ac:dyDescent="0.45">
      <c r="A160">
        <v>1060</v>
      </c>
      <c r="B160">
        <v>15</v>
      </c>
      <c r="C160">
        <v>2</v>
      </c>
      <c r="D160">
        <v>8</v>
      </c>
      <c r="E160">
        <v>-45</v>
      </c>
      <c r="F160">
        <v>0</v>
      </c>
      <c r="G160">
        <v>5</v>
      </c>
      <c r="H160">
        <v>-3</v>
      </c>
      <c r="I160">
        <v>1</v>
      </c>
      <c r="J160">
        <v>-1</v>
      </c>
      <c r="K160">
        <v>1</v>
      </c>
      <c r="L160">
        <v>-1</v>
      </c>
      <c r="M160">
        <v>-1</v>
      </c>
      <c r="N160">
        <v>-1</v>
      </c>
      <c r="O160">
        <v>0.19581311556917</v>
      </c>
      <c r="P160">
        <v>4.2104009534824902</v>
      </c>
      <c r="Q160">
        <v>65.840592500524707</v>
      </c>
      <c r="R160">
        <v>-3</v>
      </c>
      <c r="S160">
        <v>-3</v>
      </c>
      <c r="T160">
        <v>-3</v>
      </c>
      <c r="U160">
        <v>-2.953093</v>
      </c>
      <c r="V160">
        <v>-1.6405369999999999</v>
      </c>
      <c r="W160">
        <v>-0.61270979999999997</v>
      </c>
      <c r="X160">
        <f t="shared" si="2"/>
        <v>1.3594630000000001</v>
      </c>
    </row>
    <row r="161" spans="1:24" x14ac:dyDescent="0.45">
      <c r="A161">
        <v>1060</v>
      </c>
      <c r="B161">
        <v>16</v>
      </c>
      <c r="C161">
        <v>2</v>
      </c>
      <c r="D161">
        <v>3</v>
      </c>
      <c r="E161">
        <v>-35</v>
      </c>
      <c r="F161">
        <v>0</v>
      </c>
      <c r="G161">
        <v>15</v>
      </c>
      <c r="H161">
        <v>-3</v>
      </c>
      <c r="I161">
        <v>-2</v>
      </c>
      <c r="J161">
        <v>-2</v>
      </c>
      <c r="K161">
        <v>2</v>
      </c>
      <c r="L161">
        <v>-2</v>
      </c>
      <c r="M161">
        <v>-2</v>
      </c>
      <c r="N161">
        <v>-2</v>
      </c>
      <c r="O161">
        <v>0.22884046456162099</v>
      </c>
      <c r="P161">
        <v>4.8540085661566499</v>
      </c>
      <c r="Q161">
        <v>76.150552144619894</v>
      </c>
      <c r="R161">
        <v>-3</v>
      </c>
      <c r="S161">
        <v>-3</v>
      </c>
      <c r="T161">
        <v>-3</v>
      </c>
      <c r="U161">
        <v>-3</v>
      </c>
      <c r="V161">
        <v>-2.7193800000000001</v>
      </c>
      <c r="W161">
        <v>-2.4006449999999999</v>
      </c>
      <c r="X161">
        <f t="shared" si="2"/>
        <v>0.28061999999999987</v>
      </c>
    </row>
    <row r="162" spans="1:24" x14ac:dyDescent="0.45">
      <c r="A162">
        <v>1060</v>
      </c>
      <c r="B162">
        <v>17</v>
      </c>
      <c r="C162">
        <v>3</v>
      </c>
      <c r="D162">
        <v>6</v>
      </c>
      <c r="E162">
        <v>-35</v>
      </c>
      <c r="F162">
        <v>3</v>
      </c>
      <c r="G162">
        <v>15</v>
      </c>
      <c r="H162">
        <v>3</v>
      </c>
      <c r="I162">
        <v>-1</v>
      </c>
      <c r="J162">
        <v>-1</v>
      </c>
      <c r="K162">
        <v>0</v>
      </c>
      <c r="L162">
        <v>-1</v>
      </c>
      <c r="M162">
        <v>-1</v>
      </c>
      <c r="N162">
        <v>-1</v>
      </c>
      <c r="O162">
        <v>0.17811395172812799</v>
      </c>
      <c r="P162">
        <v>1.3058075751326099</v>
      </c>
      <c r="Q162">
        <v>76.764795142527703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0.34955439999999999</v>
      </c>
      <c r="X162">
        <f t="shared" si="2"/>
        <v>0</v>
      </c>
    </row>
    <row r="163" spans="1:24" x14ac:dyDescent="0.45">
      <c r="A163">
        <v>1060</v>
      </c>
      <c r="B163">
        <v>18</v>
      </c>
      <c r="C163">
        <v>1</v>
      </c>
      <c r="D163">
        <v>2</v>
      </c>
      <c r="E163">
        <v>-35</v>
      </c>
      <c r="F163">
        <v>-3</v>
      </c>
      <c r="G163">
        <v>15</v>
      </c>
      <c r="H163">
        <v>-3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1</v>
      </c>
      <c r="O163">
        <v>0.38066946735434498</v>
      </c>
      <c r="P163">
        <v>4.7563191537705602</v>
      </c>
      <c r="Q163">
        <v>76.198006199354595</v>
      </c>
      <c r="R163">
        <v>-3</v>
      </c>
      <c r="S163">
        <v>-3</v>
      </c>
      <c r="T163">
        <v>-3</v>
      </c>
      <c r="U163">
        <v>-2.5582760000000002</v>
      </c>
      <c r="V163">
        <v>-2.2143250000000001</v>
      </c>
      <c r="W163">
        <v>-2.169387</v>
      </c>
      <c r="X163">
        <f t="shared" si="2"/>
        <v>0.7856749999999999</v>
      </c>
    </row>
    <row r="164" spans="1:24" x14ac:dyDescent="0.45">
      <c r="A164">
        <v>1060</v>
      </c>
      <c r="B164">
        <v>19</v>
      </c>
      <c r="C164">
        <v>2</v>
      </c>
      <c r="D164">
        <v>5</v>
      </c>
      <c r="E164">
        <v>-35</v>
      </c>
      <c r="F164">
        <v>0</v>
      </c>
      <c r="G164">
        <v>15</v>
      </c>
      <c r="H164">
        <v>0</v>
      </c>
      <c r="I164">
        <v>1</v>
      </c>
      <c r="J164">
        <v>1</v>
      </c>
      <c r="K164">
        <v>2</v>
      </c>
      <c r="L164">
        <v>1</v>
      </c>
      <c r="M164">
        <v>1</v>
      </c>
      <c r="N164">
        <v>1</v>
      </c>
      <c r="O164">
        <v>0.128809210732481</v>
      </c>
      <c r="P164">
        <v>1.7293318815741201</v>
      </c>
      <c r="Q164">
        <v>75.360454701353703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2.797132</v>
      </c>
      <c r="X164">
        <f t="shared" si="2"/>
        <v>0</v>
      </c>
    </row>
    <row r="165" spans="1:24" x14ac:dyDescent="0.45">
      <c r="A165">
        <v>1060</v>
      </c>
      <c r="B165">
        <v>20</v>
      </c>
      <c r="C165">
        <v>3</v>
      </c>
      <c r="D165">
        <v>4</v>
      </c>
      <c r="E165">
        <v>-45</v>
      </c>
      <c r="F165">
        <v>0</v>
      </c>
      <c r="G165">
        <v>5</v>
      </c>
      <c r="H165">
        <v>3</v>
      </c>
      <c r="I165">
        <v>1</v>
      </c>
      <c r="J165">
        <v>-1</v>
      </c>
      <c r="K165">
        <v>1</v>
      </c>
      <c r="L165">
        <v>-1</v>
      </c>
      <c r="M165">
        <v>-1</v>
      </c>
      <c r="N165">
        <v>0</v>
      </c>
      <c r="O165">
        <v>0.30294304598951299</v>
      </c>
      <c r="P165">
        <v>6.1556034047721297</v>
      </c>
      <c r="Q165">
        <v>66.561095543077599</v>
      </c>
      <c r="R165">
        <v>3</v>
      </c>
      <c r="S165">
        <v>3</v>
      </c>
      <c r="T165">
        <v>3</v>
      </c>
      <c r="U165">
        <v>3</v>
      </c>
      <c r="V165">
        <v>2.9979149999999999</v>
      </c>
      <c r="W165">
        <v>2.3462329999999998</v>
      </c>
      <c r="X165">
        <f t="shared" si="2"/>
        <v>2.0850000000001145E-3</v>
      </c>
    </row>
    <row r="166" spans="1:24" x14ac:dyDescent="0.45">
      <c r="A166">
        <v>1060</v>
      </c>
      <c r="B166">
        <v>21</v>
      </c>
      <c r="C166">
        <v>1</v>
      </c>
      <c r="D166">
        <v>6</v>
      </c>
      <c r="E166">
        <v>-35</v>
      </c>
      <c r="F166">
        <v>3</v>
      </c>
      <c r="G166">
        <v>15</v>
      </c>
      <c r="H166">
        <v>3</v>
      </c>
      <c r="I166">
        <v>-1</v>
      </c>
      <c r="J166">
        <v>0</v>
      </c>
      <c r="K166">
        <v>-2</v>
      </c>
      <c r="L166">
        <v>-1</v>
      </c>
      <c r="M166">
        <v>-1</v>
      </c>
      <c r="N166">
        <v>-1</v>
      </c>
      <c r="O166">
        <v>0.28921014120421801</v>
      </c>
      <c r="P166">
        <v>4.3541548183612697</v>
      </c>
      <c r="Q166">
        <v>77.904801334513806</v>
      </c>
      <c r="R166">
        <v>0</v>
      </c>
      <c r="S166">
        <v>0</v>
      </c>
      <c r="T166">
        <v>0</v>
      </c>
      <c r="U166">
        <v>0.13282450000000001</v>
      </c>
      <c r="V166">
        <v>0.18400059999999999</v>
      </c>
      <c r="W166">
        <v>5.8676369999999999E-2</v>
      </c>
      <c r="X166">
        <f t="shared" si="2"/>
        <v>0.18400059999999999</v>
      </c>
    </row>
    <row r="167" spans="1:24" x14ac:dyDescent="0.45">
      <c r="A167">
        <v>1060</v>
      </c>
      <c r="B167">
        <v>22</v>
      </c>
      <c r="C167">
        <v>1</v>
      </c>
      <c r="D167">
        <v>3</v>
      </c>
      <c r="E167">
        <v>-35</v>
      </c>
      <c r="F167">
        <v>0</v>
      </c>
      <c r="G167">
        <v>15</v>
      </c>
      <c r="H167">
        <v>-3</v>
      </c>
      <c r="I167">
        <v>-2</v>
      </c>
      <c r="J167">
        <v>-1</v>
      </c>
      <c r="K167">
        <v>-1</v>
      </c>
      <c r="L167">
        <v>-2</v>
      </c>
      <c r="M167">
        <v>-1</v>
      </c>
      <c r="N167">
        <v>-1</v>
      </c>
      <c r="O167">
        <v>0.25172556475709301</v>
      </c>
      <c r="P167">
        <v>3.49797496433243</v>
      </c>
      <c r="Q167">
        <v>76.121303991026593</v>
      </c>
      <c r="R167">
        <v>-3</v>
      </c>
      <c r="S167">
        <v>-3</v>
      </c>
      <c r="T167">
        <v>-3</v>
      </c>
      <c r="U167">
        <v>-2.3456990000000002</v>
      </c>
      <c r="V167">
        <v>-1.6948700000000001</v>
      </c>
      <c r="W167">
        <v>-1.3131330000000001</v>
      </c>
      <c r="X167">
        <f t="shared" si="2"/>
        <v>1.3051299999999999</v>
      </c>
    </row>
    <row r="168" spans="1:24" x14ac:dyDescent="0.45">
      <c r="A168">
        <v>1060</v>
      </c>
      <c r="B168">
        <v>23</v>
      </c>
      <c r="C168">
        <v>3</v>
      </c>
      <c r="D168">
        <v>8</v>
      </c>
      <c r="E168">
        <v>-45</v>
      </c>
      <c r="F168">
        <v>0</v>
      </c>
      <c r="G168">
        <v>5</v>
      </c>
      <c r="H168">
        <v>-3</v>
      </c>
      <c r="I168">
        <v>1</v>
      </c>
      <c r="J168">
        <v>-1</v>
      </c>
      <c r="K168">
        <v>2</v>
      </c>
      <c r="L168">
        <v>-1</v>
      </c>
      <c r="M168">
        <v>-1</v>
      </c>
      <c r="N168">
        <v>0</v>
      </c>
      <c r="O168">
        <v>0.199617108683323</v>
      </c>
      <c r="P168">
        <v>3.6036308348663799</v>
      </c>
      <c r="Q168">
        <v>65.172100450242098</v>
      </c>
      <c r="R168">
        <v>-3</v>
      </c>
      <c r="S168">
        <v>-3</v>
      </c>
      <c r="T168">
        <v>-3</v>
      </c>
      <c r="U168">
        <v>-2.334765</v>
      </c>
      <c r="V168">
        <v>-1.4871030000000001</v>
      </c>
      <c r="W168">
        <v>-0.78674829999999996</v>
      </c>
      <c r="X168">
        <f t="shared" si="2"/>
        <v>1.5128969999999999</v>
      </c>
    </row>
    <row r="169" spans="1:24" x14ac:dyDescent="0.45">
      <c r="A169">
        <v>1060</v>
      </c>
      <c r="B169">
        <v>24</v>
      </c>
      <c r="C169">
        <v>2</v>
      </c>
      <c r="D169">
        <v>1</v>
      </c>
      <c r="E169">
        <v>-35</v>
      </c>
      <c r="F169">
        <v>0</v>
      </c>
      <c r="G169">
        <v>15</v>
      </c>
      <c r="H169">
        <v>0</v>
      </c>
      <c r="I169">
        <v>1</v>
      </c>
      <c r="J169">
        <v>-1</v>
      </c>
      <c r="K169">
        <v>1</v>
      </c>
      <c r="L169">
        <v>-1</v>
      </c>
      <c r="M169">
        <v>-1</v>
      </c>
      <c r="N169">
        <v>-1</v>
      </c>
      <c r="O169">
        <v>0.21408271226606199</v>
      </c>
      <c r="P169">
        <v>3.8329115720590798</v>
      </c>
      <c r="Q169">
        <v>76.587149891705394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7.5497980000000006E-2</v>
      </c>
      <c r="X169">
        <f t="shared" si="2"/>
        <v>0</v>
      </c>
    </row>
    <row r="170" spans="1:24" x14ac:dyDescent="0.45">
      <c r="A170">
        <v>1070</v>
      </c>
      <c r="B170">
        <v>1</v>
      </c>
      <c r="C170">
        <v>1</v>
      </c>
      <c r="D170">
        <v>5</v>
      </c>
      <c r="E170">
        <v>-35</v>
      </c>
      <c r="F170">
        <v>0</v>
      </c>
      <c r="G170">
        <v>15</v>
      </c>
      <c r="H170">
        <v>0</v>
      </c>
      <c r="I170">
        <v>-2</v>
      </c>
      <c r="J170">
        <v>1</v>
      </c>
      <c r="K170">
        <v>-1</v>
      </c>
      <c r="L170">
        <v>-2</v>
      </c>
      <c r="M170">
        <v>-1</v>
      </c>
      <c r="N170">
        <v>-2</v>
      </c>
      <c r="O170">
        <v>0.15864824566202301</v>
      </c>
      <c r="P170">
        <v>19.878118777548298</v>
      </c>
      <c r="Q170">
        <v>90.621359272421799</v>
      </c>
      <c r="R170">
        <v>3</v>
      </c>
      <c r="S170">
        <v>2.809857</v>
      </c>
      <c r="T170">
        <v>2.4089399999999999</v>
      </c>
      <c r="U170">
        <v>0.74960119999999997</v>
      </c>
      <c r="V170">
        <v>-0.79219139999999999</v>
      </c>
      <c r="W170">
        <v>-1.142809</v>
      </c>
      <c r="X170">
        <f t="shared" si="2"/>
        <v>3.7921914000000001</v>
      </c>
    </row>
    <row r="171" spans="1:24" x14ac:dyDescent="0.45">
      <c r="A171">
        <v>1070</v>
      </c>
      <c r="B171">
        <v>2</v>
      </c>
      <c r="C171">
        <v>2</v>
      </c>
      <c r="D171">
        <v>4</v>
      </c>
      <c r="E171">
        <v>-45</v>
      </c>
      <c r="F171">
        <v>0</v>
      </c>
      <c r="G171">
        <v>5</v>
      </c>
      <c r="H171">
        <v>3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0.177439699728662</v>
      </c>
      <c r="P171">
        <v>6.5523878248534597</v>
      </c>
      <c r="Q171">
        <v>70.448398589454101</v>
      </c>
      <c r="R171">
        <v>3</v>
      </c>
      <c r="S171">
        <v>3.0640429999999999</v>
      </c>
      <c r="T171">
        <v>3.2991290000000002</v>
      </c>
      <c r="U171">
        <v>3.6116139999999999</v>
      </c>
      <c r="V171">
        <v>3.8765520000000002</v>
      </c>
      <c r="W171">
        <v>4.107183</v>
      </c>
      <c r="X171">
        <f t="shared" si="2"/>
        <v>0.87655200000000022</v>
      </c>
    </row>
    <row r="172" spans="1:24" x14ac:dyDescent="0.45">
      <c r="A172">
        <v>1070</v>
      </c>
      <c r="B172">
        <v>3</v>
      </c>
      <c r="C172">
        <v>3</v>
      </c>
      <c r="D172">
        <v>7</v>
      </c>
      <c r="E172">
        <v>-35</v>
      </c>
      <c r="F172">
        <v>0</v>
      </c>
      <c r="G172">
        <v>15</v>
      </c>
      <c r="H172">
        <v>3</v>
      </c>
      <c r="I172">
        <v>1</v>
      </c>
      <c r="J172">
        <v>1</v>
      </c>
      <c r="K172">
        <v>1</v>
      </c>
      <c r="L172">
        <v>1</v>
      </c>
      <c r="M172">
        <v>2</v>
      </c>
      <c r="N172">
        <v>1</v>
      </c>
      <c r="O172">
        <v>0.15726134757377699</v>
      </c>
      <c r="P172">
        <v>5.4106261456789699</v>
      </c>
      <c r="Q172">
        <v>77.231674235962302</v>
      </c>
      <c r="R172">
        <v>3</v>
      </c>
      <c r="S172">
        <v>2.9831650000000001</v>
      </c>
      <c r="T172">
        <v>3.334355</v>
      </c>
      <c r="U172">
        <v>3.4836990000000001</v>
      </c>
      <c r="V172">
        <v>3.5123669999999998</v>
      </c>
      <c r="W172">
        <v>3.3249089999999999</v>
      </c>
      <c r="X172">
        <f t="shared" si="2"/>
        <v>0.51236699999999979</v>
      </c>
    </row>
    <row r="173" spans="1:24" x14ac:dyDescent="0.45">
      <c r="A173">
        <v>1070</v>
      </c>
      <c r="B173">
        <v>4</v>
      </c>
      <c r="C173">
        <v>2</v>
      </c>
      <c r="D173">
        <v>2</v>
      </c>
      <c r="E173">
        <v>-35</v>
      </c>
      <c r="F173">
        <v>-3</v>
      </c>
      <c r="G173">
        <v>15</v>
      </c>
      <c r="H173">
        <v>-3</v>
      </c>
      <c r="I173">
        <v>-2</v>
      </c>
      <c r="J173">
        <v>2</v>
      </c>
      <c r="K173">
        <v>-1</v>
      </c>
      <c r="L173">
        <v>-1</v>
      </c>
      <c r="M173">
        <v>0</v>
      </c>
      <c r="N173">
        <v>-2</v>
      </c>
      <c r="O173">
        <v>0.184187279177355</v>
      </c>
      <c r="P173">
        <v>21.359820447679098</v>
      </c>
      <c r="Q173">
        <v>83.416433303269301</v>
      </c>
      <c r="R173">
        <v>-3</v>
      </c>
      <c r="S173">
        <v>-2.5438230000000002</v>
      </c>
      <c r="T173">
        <v>-0.5476124</v>
      </c>
      <c r="U173">
        <v>0.90950880000000001</v>
      </c>
      <c r="V173">
        <v>1.952494</v>
      </c>
      <c r="W173">
        <v>2.3440379999999998</v>
      </c>
      <c r="X173">
        <f t="shared" si="2"/>
        <v>4.9524939999999997</v>
      </c>
    </row>
    <row r="174" spans="1:24" x14ac:dyDescent="0.45">
      <c r="A174">
        <v>1070</v>
      </c>
      <c r="B174">
        <v>5</v>
      </c>
      <c r="C174">
        <v>1</v>
      </c>
      <c r="D174">
        <v>8</v>
      </c>
      <c r="E174">
        <v>-45</v>
      </c>
      <c r="F174">
        <v>0</v>
      </c>
      <c r="G174">
        <v>5</v>
      </c>
      <c r="H174">
        <v>-3</v>
      </c>
      <c r="I174">
        <v>-1</v>
      </c>
      <c r="J174">
        <v>1</v>
      </c>
      <c r="K174">
        <v>-2</v>
      </c>
      <c r="L174">
        <v>-2</v>
      </c>
      <c r="M174">
        <v>-1</v>
      </c>
      <c r="N174">
        <v>0</v>
      </c>
      <c r="O174">
        <v>0.20271626362178299</v>
      </c>
      <c r="P174">
        <v>5.20612091547543</v>
      </c>
      <c r="Q174">
        <v>69.9228938099792</v>
      </c>
      <c r="R174">
        <v>-3</v>
      </c>
      <c r="S174">
        <v>-2.9349080000000001</v>
      </c>
      <c r="T174">
        <v>-2.6448939999999999</v>
      </c>
      <c r="U174">
        <v>-1.067156</v>
      </c>
      <c r="V174">
        <v>0.60824560000000005</v>
      </c>
      <c r="W174">
        <v>2.2702439999999999</v>
      </c>
      <c r="X174">
        <f t="shared" si="2"/>
        <v>3.6082456000000001</v>
      </c>
    </row>
    <row r="175" spans="1:24" x14ac:dyDescent="0.45">
      <c r="A175">
        <v>1070</v>
      </c>
      <c r="B175">
        <v>6</v>
      </c>
      <c r="C175">
        <v>1</v>
      </c>
      <c r="D175">
        <v>1</v>
      </c>
      <c r="E175">
        <v>-35</v>
      </c>
      <c r="F175">
        <v>0</v>
      </c>
      <c r="G175">
        <v>15</v>
      </c>
      <c r="H175">
        <v>0</v>
      </c>
      <c r="I175">
        <v>-2</v>
      </c>
      <c r="J175">
        <v>1</v>
      </c>
      <c r="K175">
        <v>-1</v>
      </c>
      <c r="L175">
        <v>-1</v>
      </c>
      <c r="M175">
        <v>-2</v>
      </c>
      <c r="N175">
        <v>-2</v>
      </c>
      <c r="O175">
        <v>0.155363063440983</v>
      </c>
      <c r="P175">
        <v>3.4278442877578401</v>
      </c>
      <c r="Q175">
        <v>78.758379568214906</v>
      </c>
      <c r="R175">
        <v>0</v>
      </c>
      <c r="S175">
        <v>0</v>
      </c>
      <c r="T175">
        <v>9.6804860000000006E-2</v>
      </c>
      <c r="U175">
        <v>9.0080880000000002E-2</v>
      </c>
      <c r="V175">
        <v>0.1157</v>
      </c>
      <c r="W175">
        <v>0.16857030000000001</v>
      </c>
      <c r="X175">
        <f t="shared" si="2"/>
        <v>0.1157</v>
      </c>
    </row>
    <row r="176" spans="1:24" x14ac:dyDescent="0.45">
      <c r="A176">
        <v>1070</v>
      </c>
      <c r="B176">
        <v>7</v>
      </c>
      <c r="C176">
        <v>2</v>
      </c>
      <c r="D176">
        <v>6</v>
      </c>
      <c r="E176">
        <v>-35</v>
      </c>
      <c r="F176">
        <v>3</v>
      </c>
      <c r="G176">
        <v>15</v>
      </c>
      <c r="H176">
        <v>3</v>
      </c>
      <c r="I176">
        <v>1</v>
      </c>
      <c r="J176">
        <v>0</v>
      </c>
      <c r="K176">
        <v>2</v>
      </c>
      <c r="L176">
        <v>1</v>
      </c>
      <c r="M176">
        <v>1</v>
      </c>
      <c r="N176">
        <v>2</v>
      </c>
      <c r="O176">
        <v>0.11951622058372</v>
      </c>
      <c r="P176">
        <v>2.91123944942</v>
      </c>
      <c r="Q176">
        <v>78.195584181877706</v>
      </c>
      <c r="R176">
        <v>0</v>
      </c>
      <c r="S176">
        <v>7.4293670000000006E-2</v>
      </c>
      <c r="T176">
        <v>0.35811779999999999</v>
      </c>
      <c r="U176">
        <v>0.63046000000000002</v>
      </c>
      <c r="V176">
        <v>0.73406680000000002</v>
      </c>
      <c r="W176">
        <v>1.255145</v>
      </c>
      <c r="X176">
        <f t="shared" si="2"/>
        <v>0.73406680000000002</v>
      </c>
    </row>
    <row r="177" spans="1:24" x14ac:dyDescent="0.45">
      <c r="A177">
        <v>1070</v>
      </c>
      <c r="B177">
        <v>8</v>
      </c>
      <c r="C177">
        <v>3</v>
      </c>
      <c r="D177">
        <v>2</v>
      </c>
      <c r="E177">
        <v>-35</v>
      </c>
      <c r="F177">
        <v>-3</v>
      </c>
      <c r="G177">
        <v>15</v>
      </c>
      <c r="H177">
        <v>-3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0.10472308388169201</v>
      </c>
      <c r="P177">
        <v>1.5169675095659401</v>
      </c>
      <c r="Q177">
        <v>78.539106570276402</v>
      </c>
      <c r="R177">
        <v>-3</v>
      </c>
      <c r="S177">
        <v>-2.9466540000000001</v>
      </c>
      <c r="T177">
        <v>-2.7499410000000002</v>
      </c>
      <c r="U177">
        <v>-2.5416180000000002</v>
      </c>
      <c r="V177">
        <v>-2.5821519999999998</v>
      </c>
      <c r="W177">
        <v>-2.528562</v>
      </c>
      <c r="X177">
        <f t="shared" si="2"/>
        <v>0.41784800000000022</v>
      </c>
    </row>
    <row r="178" spans="1:24" x14ac:dyDescent="0.45">
      <c r="A178">
        <v>1070</v>
      </c>
      <c r="B178">
        <v>9</v>
      </c>
      <c r="C178">
        <v>2</v>
      </c>
      <c r="D178">
        <v>7</v>
      </c>
      <c r="E178">
        <v>-35</v>
      </c>
      <c r="F178">
        <v>0</v>
      </c>
      <c r="G178">
        <v>15</v>
      </c>
      <c r="H178">
        <v>3</v>
      </c>
      <c r="I178">
        <v>2</v>
      </c>
      <c r="J178">
        <v>-2</v>
      </c>
      <c r="K178">
        <v>2</v>
      </c>
      <c r="L178">
        <v>0</v>
      </c>
      <c r="M178">
        <v>1</v>
      </c>
      <c r="N178">
        <v>-1</v>
      </c>
      <c r="O178">
        <v>0.102319471508342</v>
      </c>
      <c r="P178">
        <v>1.3633499681541601</v>
      </c>
      <c r="Q178">
        <v>76.344231914864395</v>
      </c>
      <c r="R178">
        <v>3</v>
      </c>
      <c r="S178">
        <v>3</v>
      </c>
      <c r="T178">
        <v>3.3256869999999998</v>
      </c>
      <c r="U178">
        <v>3.5390239999999999</v>
      </c>
      <c r="V178">
        <v>3.6366860000000001</v>
      </c>
      <c r="W178">
        <v>3.7081149999999998</v>
      </c>
      <c r="X178">
        <f t="shared" si="2"/>
        <v>0.63668600000000009</v>
      </c>
    </row>
    <row r="179" spans="1:24" x14ac:dyDescent="0.45">
      <c r="A179">
        <v>1070</v>
      </c>
      <c r="B179">
        <v>10</v>
      </c>
      <c r="C179">
        <v>1</v>
      </c>
      <c r="D179">
        <v>4</v>
      </c>
      <c r="E179">
        <v>-45</v>
      </c>
      <c r="F179">
        <v>0</v>
      </c>
      <c r="G179">
        <v>5</v>
      </c>
      <c r="H179">
        <v>3</v>
      </c>
      <c r="I179">
        <v>-1</v>
      </c>
      <c r="J179">
        <v>1</v>
      </c>
      <c r="K179">
        <v>-2</v>
      </c>
      <c r="L179">
        <v>-2</v>
      </c>
      <c r="M179">
        <v>-2</v>
      </c>
      <c r="N179">
        <v>-2</v>
      </c>
      <c r="O179">
        <v>0.12994548461877001</v>
      </c>
      <c r="P179">
        <v>2.4167718863693901</v>
      </c>
      <c r="Q179">
        <v>68.608821207025699</v>
      </c>
      <c r="R179">
        <v>3</v>
      </c>
      <c r="S179">
        <v>3</v>
      </c>
      <c r="T179">
        <v>3.102039</v>
      </c>
      <c r="U179">
        <v>3.3233709999999999</v>
      </c>
      <c r="V179">
        <v>3.4962849999999999</v>
      </c>
      <c r="W179">
        <v>3.566138</v>
      </c>
      <c r="X179">
        <f t="shared" si="2"/>
        <v>0.49628499999999987</v>
      </c>
    </row>
    <row r="180" spans="1:24" x14ac:dyDescent="0.45">
      <c r="A180">
        <v>1070</v>
      </c>
      <c r="B180">
        <v>11</v>
      </c>
      <c r="C180">
        <v>3</v>
      </c>
      <c r="D180">
        <v>5</v>
      </c>
      <c r="E180">
        <v>-35</v>
      </c>
      <c r="F180">
        <v>0</v>
      </c>
      <c r="G180">
        <v>15</v>
      </c>
      <c r="H180">
        <v>0</v>
      </c>
      <c r="I180">
        <v>2</v>
      </c>
      <c r="J180">
        <v>0</v>
      </c>
      <c r="K180">
        <v>2</v>
      </c>
      <c r="L180">
        <v>2</v>
      </c>
      <c r="M180">
        <v>2</v>
      </c>
      <c r="N180">
        <v>1</v>
      </c>
      <c r="O180">
        <v>0.121169581108667</v>
      </c>
      <c r="P180">
        <v>1.32058709907967</v>
      </c>
      <c r="Q180">
        <v>76.793516514997904</v>
      </c>
      <c r="R180">
        <v>3</v>
      </c>
      <c r="S180">
        <v>3</v>
      </c>
      <c r="T180">
        <v>3.0154380000000001</v>
      </c>
      <c r="U180">
        <v>3.0417209999999999</v>
      </c>
      <c r="V180">
        <v>3.1123880000000002</v>
      </c>
      <c r="W180">
        <v>3.2797939999999999</v>
      </c>
      <c r="X180">
        <f t="shared" si="2"/>
        <v>0.11238800000000015</v>
      </c>
    </row>
    <row r="181" spans="1:24" x14ac:dyDescent="0.45">
      <c r="A181">
        <v>1070</v>
      </c>
      <c r="B181">
        <v>12</v>
      </c>
      <c r="C181">
        <v>3</v>
      </c>
      <c r="D181">
        <v>3</v>
      </c>
      <c r="E181">
        <v>-35</v>
      </c>
      <c r="F181">
        <v>0</v>
      </c>
      <c r="G181">
        <v>15</v>
      </c>
      <c r="H181">
        <v>-3</v>
      </c>
      <c r="I181">
        <v>2</v>
      </c>
      <c r="J181">
        <v>1</v>
      </c>
      <c r="K181">
        <v>2</v>
      </c>
      <c r="L181">
        <v>2</v>
      </c>
      <c r="M181">
        <v>2</v>
      </c>
      <c r="N181">
        <v>2</v>
      </c>
      <c r="O181">
        <v>0.10042931361302</v>
      </c>
      <c r="P181">
        <v>0.95558588215997697</v>
      </c>
      <c r="Q181">
        <v>78.372206062544294</v>
      </c>
      <c r="R181">
        <v>-3</v>
      </c>
      <c r="S181">
        <v>-3.0514220000000001</v>
      </c>
      <c r="T181">
        <v>-2.9102570000000001</v>
      </c>
      <c r="U181">
        <v>-2.802543</v>
      </c>
      <c r="V181">
        <v>-2.8892950000000002</v>
      </c>
      <c r="W181">
        <v>-2.909802</v>
      </c>
      <c r="X181">
        <f t="shared" si="2"/>
        <v>0.11070499999999983</v>
      </c>
    </row>
    <row r="182" spans="1:24" x14ac:dyDescent="0.45">
      <c r="A182">
        <v>1070</v>
      </c>
      <c r="B182">
        <v>13</v>
      </c>
      <c r="C182">
        <v>1</v>
      </c>
      <c r="D182">
        <v>7</v>
      </c>
      <c r="E182">
        <v>-35</v>
      </c>
      <c r="F182">
        <v>0</v>
      </c>
      <c r="G182">
        <v>15</v>
      </c>
      <c r="H182">
        <v>3</v>
      </c>
      <c r="I182">
        <v>-2</v>
      </c>
      <c r="J182">
        <v>1</v>
      </c>
      <c r="K182">
        <v>-2</v>
      </c>
      <c r="L182">
        <v>-1</v>
      </c>
      <c r="M182">
        <v>-1</v>
      </c>
      <c r="N182">
        <v>-1</v>
      </c>
      <c r="O182">
        <v>0.107006425403226</v>
      </c>
      <c r="P182">
        <v>2.48147997117408</v>
      </c>
      <c r="Q182">
        <v>78.721812466819003</v>
      </c>
      <c r="R182">
        <v>3</v>
      </c>
      <c r="S182">
        <v>3</v>
      </c>
      <c r="T182">
        <v>2.8746019999999999</v>
      </c>
      <c r="U182">
        <v>3.3535529999999998</v>
      </c>
      <c r="V182">
        <v>3.4044469999999998</v>
      </c>
      <c r="W182">
        <v>3.5343089999999999</v>
      </c>
      <c r="X182">
        <f t="shared" si="2"/>
        <v>0.40444699999999978</v>
      </c>
    </row>
    <row r="183" spans="1:24" x14ac:dyDescent="0.45">
      <c r="A183">
        <v>1070</v>
      </c>
      <c r="B183">
        <v>14</v>
      </c>
      <c r="C183">
        <v>3</v>
      </c>
      <c r="D183">
        <v>1</v>
      </c>
      <c r="E183">
        <v>-35</v>
      </c>
      <c r="F183">
        <v>0</v>
      </c>
      <c r="G183">
        <v>15</v>
      </c>
      <c r="H183">
        <v>0</v>
      </c>
      <c r="I183">
        <v>1</v>
      </c>
      <c r="J183">
        <v>1</v>
      </c>
      <c r="K183">
        <v>2</v>
      </c>
      <c r="L183">
        <v>1</v>
      </c>
      <c r="M183">
        <v>1</v>
      </c>
      <c r="N183">
        <v>1</v>
      </c>
      <c r="O183">
        <v>0.115183225560817</v>
      </c>
      <c r="P183">
        <v>2.36703568280236</v>
      </c>
      <c r="Q183">
        <v>79.212017018263793</v>
      </c>
      <c r="R183">
        <v>0</v>
      </c>
      <c r="S183">
        <v>0</v>
      </c>
      <c r="T183">
        <v>-4.8631889999999997E-2</v>
      </c>
      <c r="U183">
        <v>-0.93671789999999999</v>
      </c>
      <c r="V183">
        <v>-2.3942480000000002</v>
      </c>
      <c r="W183">
        <v>-3.1243720000000001</v>
      </c>
      <c r="X183">
        <f t="shared" si="2"/>
        <v>2.3942480000000002</v>
      </c>
    </row>
    <row r="184" spans="1:24" x14ac:dyDescent="0.45">
      <c r="A184">
        <v>1070</v>
      </c>
      <c r="B184">
        <v>15</v>
      </c>
      <c r="C184">
        <v>2</v>
      </c>
      <c r="D184">
        <v>8</v>
      </c>
      <c r="E184">
        <v>-45</v>
      </c>
      <c r="F184">
        <v>0</v>
      </c>
      <c r="G184">
        <v>5</v>
      </c>
      <c r="H184">
        <v>-3</v>
      </c>
      <c r="I184">
        <v>0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0.119196993047124</v>
      </c>
      <c r="P184">
        <v>1.91882542991083</v>
      </c>
      <c r="Q184">
        <v>68.508969841092906</v>
      </c>
      <c r="R184">
        <v>-3</v>
      </c>
      <c r="S184">
        <v>-3.171192</v>
      </c>
      <c r="T184">
        <v>-3.0714480000000002</v>
      </c>
      <c r="U184">
        <v>-3.350835</v>
      </c>
      <c r="V184">
        <v>-3.5555970000000001</v>
      </c>
      <c r="W184">
        <v>-3.5978680000000001</v>
      </c>
      <c r="X184">
        <f t="shared" si="2"/>
        <v>0.55559700000000012</v>
      </c>
    </row>
    <row r="185" spans="1:24" x14ac:dyDescent="0.45">
      <c r="A185">
        <v>1070</v>
      </c>
      <c r="B185">
        <v>16</v>
      </c>
      <c r="C185">
        <v>2</v>
      </c>
      <c r="D185">
        <v>3</v>
      </c>
      <c r="E185">
        <v>-35</v>
      </c>
      <c r="F185">
        <v>0</v>
      </c>
      <c r="G185">
        <v>15</v>
      </c>
      <c r="H185">
        <v>-3</v>
      </c>
      <c r="I185">
        <v>1</v>
      </c>
      <c r="J185">
        <v>-1</v>
      </c>
      <c r="K185">
        <v>1</v>
      </c>
      <c r="L185">
        <v>1</v>
      </c>
      <c r="M185">
        <v>1</v>
      </c>
      <c r="N185">
        <v>1</v>
      </c>
      <c r="O185">
        <v>0.10385006854840099</v>
      </c>
      <c r="P185">
        <v>0.70568880792596</v>
      </c>
      <c r="Q185">
        <v>76.870208119432803</v>
      </c>
      <c r="R185">
        <v>-3</v>
      </c>
      <c r="S185">
        <v>-3</v>
      </c>
      <c r="T185">
        <v>-3.1833300000000002</v>
      </c>
      <c r="U185">
        <v>-3.2317119999999999</v>
      </c>
      <c r="V185">
        <v>-3.327467</v>
      </c>
      <c r="W185">
        <v>-3.2641990000000001</v>
      </c>
      <c r="X185">
        <f t="shared" si="2"/>
        <v>0.32746699999999995</v>
      </c>
    </row>
    <row r="186" spans="1:24" x14ac:dyDescent="0.45">
      <c r="A186">
        <v>1070</v>
      </c>
      <c r="B186">
        <v>17</v>
      </c>
      <c r="C186">
        <v>3</v>
      </c>
      <c r="D186">
        <v>6</v>
      </c>
      <c r="E186">
        <v>-35</v>
      </c>
      <c r="F186">
        <v>3</v>
      </c>
      <c r="G186">
        <v>15</v>
      </c>
      <c r="H186">
        <v>3</v>
      </c>
      <c r="I186">
        <v>-1</v>
      </c>
      <c r="J186">
        <v>-1</v>
      </c>
      <c r="K186">
        <v>1</v>
      </c>
      <c r="L186">
        <v>-2</v>
      </c>
      <c r="M186">
        <v>-1</v>
      </c>
      <c r="N186">
        <v>-1</v>
      </c>
      <c r="O186">
        <v>0.178525293304827</v>
      </c>
      <c r="P186">
        <v>5.8022604498264698</v>
      </c>
      <c r="Q186">
        <v>79.530412130327093</v>
      </c>
      <c r="R186">
        <v>0</v>
      </c>
      <c r="S186">
        <v>3.0827350000000001E-3</v>
      </c>
      <c r="T186">
        <v>0.10743</v>
      </c>
      <c r="U186">
        <v>0.1967064</v>
      </c>
      <c r="V186">
        <v>0.23812040000000001</v>
      </c>
      <c r="W186">
        <v>0.28905740000000002</v>
      </c>
      <c r="X186">
        <f t="shared" si="2"/>
        <v>0.23812040000000001</v>
      </c>
    </row>
    <row r="187" spans="1:24" x14ac:dyDescent="0.45">
      <c r="A187">
        <v>1070</v>
      </c>
      <c r="B187">
        <v>18</v>
      </c>
      <c r="C187">
        <v>1</v>
      </c>
      <c r="D187">
        <v>2</v>
      </c>
      <c r="E187">
        <v>-35</v>
      </c>
      <c r="F187">
        <v>-3</v>
      </c>
      <c r="G187">
        <v>15</v>
      </c>
      <c r="H187">
        <v>-3</v>
      </c>
      <c r="I187">
        <v>-2</v>
      </c>
      <c r="J187">
        <v>2</v>
      </c>
      <c r="K187">
        <v>-2</v>
      </c>
      <c r="L187">
        <v>-2</v>
      </c>
      <c r="M187">
        <v>-1</v>
      </c>
      <c r="N187">
        <v>-1</v>
      </c>
      <c r="O187">
        <v>0.166500265529616</v>
      </c>
      <c r="P187">
        <v>5.8479113515587899</v>
      </c>
      <c r="Q187">
        <v>79.205081125241904</v>
      </c>
      <c r="R187">
        <v>-3</v>
      </c>
      <c r="S187">
        <v>-3.027698</v>
      </c>
      <c r="T187">
        <v>-2.8587150000000001</v>
      </c>
      <c r="U187">
        <v>-2.7153649999999998</v>
      </c>
      <c r="V187">
        <v>-2.7682790000000002</v>
      </c>
      <c r="W187">
        <v>-2.879626</v>
      </c>
      <c r="X187">
        <f t="shared" si="2"/>
        <v>0.23172099999999984</v>
      </c>
    </row>
    <row r="188" spans="1:24" x14ac:dyDescent="0.45">
      <c r="A188">
        <v>1070</v>
      </c>
      <c r="B188">
        <v>19</v>
      </c>
      <c r="C188">
        <v>2</v>
      </c>
      <c r="D188">
        <v>5</v>
      </c>
      <c r="E188">
        <v>-35</v>
      </c>
      <c r="F188">
        <v>0</v>
      </c>
      <c r="G188">
        <v>15</v>
      </c>
      <c r="H188">
        <v>0</v>
      </c>
      <c r="I188">
        <v>1</v>
      </c>
      <c r="J188">
        <v>-1</v>
      </c>
      <c r="K188">
        <v>1</v>
      </c>
      <c r="L188">
        <v>1</v>
      </c>
      <c r="M188">
        <v>1</v>
      </c>
      <c r="N188">
        <v>2</v>
      </c>
      <c r="O188">
        <v>9.8686666995008498E-2</v>
      </c>
      <c r="P188">
        <v>1.3881582436356299</v>
      </c>
      <c r="Q188">
        <v>78.205882926741594</v>
      </c>
      <c r="R188">
        <v>3</v>
      </c>
      <c r="S188">
        <v>3</v>
      </c>
      <c r="T188">
        <v>2.8624930000000002</v>
      </c>
      <c r="U188">
        <v>2.8237749999999999</v>
      </c>
      <c r="V188">
        <v>2.7875839999999998</v>
      </c>
      <c r="W188">
        <v>2.8557229999999998</v>
      </c>
      <c r="X188">
        <f t="shared" si="2"/>
        <v>0.21241600000000016</v>
      </c>
    </row>
    <row r="189" spans="1:24" x14ac:dyDescent="0.45">
      <c r="A189">
        <v>1070</v>
      </c>
      <c r="B189">
        <v>20</v>
      </c>
      <c r="C189">
        <v>3</v>
      </c>
      <c r="D189">
        <v>4</v>
      </c>
      <c r="E189">
        <v>-45</v>
      </c>
      <c r="F189">
        <v>0</v>
      </c>
      <c r="G189">
        <v>5</v>
      </c>
      <c r="H189">
        <v>3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0.138039705284454</v>
      </c>
      <c r="P189">
        <v>2.5371698661359101</v>
      </c>
      <c r="Q189">
        <v>67.480772478556602</v>
      </c>
      <c r="R189">
        <v>3</v>
      </c>
      <c r="S189">
        <v>2.9676640000000001</v>
      </c>
      <c r="T189">
        <v>3.3272819999999999</v>
      </c>
      <c r="U189">
        <v>3.357424</v>
      </c>
      <c r="V189">
        <v>3.2962660000000001</v>
      </c>
      <c r="W189">
        <v>3.2197429999999998</v>
      </c>
      <c r="X189">
        <f t="shared" si="2"/>
        <v>0.29626600000000014</v>
      </c>
    </row>
    <row r="190" spans="1:24" x14ac:dyDescent="0.45">
      <c r="A190">
        <v>1070</v>
      </c>
      <c r="B190">
        <v>21</v>
      </c>
      <c r="C190">
        <v>1</v>
      </c>
      <c r="D190">
        <v>6</v>
      </c>
      <c r="E190">
        <v>-35</v>
      </c>
      <c r="F190">
        <v>3</v>
      </c>
      <c r="G190">
        <v>15</v>
      </c>
      <c r="H190">
        <v>3</v>
      </c>
      <c r="I190">
        <v>-2</v>
      </c>
      <c r="J190">
        <v>1</v>
      </c>
      <c r="K190">
        <v>-2</v>
      </c>
      <c r="L190">
        <v>-2</v>
      </c>
      <c r="M190">
        <v>-1</v>
      </c>
      <c r="N190">
        <v>-2</v>
      </c>
      <c r="O190">
        <v>0.155626212630877</v>
      </c>
      <c r="P190">
        <v>3.79935792586293</v>
      </c>
      <c r="Q190">
        <v>79.1375396463838</v>
      </c>
      <c r="R190">
        <v>0</v>
      </c>
      <c r="S190">
        <v>0</v>
      </c>
      <c r="T190">
        <v>-0.16063150000000001</v>
      </c>
      <c r="U190">
        <v>-8.3300470000000001E-2</v>
      </c>
      <c r="V190">
        <v>-0.1091524</v>
      </c>
      <c r="W190">
        <v>-0.11376500000000001</v>
      </c>
      <c r="X190">
        <f t="shared" si="2"/>
        <v>0.1091524</v>
      </c>
    </row>
    <row r="191" spans="1:24" x14ac:dyDescent="0.45">
      <c r="A191">
        <v>1070</v>
      </c>
      <c r="B191">
        <v>22</v>
      </c>
      <c r="C191">
        <v>1</v>
      </c>
      <c r="D191">
        <v>3</v>
      </c>
      <c r="E191">
        <v>-35</v>
      </c>
      <c r="F191">
        <v>0</v>
      </c>
      <c r="G191">
        <v>15</v>
      </c>
      <c r="H191">
        <v>-3</v>
      </c>
      <c r="I191">
        <v>0</v>
      </c>
      <c r="J191">
        <v>0</v>
      </c>
      <c r="K191">
        <v>-1</v>
      </c>
      <c r="L191">
        <v>0</v>
      </c>
      <c r="M191">
        <v>1</v>
      </c>
      <c r="N191">
        <v>0</v>
      </c>
      <c r="O191">
        <v>0.12932420584859999</v>
      </c>
      <c r="P191">
        <v>1.6471170988177699</v>
      </c>
      <c r="Q191">
        <v>78.684532896025203</v>
      </c>
      <c r="R191">
        <v>-3</v>
      </c>
      <c r="S191">
        <v>-3.074074</v>
      </c>
      <c r="T191">
        <v>-3.4412250000000002</v>
      </c>
      <c r="U191">
        <v>-3.7030789999999998</v>
      </c>
      <c r="V191">
        <v>-4.1153240000000002</v>
      </c>
      <c r="W191">
        <v>-4.3453730000000004</v>
      </c>
      <c r="X191">
        <f t="shared" si="2"/>
        <v>1.1153240000000002</v>
      </c>
    </row>
    <row r="192" spans="1:24" x14ac:dyDescent="0.45">
      <c r="A192">
        <v>1070</v>
      </c>
      <c r="B192">
        <v>23</v>
      </c>
      <c r="C192">
        <v>3</v>
      </c>
      <c r="D192">
        <v>8</v>
      </c>
      <c r="E192">
        <v>-45</v>
      </c>
      <c r="F192">
        <v>0</v>
      </c>
      <c r="G192">
        <v>5</v>
      </c>
      <c r="H192">
        <v>-3</v>
      </c>
      <c r="I192">
        <v>-1</v>
      </c>
      <c r="J192">
        <v>1</v>
      </c>
      <c r="K192">
        <v>1</v>
      </c>
      <c r="L192">
        <v>-1</v>
      </c>
      <c r="M192">
        <v>-1</v>
      </c>
      <c r="N192">
        <v>-1</v>
      </c>
      <c r="O192">
        <v>0.37917611064751</v>
      </c>
      <c r="P192">
        <v>26.344037676328298</v>
      </c>
      <c r="Q192">
        <v>33.3331981049935</v>
      </c>
      <c r="R192">
        <v>-3</v>
      </c>
      <c r="S192">
        <v>-3.0162770000000001</v>
      </c>
      <c r="T192">
        <v>-3.1451280000000001</v>
      </c>
      <c r="U192">
        <v>-3.260948</v>
      </c>
      <c r="V192">
        <v>-3.2931300000000001</v>
      </c>
      <c r="W192">
        <v>-3.2634180000000002</v>
      </c>
      <c r="X192">
        <f t="shared" si="2"/>
        <v>0.29313000000000011</v>
      </c>
    </row>
    <row r="193" spans="1:24" x14ac:dyDescent="0.45">
      <c r="A193">
        <v>1070</v>
      </c>
      <c r="B193">
        <v>24</v>
      </c>
      <c r="C193">
        <v>2</v>
      </c>
      <c r="D193">
        <v>1</v>
      </c>
      <c r="E193">
        <v>-35</v>
      </c>
      <c r="F193">
        <v>0</v>
      </c>
      <c r="G193">
        <v>15</v>
      </c>
      <c r="H193">
        <v>0</v>
      </c>
      <c r="I193">
        <v>2</v>
      </c>
      <c r="J193">
        <v>2</v>
      </c>
      <c r="K193">
        <v>2</v>
      </c>
      <c r="L193">
        <v>2</v>
      </c>
      <c r="M193">
        <v>0</v>
      </c>
      <c r="N193">
        <v>2</v>
      </c>
      <c r="O193">
        <v>0.32412902820831102</v>
      </c>
      <c r="P193">
        <v>25.0102908413187</v>
      </c>
      <c r="Q193">
        <v>84.8941267189455</v>
      </c>
      <c r="R193">
        <v>0</v>
      </c>
      <c r="S193">
        <v>0</v>
      </c>
      <c r="T193">
        <v>-2.6493900000000001E-2</v>
      </c>
      <c r="U193">
        <v>-4.9047430000000003E-2</v>
      </c>
      <c r="V193">
        <v>0.40343590000000001</v>
      </c>
      <c r="W193">
        <v>0.72333040000000004</v>
      </c>
      <c r="X193">
        <f t="shared" si="2"/>
        <v>0.40343590000000001</v>
      </c>
    </row>
    <row r="194" spans="1:24" x14ac:dyDescent="0.45">
      <c r="A194">
        <v>1080</v>
      </c>
      <c r="B194">
        <v>1</v>
      </c>
      <c r="C194">
        <v>2</v>
      </c>
      <c r="D194">
        <v>1</v>
      </c>
      <c r="E194">
        <v>-35</v>
      </c>
      <c r="F194">
        <v>0</v>
      </c>
      <c r="G194">
        <v>15</v>
      </c>
      <c r="H194">
        <v>0</v>
      </c>
      <c r="I194">
        <v>2</v>
      </c>
      <c r="J194">
        <v>2</v>
      </c>
      <c r="K194">
        <v>1</v>
      </c>
      <c r="L194">
        <v>-1</v>
      </c>
      <c r="M194">
        <v>1</v>
      </c>
      <c r="N194">
        <v>1</v>
      </c>
      <c r="O194">
        <v>0.146376714287236</v>
      </c>
      <c r="P194">
        <v>4.0498228564824297</v>
      </c>
      <c r="Q194">
        <v>77.177955040189801</v>
      </c>
      <c r="R194">
        <v>0</v>
      </c>
      <c r="S194">
        <v>0</v>
      </c>
      <c r="T194">
        <v>-5.0430229999999998E-4</v>
      </c>
      <c r="U194">
        <v>6.7695999999999997E-3</v>
      </c>
      <c r="V194">
        <v>-3.023935E-5</v>
      </c>
      <c r="W194">
        <v>0.19662489999999999</v>
      </c>
      <c r="X194">
        <f t="shared" si="2"/>
        <v>3.023935E-5</v>
      </c>
    </row>
    <row r="195" spans="1:24" x14ac:dyDescent="0.45">
      <c r="A195">
        <v>1080</v>
      </c>
      <c r="B195">
        <v>2</v>
      </c>
      <c r="C195">
        <v>3</v>
      </c>
      <c r="D195">
        <v>8</v>
      </c>
      <c r="E195">
        <v>-45</v>
      </c>
      <c r="F195">
        <v>0</v>
      </c>
      <c r="G195">
        <v>5</v>
      </c>
      <c r="H195">
        <v>-3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0.10118488842420401</v>
      </c>
      <c r="P195">
        <v>2.4646166226310702</v>
      </c>
      <c r="Q195">
        <v>68.251908340140503</v>
      </c>
      <c r="R195">
        <v>-3</v>
      </c>
      <c r="S195">
        <v>-3</v>
      </c>
      <c r="T195">
        <v>-2.9964010000000001</v>
      </c>
      <c r="U195">
        <v>-1.760062</v>
      </c>
      <c r="V195">
        <v>-0.33978809999999998</v>
      </c>
      <c r="W195">
        <v>1.0843419999999999</v>
      </c>
      <c r="X195">
        <f t="shared" ref="X195:X258" si="3">ABS(V195-R195)</f>
        <v>2.6602119000000002</v>
      </c>
    </row>
    <row r="196" spans="1:24" x14ac:dyDescent="0.45">
      <c r="A196">
        <v>1080</v>
      </c>
      <c r="B196">
        <v>3</v>
      </c>
      <c r="C196">
        <v>1</v>
      </c>
      <c r="D196">
        <v>3</v>
      </c>
      <c r="E196">
        <v>-35</v>
      </c>
      <c r="F196">
        <v>0</v>
      </c>
      <c r="G196">
        <v>15</v>
      </c>
      <c r="H196">
        <v>-3</v>
      </c>
      <c r="I196">
        <v>-1</v>
      </c>
      <c r="J196">
        <v>-1</v>
      </c>
      <c r="K196">
        <v>-1</v>
      </c>
      <c r="L196">
        <v>-2</v>
      </c>
      <c r="M196">
        <v>-1</v>
      </c>
      <c r="N196">
        <v>-1</v>
      </c>
      <c r="O196">
        <v>0.110109680434826</v>
      </c>
      <c r="P196">
        <v>1.0314539715886299</v>
      </c>
      <c r="Q196">
        <v>76.470740894403903</v>
      </c>
      <c r="R196">
        <v>-3</v>
      </c>
      <c r="S196">
        <v>-3</v>
      </c>
      <c r="T196">
        <v>-3.0758049999999999</v>
      </c>
      <c r="U196">
        <v>-3.2702149999999999</v>
      </c>
      <c r="V196">
        <v>-3.3857309999999998</v>
      </c>
      <c r="W196">
        <v>-3.5900850000000002</v>
      </c>
      <c r="X196">
        <f t="shared" si="3"/>
        <v>0.38573099999999982</v>
      </c>
    </row>
    <row r="197" spans="1:24" x14ac:dyDescent="0.45">
      <c r="A197">
        <v>1080</v>
      </c>
      <c r="B197">
        <v>4</v>
      </c>
      <c r="C197">
        <v>1</v>
      </c>
      <c r="D197">
        <v>6</v>
      </c>
      <c r="E197">
        <v>-35</v>
      </c>
      <c r="F197">
        <v>3</v>
      </c>
      <c r="G197">
        <v>15</v>
      </c>
      <c r="H197">
        <v>3</v>
      </c>
      <c r="I197">
        <v>-1</v>
      </c>
      <c r="J197">
        <v>-1</v>
      </c>
      <c r="K197">
        <v>-1</v>
      </c>
      <c r="L197">
        <v>-2</v>
      </c>
      <c r="M197">
        <v>-1</v>
      </c>
      <c r="N197">
        <v>0</v>
      </c>
      <c r="O197">
        <v>0.102644767515296</v>
      </c>
      <c r="P197">
        <v>1.37161249044976</v>
      </c>
      <c r="Q197">
        <v>78.8965878073178</v>
      </c>
      <c r="R197">
        <v>0</v>
      </c>
      <c r="S197">
        <v>1.282119E-3</v>
      </c>
      <c r="T197">
        <v>9.6905030000000003E-2</v>
      </c>
      <c r="U197">
        <v>0.68647659999999999</v>
      </c>
      <c r="V197">
        <v>1.7724059999999999</v>
      </c>
      <c r="W197">
        <v>2.7525659999999998</v>
      </c>
      <c r="X197">
        <f t="shared" si="3"/>
        <v>1.7724059999999999</v>
      </c>
    </row>
    <row r="198" spans="1:24" x14ac:dyDescent="0.45">
      <c r="A198">
        <v>1080</v>
      </c>
      <c r="B198">
        <v>5</v>
      </c>
      <c r="C198">
        <v>3</v>
      </c>
      <c r="D198">
        <v>4</v>
      </c>
      <c r="E198">
        <v>-45</v>
      </c>
      <c r="F198">
        <v>0</v>
      </c>
      <c r="G198">
        <v>5</v>
      </c>
      <c r="H198">
        <v>3</v>
      </c>
      <c r="I198">
        <v>0</v>
      </c>
      <c r="J198">
        <v>2</v>
      </c>
      <c r="K198">
        <v>1</v>
      </c>
      <c r="L198">
        <v>1</v>
      </c>
      <c r="M198">
        <v>1</v>
      </c>
      <c r="N198">
        <v>-1</v>
      </c>
      <c r="O198">
        <v>0.144964509315299</v>
      </c>
      <c r="P198">
        <v>5.2277707929637396</v>
      </c>
      <c r="Q198">
        <v>69.587479005674297</v>
      </c>
      <c r="R198">
        <v>3</v>
      </c>
      <c r="S198">
        <v>3</v>
      </c>
      <c r="T198">
        <v>2.087907</v>
      </c>
      <c r="U198">
        <v>1.056902</v>
      </c>
      <c r="V198">
        <v>1.614511</v>
      </c>
      <c r="W198">
        <v>2.561741</v>
      </c>
      <c r="X198">
        <f t="shared" si="3"/>
        <v>1.385489</v>
      </c>
    </row>
    <row r="199" spans="1:24" x14ac:dyDescent="0.45">
      <c r="A199">
        <v>1080</v>
      </c>
      <c r="B199">
        <v>6</v>
      </c>
      <c r="C199">
        <v>2</v>
      </c>
      <c r="D199">
        <v>5</v>
      </c>
      <c r="E199">
        <v>-35</v>
      </c>
      <c r="F199">
        <v>0</v>
      </c>
      <c r="G199">
        <v>15</v>
      </c>
      <c r="H199">
        <v>0</v>
      </c>
      <c r="I199">
        <v>2</v>
      </c>
      <c r="J199">
        <v>2</v>
      </c>
      <c r="K199">
        <v>2</v>
      </c>
      <c r="L199">
        <v>-1</v>
      </c>
      <c r="M199">
        <v>-1</v>
      </c>
      <c r="N199">
        <v>1</v>
      </c>
      <c r="O199">
        <v>0.12036108451861501</v>
      </c>
      <c r="P199">
        <v>1.4973666149793701</v>
      </c>
      <c r="Q199">
        <v>77.569747206696107</v>
      </c>
      <c r="R199">
        <v>3</v>
      </c>
      <c r="S199">
        <v>3.0035569999999998</v>
      </c>
      <c r="T199">
        <v>3.0657770000000002</v>
      </c>
      <c r="U199">
        <v>3.3160340000000001</v>
      </c>
      <c r="V199">
        <v>3.5382899999999999</v>
      </c>
      <c r="W199">
        <v>3.4584480000000002</v>
      </c>
      <c r="X199">
        <f t="shared" si="3"/>
        <v>0.53828999999999994</v>
      </c>
    </row>
    <row r="200" spans="1:24" x14ac:dyDescent="0.45">
      <c r="A200">
        <v>1080</v>
      </c>
      <c r="B200">
        <v>7</v>
      </c>
      <c r="C200">
        <v>1</v>
      </c>
      <c r="D200">
        <v>2</v>
      </c>
      <c r="E200">
        <v>-35</v>
      </c>
      <c r="F200">
        <v>-3</v>
      </c>
      <c r="G200">
        <v>15</v>
      </c>
      <c r="H200">
        <v>-3</v>
      </c>
      <c r="I200">
        <v>-2</v>
      </c>
      <c r="J200">
        <v>0</v>
      </c>
      <c r="K200">
        <v>-1</v>
      </c>
      <c r="L200">
        <v>-2</v>
      </c>
      <c r="M200">
        <v>-1</v>
      </c>
      <c r="N200">
        <v>-2</v>
      </c>
      <c r="O200">
        <v>0.113213327475353</v>
      </c>
      <c r="P200">
        <v>2.6670534136675799</v>
      </c>
      <c r="Q200">
        <v>77.515426788014096</v>
      </c>
      <c r="R200">
        <v>-3</v>
      </c>
      <c r="S200">
        <v>-3</v>
      </c>
      <c r="T200">
        <v>-3.2360129999999998</v>
      </c>
      <c r="U200">
        <v>-3.3006329999999999</v>
      </c>
      <c r="V200">
        <v>-3.1851790000000002</v>
      </c>
      <c r="W200">
        <v>-2.9640469999999999</v>
      </c>
      <c r="X200">
        <f t="shared" si="3"/>
        <v>0.1851790000000002</v>
      </c>
    </row>
    <row r="201" spans="1:24" x14ac:dyDescent="0.45">
      <c r="A201">
        <v>1080</v>
      </c>
      <c r="B201">
        <v>8</v>
      </c>
      <c r="C201">
        <v>3</v>
      </c>
      <c r="D201">
        <v>6</v>
      </c>
      <c r="E201">
        <v>-35</v>
      </c>
      <c r="F201">
        <v>3</v>
      </c>
      <c r="G201">
        <v>15</v>
      </c>
      <c r="H201">
        <v>3</v>
      </c>
      <c r="I201">
        <v>1</v>
      </c>
      <c r="J201">
        <v>2</v>
      </c>
      <c r="K201">
        <v>2</v>
      </c>
      <c r="L201">
        <v>2</v>
      </c>
      <c r="M201">
        <v>1</v>
      </c>
      <c r="N201">
        <v>2</v>
      </c>
      <c r="O201">
        <v>9.9832086197820899E-2</v>
      </c>
      <c r="P201">
        <v>2.0483518108724201</v>
      </c>
      <c r="Q201">
        <v>77.306993376075596</v>
      </c>
      <c r="R201">
        <v>0</v>
      </c>
      <c r="S201">
        <v>0</v>
      </c>
      <c r="T201">
        <v>-0.63273199999999996</v>
      </c>
      <c r="U201">
        <v>-0.1110244</v>
      </c>
      <c r="V201">
        <v>0.88766310000000004</v>
      </c>
      <c r="W201">
        <v>1.949139</v>
      </c>
      <c r="X201">
        <f t="shared" si="3"/>
        <v>0.88766310000000004</v>
      </c>
    </row>
    <row r="202" spans="1:24" x14ac:dyDescent="0.45">
      <c r="A202">
        <v>1080</v>
      </c>
      <c r="B202">
        <v>9</v>
      </c>
      <c r="C202">
        <v>2</v>
      </c>
      <c r="D202">
        <v>3</v>
      </c>
      <c r="E202">
        <v>-35</v>
      </c>
      <c r="F202">
        <v>0</v>
      </c>
      <c r="G202">
        <v>15</v>
      </c>
      <c r="H202">
        <v>-3</v>
      </c>
      <c r="I202">
        <v>-2</v>
      </c>
      <c r="J202">
        <v>-2</v>
      </c>
      <c r="K202">
        <v>0</v>
      </c>
      <c r="L202">
        <v>-2</v>
      </c>
      <c r="M202">
        <v>-2</v>
      </c>
      <c r="N202">
        <v>-2</v>
      </c>
      <c r="O202">
        <v>0.156497735866827</v>
      </c>
      <c r="P202">
        <v>3.93534041755803</v>
      </c>
      <c r="Q202">
        <v>78.873243780721296</v>
      </c>
      <c r="R202">
        <v>-3</v>
      </c>
      <c r="S202">
        <v>-3</v>
      </c>
      <c r="T202">
        <v>-3.3404470000000002</v>
      </c>
      <c r="U202">
        <v>-3.6780650000000001</v>
      </c>
      <c r="V202">
        <v>-3.9531550000000002</v>
      </c>
      <c r="W202">
        <v>-3.3058930000000002</v>
      </c>
      <c r="X202">
        <f t="shared" si="3"/>
        <v>0.9531550000000002</v>
      </c>
    </row>
    <row r="203" spans="1:24" x14ac:dyDescent="0.45">
      <c r="A203">
        <v>1080</v>
      </c>
      <c r="B203">
        <v>10</v>
      </c>
      <c r="C203">
        <v>2</v>
      </c>
      <c r="D203">
        <v>8</v>
      </c>
      <c r="E203">
        <v>-45</v>
      </c>
      <c r="F203">
        <v>0</v>
      </c>
      <c r="G203">
        <v>5</v>
      </c>
      <c r="H203">
        <v>-3</v>
      </c>
      <c r="I203">
        <v>-2</v>
      </c>
      <c r="J203">
        <v>-1</v>
      </c>
      <c r="K203">
        <v>-1</v>
      </c>
      <c r="L203">
        <v>-2</v>
      </c>
      <c r="M203">
        <v>-2</v>
      </c>
      <c r="N203">
        <v>-2</v>
      </c>
      <c r="O203">
        <v>0.16377147374006401</v>
      </c>
      <c r="P203">
        <v>5.5866083867939098</v>
      </c>
      <c r="Q203">
        <v>68.295904808515104</v>
      </c>
      <c r="R203">
        <v>-3</v>
      </c>
      <c r="S203">
        <v>-2.8985799999999999</v>
      </c>
      <c r="T203">
        <v>-1.9538120000000001</v>
      </c>
      <c r="U203">
        <v>-0.60696170000000005</v>
      </c>
      <c r="V203">
        <v>0.81933529999999999</v>
      </c>
      <c r="W203">
        <v>1.5455650000000001</v>
      </c>
      <c r="X203">
        <f t="shared" si="3"/>
        <v>3.8193353000000001</v>
      </c>
    </row>
    <row r="204" spans="1:24" x14ac:dyDescent="0.45">
      <c r="A204">
        <v>1080</v>
      </c>
      <c r="B204">
        <v>11</v>
      </c>
      <c r="C204">
        <v>3</v>
      </c>
      <c r="D204">
        <v>1</v>
      </c>
      <c r="E204">
        <v>-35</v>
      </c>
      <c r="F204">
        <v>0</v>
      </c>
      <c r="G204">
        <v>15</v>
      </c>
      <c r="H204">
        <v>0</v>
      </c>
      <c r="I204">
        <v>1</v>
      </c>
      <c r="J204">
        <v>1</v>
      </c>
      <c r="K204">
        <v>1</v>
      </c>
      <c r="L204">
        <v>2</v>
      </c>
      <c r="M204">
        <v>1</v>
      </c>
      <c r="N204">
        <v>2</v>
      </c>
      <c r="O204">
        <v>0.120828997418717</v>
      </c>
      <c r="P204">
        <v>1.7214253290246699</v>
      </c>
      <c r="Q204">
        <v>78.795779055392302</v>
      </c>
      <c r="R204">
        <v>0</v>
      </c>
      <c r="S204">
        <v>-0.28685709999999998</v>
      </c>
      <c r="T204">
        <v>-1.024454</v>
      </c>
      <c r="U204">
        <v>-2.292081</v>
      </c>
      <c r="V204">
        <v>-3.2861370000000001</v>
      </c>
      <c r="W204">
        <v>-3.9013390000000001</v>
      </c>
      <c r="X204">
        <f t="shared" si="3"/>
        <v>3.2861370000000001</v>
      </c>
    </row>
    <row r="205" spans="1:24" x14ac:dyDescent="0.45">
      <c r="A205">
        <v>1080</v>
      </c>
      <c r="B205">
        <v>12</v>
      </c>
      <c r="C205">
        <v>1</v>
      </c>
      <c r="D205">
        <v>7</v>
      </c>
      <c r="E205">
        <v>-35</v>
      </c>
      <c r="F205">
        <v>0</v>
      </c>
      <c r="G205">
        <v>15</v>
      </c>
      <c r="H205">
        <v>3</v>
      </c>
      <c r="I205">
        <v>-1</v>
      </c>
      <c r="J205">
        <v>-1</v>
      </c>
      <c r="K205">
        <v>-1</v>
      </c>
      <c r="L205">
        <v>-1</v>
      </c>
      <c r="M205">
        <v>0</v>
      </c>
      <c r="N205">
        <v>-1</v>
      </c>
      <c r="O205">
        <v>0.14439140546321499</v>
      </c>
      <c r="P205">
        <v>7.7466824597757</v>
      </c>
      <c r="Q205">
        <v>83.090437853484303</v>
      </c>
      <c r="R205">
        <v>3</v>
      </c>
      <c r="S205">
        <v>3.0027910000000002</v>
      </c>
      <c r="T205">
        <v>3.1410830000000001</v>
      </c>
      <c r="U205">
        <v>3.2944429999999998</v>
      </c>
      <c r="V205">
        <v>3.4867400000000002</v>
      </c>
      <c r="W205">
        <v>3.6917110000000002</v>
      </c>
      <c r="X205">
        <f t="shared" si="3"/>
        <v>0.48674000000000017</v>
      </c>
    </row>
    <row r="206" spans="1:24" x14ac:dyDescent="0.45">
      <c r="A206">
        <v>1080</v>
      </c>
      <c r="B206">
        <v>13</v>
      </c>
      <c r="C206">
        <v>3</v>
      </c>
      <c r="D206">
        <v>3</v>
      </c>
      <c r="E206">
        <v>-35</v>
      </c>
      <c r="F206">
        <v>0</v>
      </c>
      <c r="G206">
        <v>15</v>
      </c>
      <c r="H206">
        <v>-3</v>
      </c>
      <c r="I206">
        <v>0</v>
      </c>
      <c r="J206">
        <v>0</v>
      </c>
      <c r="K206">
        <v>-1</v>
      </c>
      <c r="L206">
        <v>2</v>
      </c>
      <c r="M206">
        <v>1</v>
      </c>
      <c r="N206">
        <v>1</v>
      </c>
      <c r="O206">
        <v>0.104734821727497</v>
      </c>
      <c r="P206">
        <v>9.0817147674596299</v>
      </c>
      <c r="Q206">
        <v>77.028822447227398</v>
      </c>
      <c r="R206">
        <v>-3</v>
      </c>
      <c r="S206">
        <v>-3.124323</v>
      </c>
      <c r="T206">
        <v>-3.9744959999999998</v>
      </c>
      <c r="U206">
        <v>-4.4716149999999999</v>
      </c>
      <c r="V206">
        <v>-4.4586199999999998</v>
      </c>
      <c r="W206">
        <v>-4.3304640000000001</v>
      </c>
      <c r="X206">
        <f t="shared" si="3"/>
        <v>1.4586199999999998</v>
      </c>
    </row>
    <row r="207" spans="1:24" x14ac:dyDescent="0.45">
      <c r="A207">
        <v>1080</v>
      </c>
      <c r="B207">
        <v>14</v>
      </c>
      <c r="C207">
        <v>3</v>
      </c>
      <c r="D207">
        <v>5</v>
      </c>
      <c r="E207">
        <v>-35</v>
      </c>
      <c r="F207">
        <v>0</v>
      </c>
      <c r="G207">
        <v>15</v>
      </c>
      <c r="H207">
        <v>0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9.8138703229052104E-2</v>
      </c>
      <c r="P207">
        <v>0.73238158076547399</v>
      </c>
      <c r="Q207">
        <v>76.423999875085102</v>
      </c>
      <c r="R207">
        <v>3</v>
      </c>
      <c r="S207">
        <v>3</v>
      </c>
      <c r="T207">
        <v>2.8250820000000001</v>
      </c>
      <c r="U207">
        <v>2.7973129999999999</v>
      </c>
      <c r="V207">
        <v>3.1144699999999998</v>
      </c>
      <c r="W207">
        <v>3.4699559999999998</v>
      </c>
      <c r="X207">
        <f t="shared" si="3"/>
        <v>0.11446999999999985</v>
      </c>
    </row>
    <row r="208" spans="1:24" x14ac:dyDescent="0.45">
      <c r="A208">
        <v>1080</v>
      </c>
      <c r="B208">
        <v>15</v>
      </c>
      <c r="C208">
        <v>1</v>
      </c>
      <c r="D208">
        <v>4</v>
      </c>
      <c r="E208">
        <v>-45</v>
      </c>
      <c r="F208">
        <v>0</v>
      </c>
      <c r="G208">
        <v>5</v>
      </c>
      <c r="H208">
        <v>3</v>
      </c>
      <c r="I208">
        <v>-1</v>
      </c>
      <c r="J208">
        <v>-1</v>
      </c>
      <c r="K208">
        <v>-1</v>
      </c>
      <c r="L208">
        <v>-1</v>
      </c>
      <c r="M208">
        <v>1</v>
      </c>
      <c r="N208">
        <v>0</v>
      </c>
      <c r="O208">
        <v>0.14309778030827999</v>
      </c>
      <c r="P208">
        <v>6.3275778809882901</v>
      </c>
      <c r="Q208">
        <v>69.009465806536994</v>
      </c>
      <c r="R208">
        <v>3</v>
      </c>
      <c r="S208">
        <v>3</v>
      </c>
      <c r="T208">
        <v>2.6087039999999999</v>
      </c>
      <c r="U208">
        <v>1.9201060000000001</v>
      </c>
      <c r="V208">
        <v>0.139712</v>
      </c>
      <c r="W208">
        <v>-1.4836590000000001</v>
      </c>
      <c r="X208">
        <f t="shared" si="3"/>
        <v>2.8602880000000002</v>
      </c>
    </row>
    <row r="209" spans="1:24" x14ac:dyDescent="0.45">
      <c r="A209">
        <v>1080</v>
      </c>
      <c r="B209">
        <v>16</v>
      </c>
      <c r="C209">
        <v>2</v>
      </c>
      <c r="D209">
        <v>7</v>
      </c>
      <c r="E209">
        <v>-35</v>
      </c>
      <c r="F209">
        <v>0</v>
      </c>
      <c r="G209">
        <v>15</v>
      </c>
      <c r="H209">
        <v>3</v>
      </c>
      <c r="I209">
        <v>0</v>
      </c>
      <c r="J209">
        <v>-1</v>
      </c>
      <c r="K209">
        <v>-1</v>
      </c>
      <c r="L209">
        <v>-1</v>
      </c>
      <c r="M209">
        <v>-1</v>
      </c>
      <c r="N209">
        <v>1</v>
      </c>
      <c r="O209">
        <v>9.5881084252311705E-2</v>
      </c>
      <c r="P209">
        <v>0.69718370123894402</v>
      </c>
      <c r="Q209">
        <v>77.086533343976399</v>
      </c>
      <c r="R209">
        <v>3</v>
      </c>
      <c r="S209">
        <v>2.9997319999999998</v>
      </c>
      <c r="T209">
        <v>2.7440009999999999</v>
      </c>
      <c r="U209">
        <v>2.757088</v>
      </c>
      <c r="V209">
        <v>2.9046949999999998</v>
      </c>
      <c r="W209">
        <v>3.0315690000000002</v>
      </c>
      <c r="X209">
        <f t="shared" si="3"/>
        <v>9.5305000000000195E-2</v>
      </c>
    </row>
    <row r="210" spans="1:24" x14ac:dyDescent="0.45">
      <c r="A210">
        <v>1080</v>
      </c>
      <c r="B210">
        <v>17</v>
      </c>
      <c r="C210">
        <v>3</v>
      </c>
      <c r="D210">
        <v>2</v>
      </c>
      <c r="E210">
        <v>-35</v>
      </c>
      <c r="F210">
        <v>-3</v>
      </c>
      <c r="G210">
        <v>15</v>
      </c>
      <c r="H210">
        <v>-3</v>
      </c>
      <c r="I210">
        <v>2</v>
      </c>
      <c r="J210">
        <v>1</v>
      </c>
      <c r="K210">
        <v>1</v>
      </c>
      <c r="L210">
        <v>2</v>
      </c>
      <c r="M210">
        <v>1</v>
      </c>
      <c r="N210">
        <v>2</v>
      </c>
      <c r="O210">
        <v>0.10942317383683101</v>
      </c>
      <c r="P210">
        <v>1.25540447134931</v>
      </c>
      <c r="Q210">
        <v>78.300780021909304</v>
      </c>
      <c r="R210">
        <v>-3</v>
      </c>
      <c r="S210">
        <v>-3.179163</v>
      </c>
      <c r="T210">
        <v>-3.7510059999999998</v>
      </c>
      <c r="U210">
        <v>-3.9187129999999999</v>
      </c>
      <c r="V210">
        <v>-4.0489959999999998</v>
      </c>
      <c r="W210">
        <v>-4.1710469999999997</v>
      </c>
      <c r="X210">
        <f t="shared" si="3"/>
        <v>1.0489959999999998</v>
      </c>
    </row>
    <row r="211" spans="1:24" x14ac:dyDescent="0.45">
      <c r="A211">
        <v>1080</v>
      </c>
      <c r="B211">
        <v>18</v>
      </c>
      <c r="C211">
        <v>2</v>
      </c>
      <c r="D211">
        <v>6</v>
      </c>
      <c r="E211">
        <v>-35</v>
      </c>
      <c r="F211">
        <v>3</v>
      </c>
      <c r="G211">
        <v>15</v>
      </c>
      <c r="H211">
        <v>3</v>
      </c>
      <c r="I211">
        <v>0</v>
      </c>
      <c r="J211">
        <v>1</v>
      </c>
      <c r="K211">
        <v>1</v>
      </c>
      <c r="L211">
        <v>-1</v>
      </c>
      <c r="M211">
        <v>-1</v>
      </c>
      <c r="N211">
        <v>1</v>
      </c>
      <c r="O211">
        <v>0.120323088077288</v>
      </c>
      <c r="P211">
        <v>1.5602196667196699</v>
      </c>
      <c r="Q211">
        <v>78.928234654720995</v>
      </c>
      <c r="R211">
        <v>0</v>
      </c>
      <c r="S211">
        <v>-1.31567E-2</v>
      </c>
      <c r="T211">
        <v>1.6974570000000001E-2</v>
      </c>
      <c r="U211">
        <v>0.86925189999999997</v>
      </c>
      <c r="V211">
        <v>1.6627339999999999</v>
      </c>
      <c r="W211">
        <v>2.3261340000000001</v>
      </c>
      <c r="X211">
        <f t="shared" si="3"/>
        <v>1.6627339999999999</v>
      </c>
    </row>
    <row r="212" spans="1:24" x14ac:dyDescent="0.45">
      <c r="A212">
        <v>1080</v>
      </c>
      <c r="B212">
        <v>19</v>
      </c>
      <c r="C212">
        <v>1</v>
      </c>
      <c r="D212">
        <v>1</v>
      </c>
      <c r="E212">
        <v>-35</v>
      </c>
      <c r="F212">
        <v>0</v>
      </c>
      <c r="G212">
        <v>15</v>
      </c>
      <c r="H212">
        <v>0</v>
      </c>
      <c r="I212">
        <v>0</v>
      </c>
      <c r="J212">
        <v>1</v>
      </c>
      <c r="K212">
        <v>0</v>
      </c>
      <c r="L212">
        <v>-1</v>
      </c>
      <c r="M212">
        <v>2</v>
      </c>
      <c r="N212">
        <v>2</v>
      </c>
      <c r="O212">
        <v>0.119383646275688</v>
      </c>
      <c r="P212">
        <v>1.4515859957838799</v>
      </c>
      <c r="Q212">
        <v>76.803276172407706</v>
      </c>
      <c r="R212">
        <v>0</v>
      </c>
      <c r="S212">
        <v>0</v>
      </c>
      <c r="T212">
        <v>-0.62057519999999999</v>
      </c>
      <c r="U212">
        <v>-1.856922</v>
      </c>
      <c r="V212">
        <v>-2.9266350000000001</v>
      </c>
      <c r="W212">
        <v>-3.7478310000000001</v>
      </c>
      <c r="X212">
        <f t="shared" si="3"/>
        <v>2.9266350000000001</v>
      </c>
    </row>
    <row r="213" spans="1:24" x14ac:dyDescent="0.45">
      <c r="A213">
        <v>1080</v>
      </c>
      <c r="B213">
        <v>20</v>
      </c>
      <c r="C213">
        <v>1</v>
      </c>
      <c r="D213">
        <v>8</v>
      </c>
      <c r="E213">
        <v>-45</v>
      </c>
      <c r="F213">
        <v>0</v>
      </c>
      <c r="G213">
        <v>5</v>
      </c>
      <c r="H213">
        <v>-3</v>
      </c>
      <c r="I213">
        <v>0</v>
      </c>
      <c r="J213">
        <v>-1</v>
      </c>
      <c r="K213">
        <v>-1</v>
      </c>
      <c r="L213">
        <v>-1</v>
      </c>
      <c r="M213">
        <v>-1</v>
      </c>
      <c r="N213">
        <v>0</v>
      </c>
      <c r="O213">
        <v>0.134620176518428</v>
      </c>
      <c r="P213">
        <v>2.7420272410091302</v>
      </c>
      <c r="Q213">
        <v>67.716036889730006</v>
      </c>
      <c r="R213">
        <v>-3</v>
      </c>
      <c r="S213">
        <v>-2.99329</v>
      </c>
      <c r="T213">
        <v>-2.4948260000000002</v>
      </c>
      <c r="U213">
        <v>-1.153648</v>
      </c>
      <c r="V213">
        <v>0.58629419999999999</v>
      </c>
      <c r="W213">
        <v>1.845828</v>
      </c>
      <c r="X213">
        <f t="shared" si="3"/>
        <v>3.5862942000000002</v>
      </c>
    </row>
    <row r="214" spans="1:24" x14ac:dyDescent="0.45">
      <c r="A214">
        <v>1080</v>
      </c>
      <c r="B214">
        <v>21</v>
      </c>
      <c r="C214">
        <v>2</v>
      </c>
      <c r="D214">
        <v>2</v>
      </c>
      <c r="E214">
        <v>-35</v>
      </c>
      <c r="F214">
        <v>-3</v>
      </c>
      <c r="G214">
        <v>15</v>
      </c>
      <c r="H214">
        <v>-3</v>
      </c>
      <c r="I214">
        <v>-2</v>
      </c>
      <c r="J214">
        <v>-2</v>
      </c>
      <c r="K214">
        <v>-2</v>
      </c>
      <c r="L214">
        <v>-2</v>
      </c>
      <c r="M214">
        <v>-2</v>
      </c>
      <c r="N214">
        <v>-2</v>
      </c>
      <c r="O214">
        <v>0.12320607941448</v>
      </c>
      <c r="P214">
        <v>4.4388219820266297</v>
      </c>
      <c r="Q214">
        <v>78.850075445528304</v>
      </c>
      <c r="R214">
        <v>-3</v>
      </c>
      <c r="S214">
        <v>-3.064308</v>
      </c>
      <c r="T214">
        <v>-3.5306220000000001</v>
      </c>
      <c r="U214">
        <v>-3.3895209999999998</v>
      </c>
      <c r="V214">
        <v>-2.2942459999999998</v>
      </c>
      <c r="W214">
        <v>-2.9064049999999999</v>
      </c>
      <c r="X214">
        <f t="shared" si="3"/>
        <v>0.70575400000000021</v>
      </c>
    </row>
    <row r="215" spans="1:24" x14ac:dyDescent="0.45">
      <c r="A215">
        <v>1080</v>
      </c>
      <c r="B215">
        <v>22</v>
      </c>
      <c r="C215">
        <v>3</v>
      </c>
      <c r="D215">
        <v>7</v>
      </c>
      <c r="E215">
        <v>-35</v>
      </c>
      <c r="F215">
        <v>0</v>
      </c>
      <c r="G215">
        <v>15</v>
      </c>
      <c r="H215">
        <v>3</v>
      </c>
      <c r="I215">
        <v>1</v>
      </c>
      <c r="J215">
        <v>1</v>
      </c>
      <c r="K215">
        <v>1</v>
      </c>
      <c r="L215">
        <v>2</v>
      </c>
      <c r="M215">
        <v>1</v>
      </c>
      <c r="N215">
        <v>1</v>
      </c>
      <c r="O215">
        <v>0.100264562016985</v>
      </c>
      <c r="P215">
        <v>1.0728472728680201</v>
      </c>
      <c r="Q215">
        <v>78.407028348112306</v>
      </c>
      <c r="R215">
        <v>3</v>
      </c>
      <c r="S215">
        <v>3.0186730000000002</v>
      </c>
      <c r="T215">
        <v>3.0782690000000001</v>
      </c>
      <c r="U215">
        <v>3.246699</v>
      </c>
      <c r="V215">
        <v>3.5218790000000002</v>
      </c>
      <c r="W215">
        <v>3.8239489999999998</v>
      </c>
      <c r="X215">
        <f t="shared" si="3"/>
        <v>0.5218790000000002</v>
      </c>
    </row>
    <row r="216" spans="1:24" x14ac:dyDescent="0.45">
      <c r="A216">
        <v>1080</v>
      </c>
      <c r="B216">
        <v>23</v>
      </c>
      <c r="C216">
        <v>2</v>
      </c>
      <c r="D216">
        <v>4</v>
      </c>
      <c r="E216">
        <v>-45</v>
      </c>
      <c r="F216">
        <v>0</v>
      </c>
      <c r="G216">
        <v>5</v>
      </c>
      <c r="H216">
        <v>3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1</v>
      </c>
      <c r="O216">
        <v>0.18584914717759701</v>
      </c>
      <c r="P216">
        <v>5.2708790315611704</v>
      </c>
      <c r="Q216">
        <v>67.159492035742105</v>
      </c>
      <c r="R216">
        <v>3</v>
      </c>
      <c r="S216">
        <v>2.9183949999999999</v>
      </c>
      <c r="T216">
        <v>2.3978220000000001</v>
      </c>
      <c r="U216">
        <v>1.0038609999999999</v>
      </c>
      <c r="V216">
        <v>-0.86249810000000005</v>
      </c>
      <c r="W216">
        <v>-2.1829559999999999</v>
      </c>
      <c r="X216">
        <f t="shared" si="3"/>
        <v>3.8624980999999998</v>
      </c>
    </row>
    <row r="217" spans="1:24" x14ac:dyDescent="0.45">
      <c r="A217">
        <v>1080</v>
      </c>
      <c r="B217">
        <v>24</v>
      </c>
      <c r="C217">
        <v>1</v>
      </c>
      <c r="D217">
        <v>5</v>
      </c>
      <c r="E217">
        <v>-35</v>
      </c>
      <c r="F217">
        <v>0</v>
      </c>
      <c r="G217">
        <v>15</v>
      </c>
      <c r="H217">
        <v>0</v>
      </c>
      <c r="I217">
        <v>-2</v>
      </c>
      <c r="J217">
        <v>0</v>
      </c>
      <c r="K217">
        <v>1</v>
      </c>
      <c r="L217">
        <v>-2</v>
      </c>
      <c r="M217">
        <v>-2</v>
      </c>
      <c r="N217">
        <v>-2</v>
      </c>
      <c r="O217">
        <v>0.151780794986239</v>
      </c>
      <c r="P217">
        <v>3.6334920143292302</v>
      </c>
      <c r="Q217">
        <v>79.882261699110899</v>
      </c>
      <c r="R217">
        <v>3</v>
      </c>
      <c r="S217">
        <v>3.1111149999999999</v>
      </c>
      <c r="T217">
        <v>3.357685</v>
      </c>
      <c r="U217">
        <v>3.6468970000000001</v>
      </c>
      <c r="V217">
        <v>4.0242979999999999</v>
      </c>
      <c r="W217">
        <v>4.3003309999999999</v>
      </c>
      <c r="X217">
        <f t="shared" si="3"/>
        <v>1.0242979999999999</v>
      </c>
    </row>
    <row r="218" spans="1:24" x14ac:dyDescent="0.45">
      <c r="A218">
        <v>1090</v>
      </c>
      <c r="B218">
        <v>1</v>
      </c>
      <c r="C218">
        <v>1</v>
      </c>
      <c r="D218">
        <v>5</v>
      </c>
      <c r="E218">
        <v>-35</v>
      </c>
      <c r="F218">
        <v>0</v>
      </c>
      <c r="G218">
        <v>15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0.12100111298277</v>
      </c>
      <c r="P218">
        <v>3.2230991441384198</v>
      </c>
      <c r="Q218">
        <v>77.135538901576993</v>
      </c>
      <c r="R218">
        <v>3</v>
      </c>
      <c r="S218">
        <v>3</v>
      </c>
      <c r="T218">
        <v>2.9990670000000001</v>
      </c>
      <c r="U218">
        <v>2.820821</v>
      </c>
      <c r="V218">
        <v>2.1374379999999999</v>
      </c>
      <c r="W218">
        <v>0.93149389999999999</v>
      </c>
      <c r="X218">
        <f t="shared" si="3"/>
        <v>0.86256200000000005</v>
      </c>
    </row>
    <row r="219" spans="1:24" x14ac:dyDescent="0.45">
      <c r="A219">
        <v>1090</v>
      </c>
      <c r="B219">
        <v>2</v>
      </c>
      <c r="C219">
        <v>2</v>
      </c>
      <c r="D219">
        <v>4</v>
      </c>
      <c r="E219">
        <v>-45</v>
      </c>
      <c r="F219">
        <v>0</v>
      </c>
      <c r="G219">
        <v>5</v>
      </c>
      <c r="H219">
        <v>3</v>
      </c>
      <c r="I219">
        <v>2</v>
      </c>
      <c r="J219">
        <v>1</v>
      </c>
      <c r="K219">
        <v>2</v>
      </c>
      <c r="L219">
        <v>2</v>
      </c>
      <c r="M219">
        <v>2</v>
      </c>
      <c r="N219">
        <v>2</v>
      </c>
      <c r="O219">
        <v>0.138340923352718</v>
      </c>
      <c r="P219">
        <v>4.8034914799812896</v>
      </c>
      <c r="Q219">
        <v>68.482113256020099</v>
      </c>
      <c r="R219">
        <v>3</v>
      </c>
      <c r="S219">
        <v>3</v>
      </c>
      <c r="T219">
        <v>2.8578060000000001</v>
      </c>
      <c r="U219">
        <v>0.92076089999999999</v>
      </c>
      <c r="V219">
        <v>-0.71674970000000005</v>
      </c>
      <c r="W219">
        <v>-2.3120729999999998</v>
      </c>
      <c r="X219">
        <f t="shared" si="3"/>
        <v>3.7167497000000003</v>
      </c>
    </row>
    <row r="220" spans="1:24" x14ac:dyDescent="0.45">
      <c r="A220">
        <v>1090</v>
      </c>
      <c r="B220">
        <v>3</v>
      </c>
      <c r="C220">
        <v>3</v>
      </c>
      <c r="D220">
        <v>7</v>
      </c>
      <c r="E220">
        <v>-35</v>
      </c>
      <c r="F220">
        <v>0</v>
      </c>
      <c r="G220">
        <v>15</v>
      </c>
      <c r="H220">
        <v>3</v>
      </c>
      <c r="I220">
        <v>2</v>
      </c>
      <c r="J220">
        <v>1</v>
      </c>
      <c r="K220">
        <v>2</v>
      </c>
      <c r="L220">
        <v>2</v>
      </c>
      <c r="M220">
        <v>2</v>
      </c>
      <c r="N220">
        <v>2</v>
      </c>
      <c r="O220">
        <v>0.117345803687817</v>
      </c>
      <c r="P220">
        <v>2.08664335383668</v>
      </c>
      <c r="Q220">
        <v>77.878669464556694</v>
      </c>
      <c r="R220">
        <v>3</v>
      </c>
      <c r="S220">
        <v>3</v>
      </c>
      <c r="T220">
        <v>3.09843</v>
      </c>
      <c r="U220">
        <v>3.1637580000000001</v>
      </c>
      <c r="V220">
        <v>3.3101970000000001</v>
      </c>
      <c r="W220">
        <v>3.4900220000000002</v>
      </c>
      <c r="X220">
        <f t="shared" si="3"/>
        <v>0.31019700000000006</v>
      </c>
    </row>
    <row r="221" spans="1:24" x14ac:dyDescent="0.45">
      <c r="A221">
        <v>1090</v>
      </c>
      <c r="B221">
        <v>4</v>
      </c>
      <c r="C221">
        <v>2</v>
      </c>
      <c r="D221">
        <v>2</v>
      </c>
      <c r="E221">
        <v>-35</v>
      </c>
      <c r="F221">
        <v>-3</v>
      </c>
      <c r="G221">
        <v>15</v>
      </c>
      <c r="H221">
        <v>-3</v>
      </c>
      <c r="I221">
        <v>-1</v>
      </c>
      <c r="J221">
        <v>1</v>
      </c>
      <c r="K221">
        <v>-2</v>
      </c>
      <c r="L221">
        <v>0</v>
      </c>
      <c r="M221">
        <v>-1</v>
      </c>
      <c r="N221">
        <v>0</v>
      </c>
      <c r="O221">
        <v>0.12799940743351501</v>
      </c>
      <c r="P221">
        <v>3.40262217220149</v>
      </c>
      <c r="Q221">
        <v>76.798286567092404</v>
      </c>
      <c r="R221">
        <v>-3</v>
      </c>
      <c r="S221">
        <v>-3</v>
      </c>
      <c r="T221">
        <v>-2.8089029999999999</v>
      </c>
      <c r="U221">
        <v>-1.485066</v>
      </c>
      <c r="V221">
        <v>-0.17087189999999999</v>
      </c>
      <c r="W221">
        <v>0.87429590000000001</v>
      </c>
      <c r="X221">
        <f t="shared" si="3"/>
        <v>2.8291281000000001</v>
      </c>
    </row>
    <row r="222" spans="1:24" x14ac:dyDescent="0.45">
      <c r="A222">
        <v>1090</v>
      </c>
      <c r="B222">
        <v>5</v>
      </c>
      <c r="C222">
        <v>1</v>
      </c>
      <c r="D222">
        <v>8</v>
      </c>
      <c r="E222">
        <v>-45</v>
      </c>
      <c r="F222">
        <v>0</v>
      </c>
      <c r="G222">
        <v>5</v>
      </c>
      <c r="H222">
        <v>-3</v>
      </c>
      <c r="I222">
        <v>-2</v>
      </c>
      <c r="J222">
        <v>1</v>
      </c>
      <c r="K222">
        <v>-2</v>
      </c>
      <c r="L222">
        <v>-1</v>
      </c>
      <c r="M222">
        <v>-2</v>
      </c>
      <c r="N222">
        <v>-1</v>
      </c>
      <c r="O222">
        <v>0.12812164776940599</v>
      </c>
      <c r="P222">
        <v>3.0544496498146301</v>
      </c>
      <c r="Q222">
        <v>68.505006580945803</v>
      </c>
      <c r="R222">
        <v>-3</v>
      </c>
      <c r="S222">
        <v>-3</v>
      </c>
      <c r="T222">
        <v>-3</v>
      </c>
      <c r="U222">
        <v>-2.8818139999999999</v>
      </c>
      <c r="V222">
        <v>-2.6829839999999998</v>
      </c>
      <c r="W222">
        <v>-3.2536489999999998</v>
      </c>
      <c r="X222">
        <f t="shared" si="3"/>
        <v>0.31701600000000019</v>
      </c>
    </row>
    <row r="223" spans="1:24" x14ac:dyDescent="0.45">
      <c r="A223">
        <v>1090</v>
      </c>
      <c r="B223">
        <v>6</v>
      </c>
      <c r="C223">
        <v>1</v>
      </c>
      <c r="D223">
        <v>1</v>
      </c>
      <c r="E223">
        <v>-35</v>
      </c>
      <c r="F223">
        <v>0</v>
      </c>
      <c r="G223">
        <v>15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0.1129871311071</v>
      </c>
      <c r="P223">
        <v>1.66377203039933</v>
      </c>
      <c r="Q223">
        <v>77.821932303394803</v>
      </c>
      <c r="R223">
        <v>0</v>
      </c>
      <c r="S223">
        <v>0</v>
      </c>
      <c r="T223">
        <v>-8.5853309999999999E-3</v>
      </c>
      <c r="U223">
        <v>-0.59906599999999999</v>
      </c>
      <c r="V223">
        <v>-1.289901</v>
      </c>
      <c r="W223">
        <v>-2.1018819999999998</v>
      </c>
      <c r="X223">
        <f t="shared" si="3"/>
        <v>1.289901</v>
      </c>
    </row>
    <row r="224" spans="1:24" x14ac:dyDescent="0.45">
      <c r="A224">
        <v>1090</v>
      </c>
      <c r="B224">
        <v>7</v>
      </c>
      <c r="C224">
        <v>2</v>
      </c>
      <c r="D224">
        <v>6</v>
      </c>
      <c r="E224">
        <v>-35</v>
      </c>
      <c r="F224">
        <v>3</v>
      </c>
      <c r="G224">
        <v>15</v>
      </c>
      <c r="H224">
        <v>3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0.10071014873388601</v>
      </c>
      <c r="P224">
        <v>1.95027982111592</v>
      </c>
      <c r="Q224">
        <v>76.815236656191303</v>
      </c>
      <c r="R224">
        <v>0</v>
      </c>
      <c r="S224">
        <v>0</v>
      </c>
      <c r="T224">
        <v>5.6967950000000003E-2</v>
      </c>
      <c r="U224">
        <v>0.53005709999999995</v>
      </c>
      <c r="V224">
        <v>1.12704</v>
      </c>
      <c r="W224">
        <v>2.2163179999999998</v>
      </c>
      <c r="X224">
        <f t="shared" si="3"/>
        <v>1.12704</v>
      </c>
    </row>
    <row r="225" spans="1:24" x14ac:dyDescent="0.45">
      <c r="A225">
        <v>1090</v>
      </c>
      <c r="B225">
        <v>8</v>
      </c>
      <c r="C225">
        <v>3</v>
      </c>
      <c r="D225">
        <v>2</v>
      </c>
      <c r="E225">
        <v>-35</v>
      </c>
      <c r="F225">
        <v>-3</v>
      </c>
      <c r="G225">
        <v>15</v>
      </c>
      <c r="H225">
        <v>-3</v>
      </c>
      <c r="I225">
        <v>-2</v>
      </c>
      <c r="J225">
        <v>-1</v>
      </c>
      <c r="K225">
        <v>1</v>
      </c>
      <c r="L225">
        <v>-2</v>
      </c>
      <c r="M225">
        <v>-2</v>
      </c>
      <c r="N225">
        <v>-2</v>
      </c>
      <c r="O225">
        <v>0.17735922966481699</v>
      </c>
      <c r="P225">
        <v>10.8528666324552</v>
      </c>
      <c r="Q225">
        <v>81.505467203872001</v>
      </c>
      <c r="R225">
        <v>-3</v>
      </c>
      <c r="S225">
        <v>-3</v>
      </c>
      <c r="T225">
        <v>-2.8659690000000002</v>
      </c>
      <c r="U225">
        <v>-2.1234039999999998</v>
      </c>
      <c r="V225">
        <v>-0.97120139999999999</v>
      </c>
      <c r="W225">
        <v>0.2209972</v>
      </c>
      <c r="X225">
        <f t="shared" si="3"/>
        <v>2.0287986</v>
      </c>
    </row>
    <row r="226" spans="1:24" x14ac:dyDescent="0.45">
      <c r="A226">
        <v>1090</v>
      </c>
      <c r="B226">
        <v>9</v>
      </c>
      <c r="C226">
        <v>2</v>
      </c>
      <c r="D226">
        <v>7</v>
      </c>
      <c r="E226">
        <v>-35</v>
      </c>
      <c r="F226">
        <v>0</v>
      </c>
      <c r="G226">
        <v>15</v>
      </c>
      <c r="H226">
        <v>3</v>
      </c>
      <c r="I226">
        <v>-2</v>
      </c>
      <c r="J226">
        <v>-1</v>
      </c>
      <c r="K226">
        <v>1</v>
      </c>
      <c r="L226">
        <v>-2</v>
      </c>
      <c r="M226">
        <v>-2</v>
      </c>
      <c r="N226">
        <v>-2</v>
      </c>
      <c r="O226">
        <v>0.195748979351207</v>
      </c>
      <c r="P226">
        <v>10.763700970456499</v>
      </c>
      <c r="Q226">
        <v>81.508038713465396</v>
      </c>
      <c r="R226">
        <v>3</v>
      </c>
      <c r="S226">
        <v>3</v>
      </c>
      <c r="T226">
        <v>3</v>
      </c>
      <c r="U226">
        <v>3</v>
      </c>
      <c r="V226">
        <v>3.022078</v>
      </c>
      <c r="W226">
        <v>3.3037869999999998</v>
      </c>
      <c r="X226">
        <f t="shared" si="3"/>
        <v>2.2078000000000042E-2</v>
      </c>
    </row>
    <row r="227" spans="1:24" x14ac:dyDescent="0.45">
      <c r="A227">
        <v>1090</v>
      </c>
      <c r="B227">
        <v>10</v>
      </c>
      <c r="C227">
        <v>1</v>
      </c>
      <c r="D227">
        <v>4</v>
      </c>
      <c r="E227">
        <v>-45</v>
      </c>
      <c r="F227">
        <v>0</v>
      </c>
      <c r="G227">
        <v>5</v>
      </c>
      <c r="H227">
        <v>3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0.17609990931070599</v>
      </c>
      <c r="P227">
        <v>2.4760066578697102</v>
      </c>
      <c r="Q227">
        <v>66.970316042728101</v>
      </c>
      <c r="R227">
        <v>3</v>
      </c>
      <c r="S227">
        <v>3</v>
      </c>
      <c r="T227">
        <v>2.8059500000000002</v>
      </c>
      <c r="U227">
        <v>1.720645</v>
      </c>
      <c r="V227">
        <v>0.71108769999999999</v>
      </c>
      <c r="W227">
        <v>-0.63670300000000002</v>
      </c>
      <c r="X227">
        <f t="shared" si="3"/>
        <v>2.2889122999999998</v>
      </c>
    </row>
    <row r="228" spans="1:24" x14ac:dyDescent="0.45">
      <c r="A228">
        <v>1090</v>
      </c>
      <c r="B228">
        <v>11</v>
      </c>
      <c r="C228">
        <v>3</v>
      </c>
      <c r="D228">
        <v>5</v>
      </c>
      <c r="E228">
        <v>-35</v>
      </c>
      <c r="F228">
        <v>0</v>
      </c>
      <c r="G228">
        <v>15</v>
      </c>
      <c r="H228">
        <v>0</v>
      </c>
      <c r="I228">
        <v>2</v>
      </c>
      <c r="J228">
        <v>1</v>
      </c>
      <c r="K228">
        <v>2</v>
      </c>
      <c r="L228">
        <v>1</v>
      </c>
      <c r="M228">
        <v>1</v>
      </c>
      <c r="N228">
        <v>2</v>
      </c>
      <c r="O228">
        <v>0.15420436003083199</v>
      </c>
      <c r="P228">
        <v>3.5023973955773799</v>
      </c>
      <c r="Q228">
        <v>76.064356403049501</v>
      </c>
      <c r="R228">
        <v>3</v>
      </c>
      <c r="S228">
        <v>3</v>
      </c>
      <c r="T228">
        <v>3.1654680000000002</v>
      </c>
      <c r="U228">
        <v>3.1583709999999998</v>
      </c>
      <c r="V228">
        <v>4.127383</v>
      </c>
      <c r="W228">
        <v>3.851283</v>
      </c>
      <c r="X228">
        <f t="shared" si="3"/>
        <v>1.127383</v>
      </c>
    </row>
    <row r="229" spans="1:24" x14ac:dyDescent="0.45">
      <c r="A229">
        <v>1090</v>
      </c>
      <c r="B229">
        <v>12</v>
      </c>
      <c r="C229">
        <v>3</v>
      </c>
      <c r="D229">
        <v>3</v>
      </c>
      <c r="E229">
        <v>-35</v>
      </c>
      <c r="F229">
        <v>0</v>
      </c>
      <c r="G229">
        <v>15</v>
      </c>
      <c r="H229">
        <v>-3</v>
      </c>
      <c r="I229">
        <v>2</v>
      </c>
      <c r="J229">
        <v>1</v>
      </c>
      <c r="K229">
        <v>2</v>
      </c>
      <c r="L229">
        <v>2</v>
      </c>
      <c r="M229">
        <v>2</v>
      </c>
      <c r="N229">
        <v>1</v>
      </c>
      <c r="O229">
        <v>0.11529803698748101</v>
      </c>
      <c r="P229">
        <v>1.80306749259544</v>
      </c>
      <c r="Q229">
        <v>77.144500639927102</v>
      </c>
      <c r="R229">
        <v>-3</v>
      </c>
      <c r="S229">
        <v>-3</v>
      </c>
      <c r="T229">
        <v>-2.6366450000000001</v>
      </c>
      <c r="U229">
        <v>-3.0014110000000001</v>
      </c>
      <c r="V229">
        <v>-3.5940120000000002</v>
      </c>
      <c r="W229">
        <v>-3.8503530000000001</v>
      </c>
      <c r="X229">
        <f t="shared" si="3"/>
        <v>0.59401200000000021</v>
      </c>
    </row>
    <row r="230" spans="1:24" x14ac:dyDescent="0.45">
      <c r="A230">
        <v>1090</v>
      </c>
      <c r="B230">
        <v>13</v>
      </c>
      <c r="C230">
        <v>1</v>
      </c>
      <c r="D230">
        <v>7</v>
      </c>
      <c r="E230">
        <v>-35</v>
      </c>
      <c r="F230">
        <v>0</v>
      </c>
      <c r="G230">
        <v>15</v>
      </c>
      <c r="H230">
        <v>3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0.181725495164198</v>
      </c>
      <c r="P230">
        <v>2.6543833749362999</v>
      </c>
      <c r="Q230">
        <v>77.288041189237106</v>
      </c>
      <c r="R230">
        <v>3</v>
      </c>
      <c r="S230">
        <v>3</v>
      </c>
      <c r="T230">
        <v>3.0027210000000002</v>
      </c>
      <c r="U230">
        <v>2.9580730000000002</v>
      </c>
      <c r="V230">
        <v>2.9667469999999998</v>
      </c>
      <c r="W230">
        <v>3.245425</v>
      </c>
      <c r="X230">
        <f t="shared" si="3"/>
        <v>3.3253000000000199E-2</v>
      </c>
    </row>
    <row r="231" spans="1:24" x14ac:dyDescent="0.45">
      <c r="A231">
        <v>1090</v>
      </c>
      <c r="B231">
        <v>14</v>
      </c>
      <c r="C231">
        <v>3</v>
      </c>
      <c r="D231">
        <v>1</v>
      </c>
      <c r="E231">
        <v>-35</v>
      </c>
      <c r="F231">
        <v>0</v>
      </c>
      <c r="G231">
        <v>15</v>
      </c>
      <c r="H231">
        <v>0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0.15590102718672699</v>
      </c>
      <c r="P231">
        <v>1.7477480303988699</v>
      </c>
      <c r="Q231">
        <v>76.450476637379495</v>
      </c>
      <c r="R231">
        <v>0</v>
      </c>
      <c r="S231">
        <v>0</v>
      </c>
      <c r="T231">
        <v>-3.6607969999999997E-2</v>
      </c>
      <c r="U231">
        <v>-0.80349150000000003</v>
      </c>
      <c r="V231">
        <v>-1.5490489999999999</v>
      </c>
      <c r="W231">
        <v>-2.231414</v>
      </c>
      <c r="X231">
        <f t="shared" si="3"/>
        <v>1.5490489999999999</v>
      </c>
    </row>
    <row r="232" spans="1:24" x14ac:dyDescent="0.45">
      <c r="A232">
        <v>1090</v>
      </c>
      <c r="B232">
        <v>15</v>
      </c>
      <c r="C232">
        <v>2</v>
      </c>
      <c r="D232">
        <v>8</v>
      </c>
      <c r="E232">
        <v>-45</v>
      </c>
      <c r="F232">
        <v>0</v>
      </c>
      <c r="G232">
        <v>5</v>
      </c>
      <c r="H232">
        <v>-3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0.22899114570139001</v>
      </c>
      <c r="P232">
        <v>4.5001373906248201</v>
      </c>
      <c r="Q232">
        <v>68.052459677094902</v>
      </c>
      <c r="R232">
        <v>-3</v>
      </c>
      <c r="S232">
        <v>-3</v>
      </c>
      <c r="T232">
        <v>-2.664984</v>
      </c>
      <c r="U232">
        <v>-1.466062</v>
      </c>
      <c r="V232">
        <v>-1.0784750000000001</v>
      </c>
      <c r="W232">
        <v>-2.284799</v>
      </c>
      <c r="X232">
        <f t="shared" si="3"/>
        <v>1.9215249999999999</v>
      </c>
    </row>
    <row r="233" spans="1:24" x14ac:dyDescent="0.45">
      <c r="A233">
        <v>1090</v>
      </c>
      <c r="B233">
        <v>16</v>
      </c>
      <c r="C233">
        <v>2</v>
      </c>
      <c r="D233">
        <v>3</v>
      </c>
      <c r="E233">
        <v>-35</v>
      </c>
      <c r="F233">
        <v>0</v>
      </c>
      <c r="G233">
        <v>15</v>
      </c>
      <c r="H233">
        <v>-3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1</v>
      </c>
      <c r="O233">
        <v>0.112939828333847</v>
      </c>
      <c r="P233">
        <v>2.22843657122788</v>
      </c>
      <c r="Q233">
        <v>76.592392371471703</v>
      </c>
      <c r="R233">
        <v>-3</v>
      </c>
      <c r="S233">
        <v>-3</v>
      </c>
      <c r="T233">
        <v>-2.8537059999999999</v>
      </c>
      <c r="U233">
        <v>-3.4574690000000001</v>
      </c>
      <c r="V233">
        <v>-3.6000529999999999</v>
      </c>
      <c r="W233">
        <v>-3.9801540000000002</v>
      </c>
      <c r="X233">
        <f t="shared" si="3"/>
        <v>0.60005299999999995</v>
      </c>
    </row>
    <row r="234" spans="1:24" x14ac:dyDescent="0.45">
      <c r="A234">
        <v>1090</v>
      </c>
      <c r="B234">
        <v>17</v>
      </c>
      <c r="C234">
        <v>3</v>
      </c>
      <c r="D234">
        <v>6</v>
      </c>
      <c r="E234">
        <v>-35</v>
      </c>
      <c r="F234">
        <v>3</v>
      </c>
      <c r="G234">
        <v>15</v>
      </c>
      <c r="H234">
        <v>3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0.123118424462586</v>
      </c>
      <c r="P234">
        <v>3.1243026942138301</v>
      </c>
      <c r="Q234">
        <v>76.143880269698997</v>
      </c>
      <c r="R234">
        <v>0</v>
      </c>
      <c r="S234">
        <v>0</v>
      </c>
      <c r="T234">
        <v>0.34613699999999997</v>
      </c>
      <c r="U234">
        <v>0.20820459999999999</v>
      </c>
      <c r="V234">
        <v>1.330716</v>
      </c>
      <c r="W234">
        <v>2.25346</v>
      </c>
      <c r="X234">
        <f t="shared" si="3"/>
        <v>1.330716</v>
      </c>
    </row>
    <row r="235" spans="1:24" x14ac:dyDescent="0.45">
      <c r="A235">
        <v>1090</v>
      </c>
      <c r="B235">
        <v>18</v>
      </c>
      <c r="C235">
        <v>1</v>
      </c>
      <c r="D235">
        <v>2</v>
      </c>
      <c r="E235">
        <v>-35</v>
      </c>
      <c r="F235">
        <v>-3</v>
      </c>
      <c r="G235">
        <v>15</v>
      </c>
      <c r="H235">
        <v>-3</v>
      </c>
      <c r="I235">
        <v>-1</v>
      </c>
      <c r="J235">
        <v>0</v>
      </c>
      <c r="K235">
        <v>-1</v>
      </c>
      <c r="L235">
        <v>0</v>
      </c>
      <c r="M235">
        <v>0</v>
      </c>
      <c r="N235">
        <v>0</v>
      </c>
      <c r="O235">
        <v>0.15482778517200699</v>
      </c>
      <c r="P235">
        <v>2.58863635041731</v>
      </c>
      <c r="Q235">
        <v>77.997986773392498</v>
      </c>
      <c r="R235">
        <v>-3</v>
      </c>
      <c r="S235">
        <v>-3</v>
      </c>
      <c r="T235">
        <v>-2.8948689999999999</v>
      </c>
      <c r="U235">
        <v>-1.9212210000000001</v>
      </c>
      <c r="V235">
        <v>-1.0043629999999999</v>
      </c>
      <c r="W235">
        <v>-0.20209869999999999</v>
      </c>
      <c r="X235">
        <f t="shared" si="3"/>
        <v>1.9956370000000001</v>
      </c>
    </row>
    <row r="236" spans="1:24" x14ac:dyDescent="0.45">
      <c r="A236">
        <v>1090</v>
      </c>
      <c r="B236">
        <v>19</v>
      </c>
      <c r="C236">
        <v>2</v>
      </c>
      <c r="D236">
        <v>5</v>
      </c>
      <c r="E236">
        <v>-35</v>
      </c>
      <c r="F236">
        <v>0</v>
      </c>
      <c r="G236">
        <v>15</v>
      </c>
      <c r="H236">
        <v>0</v>
      </c>
      <c r="I236">
        <v>-1</v>
      </c>
      <c r="J236">
        <v>0</v>
      </c>
      <c r="K236">
        <v>-2</v>
      </c>
      <c r="L236">
        <v>-2</v>
      </c>
      <c r="M236">
        <v>-2</v>
      </c>
      <c r="N236">
        <v>-1</v>
      </c>
      <c r="O236">
        <v>0.15359144322813401</v>
      </c>
      <c r="P236">
        <v>4.4224486491609101</v>
      </c>
      <c r="Q236">
        <v>77.177480952865906</v>
      </c>
      <c r="R236">
        <v>3</v>
      </c>
      <c r="S236">
        <v>3</v>
      </c>
      <c r="T236">
        <v>3</v>
      </c>
      <c r="U236">
        <v>3.0008400000000002</v>
      </c>
      <c r="V236">
        <v>2.7278180000000001</v>
      </c>
      <c r="W236">
        <v>1.7967569999999999</v>
      </c>
      <c r="X236">
        <f t="shared" si="3"/>
        <v>0.27218199999999992</v>
      </c>
    </row>
    <row r="237" spans="1:24" x14ac:dyDescent="0.45">
      <c r="A237">
        <v>1090</v>
      </c>
      <c r="B237">
        <v>20</v>
      </c>
      <c r="C237">
        <v>3</v>
      </c>
      <c r="D237">
        <v>4</v>
      </c>
      <c r="E237">
        <v>-45</v>
      </c>
      <c r="F237">
        <v>0</v>
      </c>
      <c r="G237">
        <v>5</v>
      </c>
      <c r="H237">
        <v>3</v>
      </c>
      <c r="I237">
        <v>2</v>
      </c>
      <c r="J237">
        <v>1</v>
      </c>
      <c r="K237">
        <v>1</v>
      </c>
      <c r="L237">
        <v>0</v>
      </c>
      <c r="M237">
        <v>1</v>
      </c>
      <c r="N237">
        <v>0</v>
      </c>
      <c r="O237">
        <v>0.143415982565894</v>
      </c>
      <c r="P237">
        <v>3.1777785038001398</v>
      </c>
      <c r="Q237">
        <v>68.601397510449203</v>
      </c>
      <c r="R237">
        <v>3</v>
      </c>
      <c r="S237">
        <v>3</v>
      </c>
      <c r="T237">
        <v>2.7723819999999999</v>
      </c>
      <c r="U237">
        <v>1.904409</v>
      </c>
      <c r="V237">
        <v>2.0481009999999999</v>
      </c>
      <c r="W237">
        <v>2.9129679999999998</v>
      </c>
      <c r="X237">
        <f t="shared" si="3"/>
        <v>0.95189900000000005</v>
      </c>
    </row>
    <row r="238" spans="1:24" x14ac:dyDescent="0.45">
      <c r="A238">
        <v>1090</v>
      </c>
      <c r="B238">
        <v>21</v>
      </c>
      <c r="C238">
        <v>1</v>
      </c>
      <c r="D238">
        <v>6</v>
      </c>
      <c r="E238">
        <v>-35</v>
      </c>
      <c r="F238">
        <v>3</v>
      </c>
      <c r="G238">
        <v>15</v>
      </c>
      <c r="H238">
        <v>3</v>
      </c>
      <c r="I238">
        <v>-1</v>
      </c>
      <c r="J238">
        <v>1</v>
      </c>
      <c r="K238">
        <v>1</v>
      </c>
      <c r="L238">
        <v>0</v>
      </c>
      <c r="M238">
        <v>-1</v>
      </c>
      <c r="N238">
        <v>-1</v>
      </c>
      <c r="O238">
        <v>0.13359556792649799</v>
      </c>
      <c r="P238">
        <v>3.3306971472577498</v>
      </c>
      <c r="Q238">
        <v>77.356043686712397</v>
      </c>
      <c r="R238">
        <v>0</v>
      </c>
      <c r="S238">
        <v>0</v>
      </c>
      <c r="T238">
        <v>1.8596350000000001E-2</v>
      </c>
      <c r="U238">
        <v>0.39692230000000001</v>
      </c>
      <c r="V238">
        <v>1.4275100000000001</v>
      </c>
      <c r="W238">
        <v>2.2412190000000001</v>
      </c>
      <c r="X238">
        <f t="shared" si="3"/>
        <v>1.4275100000000001</v>
      </c>
    </row>
    <row r="239" spans="1:24" x14ac:dyDescent="0.45">
      <c r="A239">
        <v>1090</v>
      </c>
      <c r="B239">
        <v>22</v>
      </c>
      <c r="C239">
        <v>1</v>
      </c>
      <c r="D239">
        <v>3</v>
      </c>
      <c r="E239">
        <v>-35</v>
      </c>
      <c r="F239">
        <v>0</v>
      </c>
      <c r="G239">
        <v>15</v>
      </c>
      <c r="H239">
        <v>-3</v>
      </c>
      <c r="I239">
        <v>-2</v>
      </c>
      <c r="J239">
        <v>0</v>
      </c>
      <c r="K239">
        <v>-2</v>
      </c>
      <c r="L239">
        <v>-1</v>
      </c>
      <c r="M239">
        <v>0</v>
      </c>
      <c r="N239">
        <v>-1</v>
      </c>
      <c r="O239">
        <v>0.10963526735864999</v>
      </c>
      <c r="P239">
        <v>1.83582429406808</v>
      </c>
      <c r="Q239">
        <v>76.779909924473102</v>
      </c>
      <c r="R239">
        <v>-3</v>
      </c>
      <c r="S239">
        <v>-2.9980159999999998</v>
      </c>
      <c r="T239">
        <v>-3.222845</v>
      </c>
      <c r="U239">
        <v>-3.3479320000000001</v>
      </c>
      <c r="V239">
        <v>-3.5036360000000002</v>
      </c>
      <c r="W239">
        <v>-3.9353560000000001</v>
      </c>
      <c r="X239">
        <f t="shared" si="3"/>
        <v>0.50363600000000019</v>
      </c>
    </row>
    <row r="240" spans="1:24" x14ac:dyDescent="0.45">
      <c r="A240">
        <v>1090</v>
      </c>
      <c r="B240">
        <v>23</v>
      </c>
      <c r="C240">
        <v>3</v>
      </c>
      <c r="D240">
        <v>8</v>
      </c>
      <c r="E240">
        <v>-45</v>
      </c>
      <c r="F240">
        <v>0</v>
      </c>
      <c r="G240">
        <v>5</v>
      </c>
      <c r="H240">
        <v>-3</v>
      </c>
      <c r="I240">
        <v>2</v>
      </c>
      <c r="J240">
        <v>2</v>
      </c>
      <c r="K240">
        <v>2</v>
      </c>
      <c r="L240">
        <v>1</v>
      </c>
      <c r="M240">
        <v>1</v>
      </c>
      <c r="N240">
        <v>1</v>
      </c>
      <c r="O240">
        <v>0.117583351315125</v>
      </c>
      <c r="P240">
        <v>2.9347447990141999</v>
      </c>
      <c r="Q240">
        <v>67.250168835607397</v>
      </c>
      <c r="R240">
        <v>-3</v>
      </c>
      <c r="S240">
        <v>-3</v>
      </c>
      <c r="T240">
        <v>-2.5027189999999999</v>
      </c>
      <c r="U240">
        <v>-1.182307</v>
      </c>
      <c r="V240">
        <v>0.26603589999999999</v>
      </c>
      <c r="W240">
        <v>1.6794549999999999</v>
      </c>
      <c r="X240">
        <f t="shared" si="3"/>
        <v>3.2660358999999999</v>
      </c>
    </row>
    <row r="241" spans="1:24" x14ac:dyDescent="0.45">
      <c r="A241">
        <v>1090</v>
      </c>
      <c r="B241">
        <v>24</v>
      </c>
      <c r="C241">
        <v>2</v>
      </c>
      <c r="D241">
        <v>1</v>
      </c>
      <c r="E241">
        <v>-35</v>
      </c>
      <c r="F241">
        <v>0</v>
      </c>
      <c r="G241">
        <v>15</v>
      </c>
      <c r="H241">
        <v>0</v>
      </c>
      <c r="I241">
        <v>-2</v>
      </c>
      <c r="J241">
        <v>-1</v>
      </c>
      <c r="K241">
        <v>1</v>
      </c>
      <c r="L241">
        <v>-2</v>
      </c>
      <c r="M241">
        <v>-2</v>
      </c>
      <c r="N241">
        <v>-2</v>
      </c>
      <c r="O241">
        <v>0.18853904705934699</v>
      </c>
      <c r="P241">
        <v>7.9864707527561896</v>
      </c>
      <c r="Q241">
        <v>80.005766918858299</v>
      </c>
      <c r="R241">
        <v>0</v>
      </c>
      <c r="S241">
        <v>-1.4982219999999999E-2</v>
      </c>
      <c r="T241">
        <v>-1.247717</v>
      </c>
      <c r="U241">
        <v>-2.4804789999999999</v>
      </c>
      <c r="V241">
        <v>-3.033204</v>
      </c>
      <c r="W241">
        <v>-3.311623</v>
      </c>
      <c r="X241">
        <f t="shared" si="3"/>
        <v>3.033204</v>
      </c>
    </row>
    <row r="242" spans="1:24" x14ac:dyDescent="0.45">
      <c r="A242">
        <v>1100</v>
      </c>
      <c r="B242">
        <v>1</v>
      </c>
      <c r="C242">
        <v>2</v>
      </c>
      <c r="D242">
        <v>1</v>
      </c>
      <c r="E242">
        <v>-35</v>
      </c>
      <c r="F242">
        <v>0</v>
      </c>
      <c r="G242">
        <v>15</v>
      </c>
      <c r="H242">
        <v>0</v>
      </c>
      <c r="I242">
        <v>-2</v>
      </c>
      <c r="J242">
        <v>1</v>
      </c>
      <c r="K242">
        <v>2</v>
      </c>
      <c r="L242">
        <v>-2</v>
      </c>
      <c r="M242">
        <v>-1</v>
      </c>
      <c r="N242">
        <v>-2</v>
      </c>
      <c r="O242">
        <v>0.24480629198008899</v>
      </c>
      <c r="P242">
        <v>12.9807801702033</v>
      </c>
      <c r="Q242">
        <v>84.746104953667697</v>
      </c>
      <c r="R242">
        <v>0</v>
      </c>
      <c r="S242">
        <v>-0.1115081</v>
      </c>
      <c r="T242">
        <v>-0.90192220000000001</v>
      </c>
      <c r="U242">
        <v>-1.675684</v>
      </c>
      <c r="V242">
        <v>-2.708596</v>
      </c>
      <c r="W242">
        <v>-1.989506</v>
      </c>
      <c r="X242">
        <f t="shared" si="3"/>
        <v>2.708596</v>
      </c>
    </row>
    <row r="243" spans="1:24" x14ac:dyDescent="0.45">
      <c r="A243">
        <v>1100</v>
      </c>
      <c r="B243">
        <v>2</v>
      </c>
      <c r="C243">
        <v>3</v>
      </c>
      <c r="D243">
        <v>8</v>
      </c>
      <c r="E243">
        <v>-45</v>
      </c>
      <c r="F243">
        <v>0</v>
      </c>
      <c r="G243">
        <v>5</v>
      </c>
      <c r="H243">
        <v>-3</v>
      </c>
      <c r="I243">
        <v>2</v>
      </c>
      <c r="J243">
        <v>2</v>
      </c>
      <c r="K243">
        <v>2</v>
      </c>
      <c r="L243">
        <v>1</v>
      </c>
      <c r="M243">
        <v>2</v>
      </c>
      <c r="N243">
        <v>1</v>
      </c>
      <c r="O243">
        <v>0.17497112126207501</v>
      </c>
      <c r="P243">
        <v>7.1016855996691</v>
      </c>
      <c r="Q243">
        <v>67.818134331437705</v>
      </c>
      <c r="R243">
        <v>-3</v>
      </c>
      <c r="S243">
        <v>-2.594805</v>
      </c>
      <c r="T243">
        <v>-0.73977570000000004</v>
      </c>
      <c r="U243">
        <v>-0.21793709999999999</v>
      </c>
      <c r="V243">
        <v>0.12819259999999999</v>
      </c>
      <c r="W243">
        <v>1.225792</v>
      </c>
      <c r="X243">
        <f t="shared" si="3"/>
        <v>3.1281926000000002</v>
      </c>
    </row>
    <row r="244" spans="1:24" x14ac:dyDescent="0.45">
      <c r="A244">
        <v>1100</v>
      </c>
      <c r="B244">
        <v>3</v>
      </c>
      <c r="C244">
        <v>1</v>
      </c>
      <c r="D244">
        <v>3</v>
      </c>
      <c r="E244">
        <v>-35</v>
      </c>
      <c r="F244">
        <v>0</v>
      </c>
      <c r="G244">
        <v>15</v>
      </c>
      <c r="H244">
        <v>-3</v>
      </c>
      <c r="I244">
        <v>0</v>
      </c>
      <c r="J244">
        <v>-1</v>
      </c>
      <c r="K244">
        <v>1</v>
      </c>
      <c r="L244">
        <v>-1</v>
      </c>
      <c r="M244">
        <v>-1</v>
      </c>
      <c r="N244">
        <v>0</v>
      </c>
      <c r="O244">
        <v>0.14888869003533201</v>
      </c>
      <c r="P244">
        <v>4.4569689544834397</v>
      </c>
      <c r="Q244">
        <v>76.848900994285501</v>
      </c>
      <c r="R244">
        <v>-3</v>
      </c>
      <c r="S244">
        <v>-2.9626039999999998</v>
      </c>
      <c r="T244">
        <v>-1.7487699999999999</v>
      </c>
      <c r="U244">
        <v>-2.338794</v>
      </c>
      <c r="V244">
        <v>-3.2634259999999999</v>
      </c>
      <c r="W244">
        <v>-3.6178170000000001</v>
      </c>
      <c r="X244">
        <f t="shared" si="3"/>
        <v>0.26342599999999994</v>
      </c>
    </row>
    <row r="245" spans="1:24" x14ac:dyDescent="0.45">
      <c r="A245">
        <v>1100</v>
      </c>
      <c r="B245">
        <v>4</v>
      </c>
      <c r="C245">
        <v>1</v>
      </c>
      <c r="D245">
        <v>6</v>
      </c>
      <c r="E245">
        <v>-35</v>
      </c>
      <c r="F245">
        <v>3</v>
      </c>
      <c r="G245">
        <v>15</v>
      </c>
      <c r="H245">
        <v>3</v>
      </c>
      <c r="I245">
        <v>0</v>
      </c>
      <c r="J245">
        <v>-2</v>
      </c>
      <c r="K245">
        <v>-1</v>
      </c>
      <c r="L245">
        <v>-1</v>
      </c>
      <c r="M245">
        <v>1</v>
      </c>
      <c r="N245">
        <v>0</v>
      </c>
      <c r="O245">
        <v>0.15491605134657199</v>
      </c>
      <c r="P245">
        <v>4.0412833091355402</v>
      </c>
      <c r="Q245">
        <v>75.938583087259204</v>
      </c>
      <c r="R245">
        <v>0</v>
      </c>
      <c r="S245">
        <v>-1.506772E-2</v>
      </c>
      <c r="T245">
        <v>-2.5071360000000001E-2</v>
      </c>
      <c r="U245">
        <v>0.96920499999999998</v>
      </c>
      <c r="V245">
        <v>2.2541479999999998</v>
      </c>
      <c r="W245">
        <v>3.2459389999999999</v>
      </c>
      <c r="X245">
        <f t="shared" si="3"/>
        <v>2.2541479999999998</v>
      </c>
    </row>
    <row r="246" spans="1:24" x14ac:dyDescent="0.45">
      <c r="A246">
        <v>1100</v>
      </c>
      <c r="B246">
        <v>5</v>
      </c>
      <c r="C246">
        <v>3</v>
      </c>
      <c r="D246">
        <v>4</v>
      </c>
      <c r="E246">
        <v>-45</v>
      </c>
      <c r="F246">
        <v>0</v>
      </c>
      <c r="G246">
        <v>5</v>
      </c>
      <c r="H246">
        <v>3</v>
      </c>
      <c r="I246">
        <v>-2</v>
      </c>
      <c r="J246">
        <v>-1</v>
      </c>
      <c r="K246">
        <v>2</v>
      </c>
      <c r="L246">
        <v>-2</v>
      </c>
      <c r="M246">
        <v>1</v>
      </c>
      <c r="N246">
        <v>-2</v>
      </c>
      <c r="O246">
        <v>0.237234663537297</v>
      </c>
      <c r="P246">
        <v>10.153224513816699</v>
      </c>
      <c r="Q246">
        <v>70.732885653534495</v>
      </c>
      <c r="R246">
        <v>3</v>
      </c>
      <c r="S246">
        <v>2.6382989999999999</v>
      </c>
      <c r="T246">
        <v>2.4627940000000001</v>
      </c>
      <c r="U246">
        <v>0.53040670000000001</v>
      </c>
      <c r="V246">
        <v>-0.41463179999999999</v>
      </c>
      <c r="W246">
        <v>1.3330960000000001</v>
      </c>
      <c r="X246">
        <f t="shared" si="3"/>
        <v>3.4146318</v>
      </c>
    </row>
    <row r="247" spans="1:24" x14ac:dyDescent="0.45">
      <c r="A247">
        <v>1100</v>
      </c>
      <c r="B247">
        <v>6</v>
      </c>
      <c r="C247">
        <v>2</v>
      </c>
      <c r="D247">
        <v>5</v>
      </c>
      <c r="E247">
        <v>-35</v>
      </c>
      <c r="F247">
        <v>0</v>
      </c>
      <c r="G247">
        <v>15</v>
      </c>
      <c r="H247">
        <v>0</v>
      </c>
      <c r="I247">
        <v>2</v>
      </c>
      <c r="J247">
        <v>1</v>
      </c>
      <c r="K247">
        <v>2</v>
      </c>
      <c r="L247">
        <v>2</v>
      </c>
      <c r="M247">
        <v>2</v>
      </c>
      <c r="N247">
        <v>2</v>
      </c>
      <c r="O247">
        <v>0.13032624537498699</v>
      </c>
      <c r="P247">
        <v>3.1553517415029599</v>
      </c>
      <c r="Q247">
        <v>75.796363960428195</v>
      </c>
      <c r="R247">
        <v>3</v>
      </c>
      <c r="S247">
        <v>3</v>
      </c>
      <c r="T247">
        <v>3</v>
      </c>
      <c r="U247">
        <v>2.9418090000000001</v>
      </c>
      <c r="V247">
        <v>2.7934040000000002</v>
      </c>
      <c r="W247">
        <v>2.7402570000000002</v>
      </c>
      <c r="X247">
        <f t="shared" si="3"/>
        <v>0.20659599999999978</v>
      </c>
    </row>
    <row r="248" spans="1:24" x14ac:dyDescent="0.45">
      <c r="A248">
        <v>1100</v>
      </c>
      <c r="B248">
        <v>7</v>
      </c>
      <c r="C248">
        <v>1</v>
      </c>
      <c r="D248">
        <v>2</v>
      </c>
      <c r="E248">
        <v>-35</v>
      </c>
      <c r="F248">
        <v>-3</v>
      </c>
      <c r="G248">
        <v>15</v>
      </c>
      <c r="H248">
        <v>-3</v>
      </c>
      <c r="I248">
        <v>-1</v>
      </c>
      <c r="J248">
        <v>-2</v>
      </c>
      <c r="K248">
        <v>-1</v>
      </c>
      <c r="L248">
        <v>0</v>
      </c>
      <c r="M248">
        <v>-1</v>
      </c>
      <c r="N248">
        <v>0</v>
      </c>
      <c r="O248">
        <v>0.210591047944475</v>
      </c>
      <c r="P248">
        <v>11.440715099382199</v>
      </c>
      <c r="Q248">
        <v>79.597334584115103</v>
      </c>
      <c r="R248">
        <v>-3</v>
      </c>
      <c r="S248">
        <v>-3</v>
      </c>
      <c r="T248">
        <v>-1.7440929999999999</v>
      </c>
      <c r="U248">
        <v>-0.63103699999999996</v>
      </c>
      <c r="V248">
        <v>0.17033429999999999</v>
      </c>
      <c r="W248">
        <v>0.33815790000000001</v>
      </c>
      <c r="X248">
        <f t="shared" si="3"/>
        <v>3.1703342999999999</v>
      </c>
    </row>
    <row r="249" spans="1:24" x14ac:dyDescent="0.45">
      <c r="A249">
        <v>1100</v>
      </c>
      <c r="B249">
        <v>8</v>
      </c>
      <c r="C249">
        <v>3</v>
      </c>
      <c r="D249">
        <v>6</v>
      </c>
      <c r="E249">
        <v>-35</v>
      </c>
      <c r="F249">
        <v>3</v>
      </c>
      <c r="G249">
        <v>15</v>
      </c>
      <c r="H249">
        <v>3</v>
      </c>
      <c r="I249">
        <v>-2</v>
      </c>
      <c r="J249">
        <v>0</v>
      </c>
      <c r="K249">
        <v>2</v>
      </c>
      <c r="L249">
        <v>-1</v>
      </c>
      <c r="M249">
        <v>0</v>
      </c>
      <c r="N249">
        <v>-1</v>
      </c>
      <c r="O249">
        <v>0.208946960587061</v>
      </c>
      <c r="P249">
        <v>10.4294251117441</v>
      </c>
      <c r="Q249">
        <v>78.147329158845594</v>
      </c>
      <c r="R249">
        <v>0</v>
      </c>
      <c r="S249">
        <v>2.115183E-2</v>
      </c>
      <c r="T249">
        <v>0.37624940000000001</v>
      </c>
      <c r="U249">
        <v>1.2248479999999999</v>
      </c>
      <c r="V249">
        <v>-0.85101059999999995</v>
      </c>
      <c r="W249">
        <v>-0.41584850000000001</v>
      </c>
      <c r="X249">
        <f t="shared" si="3"/>
        <v>0.85101059999999995</v>
      </c>
    </row>
    <row r="250" spans="1:24" x14ac:dyDescent="0.45">
      <c r="A250">
        <v>1100</v>
      </c>
      <c r="B250">
        <v>9</v>
      </c>
      <c r="C250">
        <v>2</v>
      </c>
      <c r="D250">
        <v>3</v>
      </c>
      <c r="E250">
        <v>-35</v>
      </c>
      <c r="F250">
        <v>0</v>
      </c>
      <c r="G250">
        <v>15</v>
      </c>
      <c r="H250">
        <v>-3</v>
      </c>
      <c r="I250">
        <v>0</v>
      </c>
      <c r="J250">
        <v>-2</v>
      </c>
      <c r="K250">
        <v>1</v>
      </c>
      <c r="L250">
        <v>-1</v>
      </c>
      <c r="M250">
        <v>1</v>
      </c>
      <c r="N250">
        <v>0</v>
      </c>
      <c r="O250">
        <v>0.127581479880439</v>
      </c>
      <c r="P250">
        <v>4.0527279314602902</v>
      </c>
      <c r="Q250">
        <v>77.872970110957098</v>
      </c>
      <c r="R250">
        <v>-3</v>
      </c>
      <c r="S250">
        <v>-2.780211</v>
      </c>
      <c r="T250">
        <v>-2.894123</v>
      </c>
      <c r="U250">
        <v>-3.1756980000000001</v>
      </c>
      <c r="V250">
        <v>-3.379413</v>
      </c>
      <c r="W250">
        <v>-3.6074600000000001</v>
      </c>
      <c r="X250">
        <f t="shared" si="3"/>
        <v>0.379413</v>
      </c>
    </row>
    <row r="251" spans="1:24" x14ac:dyDescent="0.45">
      <c r="A251">
        <v>1100</v>
      </c>
      <c r="B251">
        <v>10</v>
      </c>
      <c r="C251">
        <v>2</v>
      </c>
      <c r="D251">
        <v>8</v>
      </c>
      <c r="E251">
        <v>-45</v>
      </c>
      <c r="F251">
        <v>0</v>
      </c>
      <c r="G251">
        <v>5</v>
      </c>
      <c r="H251">
        <v>-3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1</v>
      </c>
      <c r="O251">
        <v>0.15799543304123501</v>
      </c>
      <c r="P251">
        <v>3.8465038287999</v>
      </c>
      <c r="Q251">
        <v>67.529903009951695</v>
      </c>
      <c r="R251">
        <v>-3</v>
      </c>
      <c r="S251">
        <v>-2.997347</v>
      </c>
      <c r="T251">
        <v>-0.98851699999999998</v>
      </c>
      <c r="U251">
        <v>0.79066429999999999</v>
      </c>
      <c r="V251">
        <v>2.4598209999999998</v>
      </c>
      <c r="W251">
        <v>3.6586889999999999</v>
      </c>
      <c r="X251">
        <f t="shared" si="3"/>
        <v>5.4598209999999998</v>
      </c>
    </row>
    <row r="252" spans="1:24" x14ac:dyDescent="0.45">
      <c r="A252">
        <v>1100</v>
      </c>
      <c r="B252">
        <v>11</v>
      </c>
      <c r="C252">
        <v>3</v>
      </c>
      <c r="D252">
        <v>1</v>
      </c>
      <c r="E252">
        <v>-35</v>
      </c>
      <c r="F252">
        <v>0</v>
      </c>
      <c r="G252">
        <v>15</v>
      </c>
      <c r="H252">
        <v>0</v>
      </c>
      <c r="I252">
        <v>1</v>
      </c>
      <c r="J252">
        <v>2</v>
      </c>
      <c r="K252">
        <v>1</v>
      </c>
      <c r="L252">
        <v>1</v>
      </c>
      <c r="M252">
        <v>0</v>
      </c>
      <c r="N252">
        <v>1</v>
      </c>
      <c r="O252">
        <v>0.136726557555606</v>
      </c>
      <c r="P252">
        <v>2.6989256995045698</v>
      </c>
      <c r="Q252">
        <v>76.167247235065204</v>
      </c>
      <c r="R252">
        <v>0</v>
      </c>
      <c r="S252">
        <v>4.9069990000000001E-2</v>
      </c>
      <c r="T252">
        <v>-0.17022999999999999</v>
      </c>
      <c r="U252">
        <v>-1.178329</v>
      </c>
      <c r="V252">
        <v>-2.1549990000000001</v>
      </c>
      <c r="W252">
        <v>-2.8214290000000002</v>
      </c>
      <c r="X252">
        <f t="shared" si="3"/>
        <v>2.1549990000000001</v>
      </c>
    </row>
    <row r="253" spans="1:24" x14ac:dyDescent="0.45">
      <c r="A253">
        <v>1100</v>
      </c>
      <c r="B253">
        <v>12</v>
      </c>
      <c r="C253">
        <v>1</v>
      </c>
      <c r="D253">
        <v>7</v>
      </c>
      <c r="E253">
        <v>-35</v>
      </c>
      <c r="F253">
        <v>0</v>
      </c>
      <c r="G253">
        <v>15</v>
      </c>
      <c r="H253">
        <v>3</v>
      </c>
      <c r="I253">
        <v>-1</v>
      </c>
      <c r="J253">
        <v>-1</v>
      </c>
      <c r="K253">
        <v>2</v>
      </c>
      <c r="L253">
        <v>-1</v>
      </c>
      <c r="M253">
        <v>1</v>
      </c>
      <c r="N253">
        <v>-1</v>
      </c>
      <c r="O253">
        <v>0.13715311591726001</v>
      </c>
      <c r="P253">
        <v>2.2076606135429402</v>
      </c>
      <c r="Q253">
        <v>77.106545110175304</v>
      </c>
      <c r="R253">
        <v>3</v>
      </c>
      <c r="S253">
        <v>3</v>
      </c>
      <c r="T253">
        <v>3.4156430000000002</v>
      </c>
      <c r="U253">
        <v>3.4551780000000001</v>
      </c>
      <c r="V253">
        <v>3.4040590000000002</v>
      </c>
      <c r="W253">
        <v>3.476229</v>
      </c>
      <c r="X253">
        <f t="shared" si="3"/>
        <v>0.40405900000000017</v>
      </c>
    </row>
    <row r="254" spans="1:24" x14ac:dyDescent="0.45">
      <c r="A254">
        <v>1100</v>
      </c>
      <c r="B254">
        <v>13</v>
      </c>
      <c r="C254">
        <v>3</v>
      </c>
      <c r="D254">
        <v>3</v>
      </c>
      <c r="E254">
        <v>-35</v>
      </c>
      <c r="F254">
        <v>0</v>
      </c>
      <c r="G254">
        <v>15</v>
      </c>
      <c r="H254">
        <v>-3</v>
      </c>
      <c r="I254">
        <v>1</v>
      </c>
      <c r="J254">
        <v>1</v>
      </c>
      <c r="K254">
        <v>2</v>
      </c>
      <c r="L254">
        <v>1</v>
      </c>
      <c r="M254">
        <v>1</v>
      </c>
      <c r="N254">
        <v>1</v>
      </c>
      <c r="O254">
        <v>0.161007200284355</v>
      </c>
      <c r="P254">
        <v>2.6416725105391499</v>
      </c>
      <c r="Q254">
        <v>75.431932715344402</v>
      </c>
      <c r="R254">
        <v>-3</v>
      </c>
      <c r="S254">
        <v>-3</v>
      </c>
      <c r="T254">
        <v>-2.9234230000000001</v>
      </c>
      <c r="U254">
        <v>-3.5050750000000002</v>
      </c>
      <c r="V254">
        <v>-3.7776529999999999</v>
      </c>
      <c r="W254">
        <v>-4.0040709999999997</v>
      </c>
      <c r="X254">
        <f t="shared" si="3"/>
        <v>0.77765299999999993</v>
      </c>
    </row>
    <row r="255" spans="1:24" x14ac:dyDescent="0.45">
      <c r="A255">
        <v>1100</v>
      </c>
      <c r="B255">
        <v>14</v>
      </c>
      <c r="C255">
        <v>3</v>
      </c>
      <c r="D255">
        <v>5</v>
      </c>
      <c r="E255">
        <v>-35</v>
      </c>
      <c r="F255">
        <v>0</v>
      </c>
      <c r="G255">
        <v>15</v>
      </c>
      <c r="H255">
        <v>0</v>
      </c>
      <c r="I255">
        <v>-2</v>
      </c>
      <c r="J255">
        <v>1</v>
      </c>
      <c r="K255">
        <v>2</v>
      </c>
      <c r="L255">
        <v>-2</v>
      </c>
      <c r="M255">
        <v>-2</v>
      </c>
      <c r="N255">
        <v>-2</v>
      </c>
      <c r="O255">
        <v>0.18995429984571399</v>
      </c>
      <c r="P255">
        <v>6.3797789244090701</v>
      </c>
      <c r="Q255">
        <v>78.568591198028798</v>
      </c>
      <c r="R255">
        <v>3</v>
      </c>
      <c r="S255">
        <v>2.933084</v>
      </c>
      <c r="T255">
        <v>2.9757169999999999</v>
      </c>
      <c r="U255">
        <v>2.8545539999999998</v>
      </c>
      <c r="V255">
        <v>1.173786</v>
      </c>
      <c r="W255">
        <v>0.16090189999999999</v>
      </c>
      <c r="X255">
        <f t="shared" si="3"/>
        <v>1.826214</v>
      </c>
    </row>
    <row r="256" spans="1:24" x14ac:dyDescent="0.45">
      <c r="A256">
        <v>1100</v>
      </c>
      <c r="B256">
        <v>15</v>
      </c>
      <c r="C256">
        <v>1</v>
      </c>
      <c r="D256">
        <v>4</v>
      </c>
      <c r="E256">
        <v>-45</v>
      </c>
      <c r="F256">
        <v>0</v>
      </c>
      <c r="G256">
        <v>5</v>
      </c>
      <c r="H256">
        <v>3</v>
      </c>
      <c r="I256">
        <v>-1</v>
      </c>
      <c r="J256">
        <v>0</v>
      </c>
      <c r="K256">
        <v>2</v>
      </c>
      <c r="L256">
        <v>-1</v>
      </c>
      <c r="M256">
        <v>0</v>
      </c>
      <c r="N256">
        <v>0</v>
      </c>
      <c r="O256">
        <v>0.11708253524634001</v>
      </c>
      <c r="P256">
        <v>2.4579017872819602</v>
      </c>
      <c r="Q256">
        <v>67.2418807803259</v>
      </c>
      <c r="R256">
        <v>3</v>
      </c>
      <c r="S256">
        <v>3</v>
      </c>
      <c r="T256">
        <v>2.966987</v>
      </c>
      <c r="U256">
        <v>2.9153359999999999</v>
      </c>
      <c r="V256">
        <v>2.9017089999999999</v>
      </c>
      <c r="W256">
        <v>3.1326870000000002</v>
      </c>
      <c r="X256">
        <f t="shared" si="3"/>
        <v>9.8291000000000128E-2</v>
      </c>
    </row>
    <row r="257" spans="1:24" x14ac:dyDescent="0.45">
      <c r="A257">
        <v>1100</v>
      </c>
      <c r="B257">
        <v>16</v>
      </c>
      <c r="C257">
        <v>2</v>
      </c>
      <c r="D257">
        <v>7</v>
      </c>
      <c r="E257">
        <v>-35</v>
      </c>
      <c r="F257">
        <v>0</v>
      </c>
      <c r="G257">
        <v>15</v>
      </c>
      <c r="H257">
        <v>3</v>
      </c>
      <c r="I257">
        <v>1</v>
      </c>
      <c r="J257">
        <v>1</v>
      </c>
      <c r="K257">
        <v>2</v>
      </c>
      <c r="L257">
        <v>1</v>
      </c>
      <c r="M257">
        <v>2</v>
      </c>
      <c r="N257">
        <v>2</v>
      </c>
      <c r="O257">
        <v>0.14077165528352301</v>
      </c>
      <c r="P257">
        <v>4.3943365350713304</v>
      </c>
      <c r="Q257">
        <v>76.842601542439397</v>
      </c>
      <c r="R257">
        <v>3</v>
      </c>
      <c r="S257">
        <v>3</v>
      </c>
      <c r="T257">
        <v>3.2256990000000001</v>
      </c>
      <c r="U257">
        <v>3.2378749999999998</v>
      </c>
      <c r="V257">
        <v>3.2748719999999998</v>
      </c>
      <c r="W257">
        <v>3.2710699999999999</v>
      </c>
      <c r="X257">
        <f t="shared" si="3"/>
        <v>0.27487199999999978</v>
      </c>
    </row>
    <row r="258" spans="1:24" x14ac:dyDescent="0.45">
      <c r="A258">
        <v>1100</v>
      </c>
      <c r="B258">
        <v>17</v>
      </c>
      <c r="C258">
        <v>3</v>
      </c>
      <c r="D258">
        <v>2</v>
      </c>
      <c r="E258">
        <v>-35</v>
      </c>
      <c r="F258">
        <v>-3</v>
      </c>
      <c r="G258">
        <v>15</v>
      </c>
      <c r="H258">
        <v>-3</v>
      </c>
      <c r="I258">
        <v>2</v>
      </c>
      <c r="J258">
        <v>2</v>
      </c>
      <c r="K258">
        <v>2</v>
      </c>
      <c r="L258">
        <v>1</v>
      </c>
      <c r="M258">
        <v>1</v>
      </c>
      <c r="N258">
        <v>1</v>
      </c>
      <c r="O258">
        <v>0.121694458040196</v>
      </c>
      <c r="P258">
        <v>5.9210354697051502</v>
      </c>
      <c r="Q258">
        <v>78.092301919619302</v>
      </c>
      <c r="R258">
        <v>-3</v>
      </c>
      <c r="S258">
        <v>-2.9887060000000001</v>
      </c>
      <c r="T258">
        <v>-2.8581859999999999</v>
      </c>
      <c r="U258">
        <v>-0.99794439999999995</v>
      </c>
      <c r="V258">
        <v>0.21485360000000001</v>
      </c>
      <c r="W258">
        <v>0.46959679999999998</v>
      </c>
      <c r="X258">
        <f t="shared" si="3"/>
        <v>3.2148536000000001</v>
      </c>
    </row>
    <row r="259" spans="1:24" x14ac:dyDescent="0.45">
      <c r="A259">
        <v>1100</v>
      </c>
      <c r="B259">
        <v>18</v>
      </c>
      <c r="C259">
        <v>2</v>
      </c>
      <c r="D259">
        <v>6</v>
      </c>
      <c r="E259">
        <v>-35</v>
      </c>
      <c r="F259">
        <v>3</v>
      </c>
      <c r="G259">
        <v>15</v>
      </c>
      <c r="H259">
        <v>3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0.117771676625335</v>
      </c>
      <c r="P259">
        <v>2.12836201331015</v>
      </c>
      <c r="Q259">
        <v>77.097469941724498</v>
      </c>
      <c r="R259">
        <v>0</v>
      </c>
      <c r="S259">
        <v>1.7342019999999999E-6</v>
      </c>
      <c r="T259">
        <v>-8.6711459999999994E-3</v>
      </c>
      <c r="U259">
        <v>0.16338749999999999</v>
      </c>
      <c r="V259">
        <v>1.403219</v>
      </c>
      <c r="W259">
        <v>2.667646</v>
      </c>
      <c r="X259">
        <f t="shared" ref="X259:X322" si="4">ABS(V259-R259)</f>
        <v>1.403219</v>
      </c>
    </row>
    <row r="260" spans="1:24" x14ac:dyDescent="0.45">
      <c r="A260">
        <v>1100</v>
      </c>
      <c r="B260">
        <v>19</v>
      </c>
      <c r="C260">
        <v>1</v>
      </c>
      <c r="D260">
        <v>1</v>
      </c>
      <c r="E260">
        <v>-35</v>
      </c>
      <c r="F260">
        <v>0</v>
      </c>
      <c r="G260">
        <v>15</v>
      </c>
      <c r="H260">
        <v>0</v>
      </c>
      <c r="I260">
        <v>-1</v>
      </c>
      <c r="J260">
        <v>-2</v>
      </c>
      <c r="K260">
        <v>1</v>
      </c>
      <c r="L260">
        <v>-2</v>
      </c>
      <c r="M260">
        <v>-1</v>
      </c>
      <c r="N260">
        <v>0</v>
      </c>
      <c r="O260">
        <v>0.121339533554542</v>
      </c>
      <c r="P260">
        <v>3.559691092464</v>
      </c>
      <c r="Q260">
        <v>77.122418618349201</v>
      </c>
      <c r="R260">
        <v>0</v>
      </c>
      <c r="S260">
        <v>0</v>
      </c>
      <c r="T260">
        <v>-4.2211850000000002E-2</v>
      </c>
      <c r="U260">
        <v>-0.2750958</v>
      </c>
      <c r="V260">
        <v>-1.5383279999999999</v>
      </c>
      <c r="W260">
        <v>-2.3245100000000001</v>
      </c>
      <c r="X260">
        <f t="shared" si="4"/>
        <v>1.5383279999999999</v>
      </c>
    </row>
    <row r="261" spans="1:24" x14ac:dyDescent="0.45">
      <c r="A261">
        <v>1100</v>
      </c>
      <c r="B261">
        <v>20</v>
      </c>
      <c r="C261">
        <v>1</v>
      </c>
      <c r="D261">
        <v>8</v>
      </c>
      <c r="E261">
        <v>-45</v>
      </c>
      <c r="F261">
        <v>0</v>
      </c>
      <c r="G261">
        <v>5</v>
      </c>
      <c r="H261">
        <v>-3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1</v>
      </c>
      <c r="O261">
        <v>0.157707229523051</v>
      </c>
      <c r="P261">
        <v>2.4602317356734198</v>
      </c>
      <c r="Q261">
        <v>66.8100403289057</v>
      </c>
      <c r="R261">
        <v>-3</v>
      </c>
      <c r="S261">
        <v>-2.8208030000000002</v>
      </c>
      <c r="T261">
        <v>-1.3443210000000001</v>
      </c>
      <c r="U261">
        <v>-1.4194180000000001E-2</v>
      </c>
      <c r="V261">
        <v>1.0891120000000001</v>
      </c>
      <c r="W261">
        <v>2.1261990000000002</v>
      </c>
      <c r="X261">
        <f t="shared" si="4"/>
        <v>4.0891120000000001</v>
      </c>
    </row>
    <row r="262" spans="1:24" x14ac:dyDescent="0.45">
      <c r="A262">
        <v>1100</v>
      </c>
      <c r="B262">
        <v>21</v>
      </c>
      <c r="C262">
        <v>2</v>
      </c>
      <c r="D262">
        <v>2</v>
      </c>
      <c r="E262">
        <v>-35</v>
      </c>
      <c r="F262">
        <v>-3</v>
      </c>
      <c r="G262">
        <v>15</v>
      </c>
      <c r="H262">
        <v>-3</v>
      </c>
      <c r="I262">
        <v>-2</v>
      </c>
      <c r="J262">
        <v>1</v>
      </c>
      <c r="K262">
        <v>-2</v>
      </c>
      <c r="L262">
        <v>0</v>
      </c>
      <c r="M262">
        <v>1</v>
      </c>
      <c r="N262">
        <v>-1</v>
      </c>
      <c r="O262">
        <v>0.13085571945673199</v>
      </c>
      <c r="P262">
        <v>3.4147603585473298</v>
      </c>
      <c r="Q262">
        <v>77.6375653774776</v>
      </c>
      <c r="R262">
        <v>-3</v>
      </c>
      <c r="S262">
        <v>-2.9959929999999999</v>
      </c>
      <c r="T262">
        <v>-1.881777</v>
      </c>
      <c r="U262">
        <v>-0.75197020000000003</v>
      </c>
      <c r="V262">
        <v>-1.6298179999999999E-2</v>
      </c>
      <c r="W262">
        <v>0.45044990000000001</v>
      </c>
      <c r="X262">
        <f t="shared" si="4"/>
        <v>2.9837018199999998</v>
      </c>
    </row>
    <row r="263" spans="1:24" x14ac:dyDescent="0.45">
      <c r="A263">
        <v>1100</v>
      </c>
      <c r="B263">
        <v>22</v>
      </c>
      <c r="C263">
        <v>3</v>
      </c>
      <c r="D263">
        <v>7</v>
      </c>
      <c r="E263">
        <v>-35</v>
      </c>
      <c r="F263">
        <v>0</v>
      </c>
      <c r="G263">
        <v>15</v>
      </c>
      <c r="H263">
        <v>3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0.119611944427574</v>
      </c>
      <c r="P263">
        <v>1.8006312487098299</v>
      </c>
      <c r="Q263">
        <v>76.938859069029704</v>
      </c>
      <c r="R263">
        <v>3</v>
      </c>
      <c r="S263">
        <v>2.9586960000000002</v>
      </c>
      <c r="T263">
        <v>3.228227</v>
      </c>
      <c r="U263">
        <v>3.907095</v>
      </c>
      <c r="V263">
        <v>3.9903789999999999</v>
      </c>
      <c r="W263">
        <v>4.149203</v>
      </c>
      <c r="X263">
        <f t="shared" si="4"/>
        <v>0.9903789999999999</v>
      </c>
    </row>
    <row r="264" spans="1:24" x14ac:dyDescent="0.45">
      <c r="A264">
        <v>1100</v>
      </c>
      <c r="B264">
        <v>23</v>
      </c>
      <c r="C264">
        <v>2</v>
      </c>
      <c r="D264">
        <v>4</v>
      </c>
      <c r="E264">
        <v>-45</v>
      </c>
      <c r="F264">
        <v>0</v>
      </c>
      <c r="G264">
        <v>5</v>
      </c>
      <c r="H264">
        <v>3</v>
      </c>
      <c r="I264">
        <v>1</v>
      </c>
      <c r="J264">
        <v>1</v>
      </c>
      <c r="K264">
        <v>1</v>
      </c>
      <c r="L264">
        <v>1</v>
      </c>
      <c r="M264">
        <v>2</v>
      </c>
      <c r="N264">
        <v>1</v>
      </c>
      <c r="O264">
        <v>0.209908195106359</v>
      </c>
      <c r="P264">
        <v>7.2907719059092102</v>
      </c>
      <c r="Q264">
        <v>68.628486036405704</v>
      </c>
      <c r="R264">
        <v>3</v>
      </c>
      <c r="S264">
        <v>2.8828369999999999</v>
      </c>
      <c r="T264">
        <v>1.272464</v>
      </c>
      <c r="U264">
        <v>-5.901079E-2</v>
      </c>
      <c r="V264">
        <v>-1.5505979999999999</v>
      </c>
      <c r="W264">
        <v>-3.2109350000000001</v>
      </c>
      <c r="X264">
        <f t="shared" si="4"/>
        <v>4.5505979999999999</v>
      </c>
    </row>
    <row r="265" spans="1:24" x14ac:dyDescent="0.45">
      <c r="A265">
        <v>1100</v>
      </c>
      <c r="B265">
        <v>24</v>
      </c>
      <c r="C265">
        <v>1</v>
      </c>
      <c r="D265">
        <v>5</v>
      </c>
      <c r="E265">
        <v>-35</v>
      </c>
      <c r="F265">
        <v>0</v>
      </c>
      <c r="G265">
        <v>15</v>
      </c>
      <c r="H265">
        <v>0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1</v>
      </c>
      <c r="O265">
        <v>0.20430152525379999</v>
      </c>
      <c r="P265">
        <v>6.3967644597721396</v>
      </c>
      <c r="Q265">
        <v>76.9148268542111</v>
      </c>
      <c r="R265">
        <v>3</v>
      </c>
      <c r="S265">
        <v>2.9956499999999999</v>
      </c>
      <c r="T265">
        <v>2.739662</v>
      </c>
      <c r="U265">
        <v>2.8166220000000002</v>
      </c>
      <c r="V265">
        <v>2.0301010000000002</v>
      </c>
      <c r="W265">
        <v>0.59518899999999997</v>
      </c>
      <c r="X265">
        <f t="shared" si="4"/>
        <v>0.96989899999999984</v>
      </c>
    </row>
    <row r="266" spans="1:24" x14ac:dyDescent="0.45">
      <c r="A266">
        <v>1110</v>
      </c>
      <c r="B266">
        <v>1</v>
      </c>
      <c r="C266">
        <v>1</v>
      </c>
      <c r="D266">
        <v>5</v>
      </c>
      <c r="E266">
        <v>-35</v>
      </c>
      <c r="F266">
        <v>0</v>
      </c>
      <c r="G266">
        <v>15</v>
      </c>
      <c r="H266">
        <v>0</v>
      </c>
      <c r="I266">
        <v>-2</v>
      </c>
      <c r="J266">
        <v>2</v>
      </c>
      <c r="K266">
        <v>-2</v>
      </c>
      <c r="L266">
        <v>2</v>
      </c>
      <c r="M266">
        <v>2</v>
      </c>
      <c r="N266">
        <v>1</v>
      </c>
      <c r="O266">
        <v>0.111981164969748</v>
      </c>
      <c r="P266">
        <v>2.1584151751716498</v>
      </c>
      <c r="Q266">
        <v>77.795287367441105</v>
      </c>
      <c r="R266">
        <v>3</v>
      </c>
      <c r="S266">
        <v>3</v>
      </c>
      <c r="T266">
        <v>2.9920979999999999</v>
      </c>
      <c r="U266">
        <v>2.8775019999999998</v>
      </c>
      <c r="V266">
        <v>2.4533260000000001</v>
      </c>
      <c r="W266">
        <v>1.2042010000000001</v>
      </c>
      <c r="X266">
        <f t="shared" si="4"/>
        <v>0.54667399999999988</v>
      </c>
    </row>
    <row r="267" spans="1:24" x14ac:dyDescent="0.45">
      <c r="A267">
        <v>1110</v>
      </c>
      <c r="B267">
        <v>2</v>
      </c>
      <c r="C267">
        <v>2</v>
      </c>
      <c r="D267">
        <v>4</v>
      </c>
      <c r="E267">
        <v>-45</v>
      </c>
      <c r="F267">
        <v>0</v>
      </c>
      <c r="G267">
        <v>5</v>
      </c>
      <c r="H267">
        <v>3</v>
      </c>
      <c r="I267">
        <v>2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0.166848262368052</v>
      </c>
      <c r="P267">
        <v>3.1466972823745301</v>
      </c>
      <c r="Q267">
        <v>66.827515965617394</v>
      </c>
      <c r="R267">
        <v>3</v>
      </c>
      <c r="S267">
        <v>3</v>
      </c>
      <c r="T267">
        <v>2.9716879999999999</v>
      </c>
      <c r="U267">
        <v>3.0982349999999999</v>
      </c>
      <c r="V267">
        <v>3.1068359999999999</v>
      </c>
      <c r="W267">
        <v>3.251798</v>
      </c>
      <c r="X267">
        <f t="shared" si="4"/>
        <v>0.10683599999999993</v>
      </c>
    </row>
    <row r="268" spans="1:24" x14ac:dyDescent="0.45">
      <c r="A268">
        <v>1110</v>
      </c>
      <c r="B268">
        <v>3</v>
      </c>
      <c r="C268">
        <v>3</v>
      </c>
      <c r="D268">
        <v>7</v>
      </c>
      <c r="E268">
        <v>-35</v>
      </c>
      <c r="F268">
        <v>0</v>
      </c>
      <c r="G268">
        <v>15</v>
      </c>
      <c r="H268">
        <v>3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0.126100251836643</v>
      </c>
      <c r="P268">
        <v>1.5699773049392001</v>
      </c>
      <c r="Q268">
        <v>77.899613641224207</v>
      </c>
      <c r="R268">
        <v>3</v>
      </c>
      <c r="S268">
        <v>3</v>
      </c>
      <c r="T268">
        <v>2.9177070000000001</v>
      </c>
      <c r="U268">
        <v>2.7685819999999999</v>
      </c>
      <c r="V268">
        <v>2.6239759999999999</v>
      </c>
      <c r="W268">
        <v>2.6548289999999999</v>
      </c>
      <c r="X268">
        <f t="shared" si="4"/>
        <v>0.37602400000000014</v>
      </c>
    </row>
    <row r="269" spans="1:24" x14ac:dyDescent="0.45">
      <c r="A269">
        <v>1110</v>
      </c>
      <c r="B269">
        <v>4</v>
      </c>
      <c r="C269">
        <v>2</v>
      </c>
      <c r="D269">
        <v>2</v>
      </c>
      <c r="E269">
        <v>-35</v>
      </c>
      <c r="F269">
        <v>-3</v>
      </c>
      <c r="G269">
        <v>15</v>
      </c>
      <c r="H269">
        <v>-3</v>
      </c>
      <c r="I269">
        <v>1</v>
      </c>
      <c r="J269">
        <v>-1</v>
      </c>
      <c r="K269">
        <v>1</v>
      </c>
      <c r="L269">
        <v>-2</v>
      </c>
      <c r="M269">
        <v>-2</v>
      </c>
      <c r="N269">
        <v>-2</v>
      </c>
      <c r="O269">
        <v>0.23986269069157401</v>
      </c>
      <c r="P269">
        <v>9.0012455021200299</v>
      </c>
      <c r="Q269">
        <v>77.672527785203201</v>
      </c>
      <c r="R269">
        <v>-3</v>
      </c>
      <c r="S269">
        <v>-2.9999099999999999</v>
      </c>
      <c r="T269">
        <v>-3.0896330000000001</v>
      </c>
      <c r="U269">
        <v>-2.2020379999999999</v>
      </c>
      <c r="V269">
        <v>-0.78123310000000001</v>
      </c>
      <c r="W269">
        <v>0.31791249999999999</v>
      </c>
      <c r="X269">
        <f t="shared" si="4"/>
        <v>2.2187668999999999</v>
      </c>
    </row>
    <row r="270" spans="1:24" x14ac:dyDescent="0.45">
      <c r="A270">
        <v>1110</v>
      </c>
      <c r="B270">
        <v>5</v>
      </c>
      <c r="C270">
        <v>1</v>
      </c>
      <c r="D270">
        <v>8</v>
      </c>
      <c r="E270">
        <v>-45</v>
      </c>
      <c r="F270">
        <v>0</v>
      </c>
      <c r="G270">
        <v>5</v>
      </c>
      <c r="H270">
        <v>-3</v>
      </c>
      <c r="I270">
        <v>1</v>
      </c>
      <c r="J270">
        <v>1</v>
      </c>
      <c r="K270">
        <v>1</v>
      </c>
      <c r="L270">
        <v>-1</v>
      </c>
      <c r="M270">
        <v>-1</v>
      </c>
      <c r="N270">
        <v>0</v>
      </c>
      <c r="O270">
        <v>0.166085114753559</v>
      </c>
      <c r="P270">
        <v>4.0978874677666699</v>
      </c>
      <c r="Q270">
        <v>67.938782038201396</v>
      </c>
      <c r="R270">
        <v>-3</v>
      </c>
      <c r="S270">
        <v>-3</v>
      </c>
      <c r="T270">
        <v>-3.5637050000000001</v>
      </c>
      <c r="U270">
        <v>-3.335388</v>
      </c>
      <c r="V270">
        <v>-2.546106</v>
      </c>
      <c r="W270">
        <v>-0.62070139999999996</v>
      </c>
      <c r="X270">
        <f t="shared" si="4"/>
        <v>0.45389400000000002</v>
      </c>
    </row>
    <row r="271" spans="1:24" x14ac:dyDescent="0.45">
      <c r="A271">
        <v>1110</v>
      </c>
      <c r="B271">
        <v>6</v>
      </c>
      <c r="C271">
        <v>1</v>
      </c>
      <c r="D271">
        <v>1</v>
      </c>
      <c r="E271">
        <v>-35</v>
      </c>
      <c r="F271">
        <v>0</v>
      </c>
      <c r="G271">
        <v>15</v>
      </c>
      <c r="H271">
        <v>0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0.11942545195104699</v>
      </c>
      <c r="P271">
        <v>2.2403735977842998</v>
      </c>
      <c r="Q271">
        <v>78.500384100220401</v>
      </c>
      <c r="R271">
        <v>0</v>
      </c>
      <c r="S271">
        <v>0</v>
      </c>
      <c r="T271">
        <v>-0.14295359999999999</v>
      </c>
      <c r="U271">
        <v>-0.32817849999999998</v>
      </c>
      <c r="V271">
        <v>-0.43062650000000002</v>
      </c>
      <c r="W271">
        <v>0.33682879999999998</v>
      </c>
      <c r="X271">
        <f t="shared" si="4"/>
        <v>0.43062650000000002</v>
      </c>
    </row>
    <row r="272" spans="1:24" x14ac:dyDescent="0.45">
      <c r="A272">
        <v>1110</v>
      </c>
      <c r="B272">
        <v>7</v>
      </c>
      <c r="C272">
        <v>2</v>
      </c>
      <c r="D272">
        <v>6</v>
      </c>
      <c r="E272">
        <v>-35</v>
      </c>
      <c r="F272">
        <v>3</v>
      </c>
      <c r="G272">
        <v>15</v>
      </c>
      <c r="H272">
        <v>3</v>
      </c>
      <c r="I272">
        <v>-1</v>
      </c>
      <c r="J272">
        <v>0</v>
      </c>
      <c r="K272">
        <v>0</v>
      </c>
      <c r="L272">
        <v>-2</v>
      </c>
      <c r="M272">
        <v>-2</v>
      </c>
      <c r="N272">
        <v>-2</v>
      </c>
      <c r="O272">
        <v>0.13534259938235199</v>
      </c>
      <c r="P272">
        <v>3.73196198173954</v>
      </c>
      <c r="Q272">
        <v>78.752666554267506</v>
      </c>
      <c r="R272">
        <v>0</v>
      </c>
      <c r="S272">
        <v>0</v>
      </c>
      <c r="T272">
        <v>-0.29673139999999998</v>
      </c>
      <c r="U272">
        <v>-0.50903449999999995</v>
      </c>
      <c r="V272">
        <v>-0.1485631</v>
      </c>
      <c r="W272">
        <v>0.57288249999999996</v>
      </c>
      <c r="X272">
        <f t="shared" si="4"/>
        <v>0.1485631</v>
      </c>
    </row>
    <row r="273" spans="1:24" x14ac:dyDescent="0.45">
      <c r="A273">
        <v>1110</v>
      </c>
      <c r="B273">
        <v>8</v>
      </c>
      <c r="C273">
        <v>3</v>
      </c>
      <c r="D273">
        <v>2</v>
      </c>
      <c r="E273">
        <v>-35</v>
      </c>
      <c r="F273">
        <v>-3</v>
      </c>
      <c r="G273">
        <v>15</v>
      </c>
      <c r="H273">
        <v>-3</v>
      </c>
      <c r="I273">
        <v>0</v>
      </c>
      <c r="J273">
        <v>0</v>
      </c>
      <c r="K273">
        <v>-1</v>
      </c>
      <c r="L273">
        <v>-2</v>
      </c>
      <c r="M273">
        <v>-2</v>
      </c>
      <c r="N273">
        <v>-2</v>
      </c>
      <c r="O273">
        <v>0.114064957857802</v>
      </c>
      <c r="P273">
        <v>2.3068886332607699</v>
      </c>
      <c r="Q273">
        <v>77.118309997443404</v>
      </c>
      <c r="R273">
        <v>-3</v>
      </c>
      <c r="S273">
        <v>-3</v>
      </c>
      <c r="T273">
        <v>-3.2011449999999999</v>
      </c>
      <c r="U273">
        <v>-2.663456</v>
      </c>
      <c r="V273">
        <v>-1.466793</v>
      </c>
      <c r="W273">
        <v>-1.5926670000000001</v>
      </c>
      <c r="X273">
        <f t="shared" si="4"/>
        <v>1.533207</v>
      </c>
    </row>
    <row r="274" spans="1:24" x14ac:dyDescent="0.45">
      <c r="A274">
        <v>1110</v>
      </c>
      <c r="B274">
        <v>9</v>
      </c>
      <c r="C274">
        <v>2</v>
      </c>
      <c r="D274">
        <v>7</v>
      </c>
      <c r="E274">
        <v>-35</v>
      </c>
      <c r="F274">
        <v>0</v>
      </c>
      <c r="G274">
        <v>15</v>
      </c>
      <c r="H274">
        <v>3</v>
      </c>
      <c r="I274">
        <v>2</v>
      </c>
      <c r="J274">
        <v>2</v>
      </c>
      <c r="K274">
        <v>1</v>
      </c>
      <c r="L274">
        <v>1</v>
      </c>
      <c r="M274">
        <v>1</v>
      </c>
      <c r="N274">
        <v>1</v>
      </c>
      <c r="O274">
        <v>0.113420933431699</v>
      </c>
      <c r="P274">
        <v>2.2940446985824101</v>
      </c>
      <c r="Q274">
        <v>78.238636762832797</v>
      </c>
      <c r="R274">
        <v>3</v>
      </c>
      <c r="S274">
        <v>3</v>
      </c>
      <c r="T274">
        <v>2.9151950000000002</v>
      </c>
      <c r="U274">
        <v>2.8123049999999998</v>
      </c>
      <c r="V274">
        <v>3.0773489999999999</v>
      </c>
      <c r="W274">
        <v>3.7053069999999999</v>
      </c>
      <c r="X274">
        <f t="shared" si="4"/>
        <v>7.734899999999989E-2</v>
      </c>
    </row>
    <row r="275" spans="1:24" x14ac:dyDescent="0.45">
      <c r="A275">
        <v>1110</v>
      </c>
      <c r="B275">
        <v>10</v>
      </c>
      <c r="C275">
        <v>1</v>
      </c>
      <c r="D275">
        <v>4</v>
      </c>
      <c r="E275">
        <v>-45</v>
      </c>
      <c r="F275">
        <v>0</v>
      </c>
      <c r="G275">
        <v>5</v>
      </c>
      <c r="H275">
        <v>3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0.120420772401743</v>
      </c>
      <c r="P275">
        <v>3.7441193161730602</v>
      </c>
      <c r="Q275">
        <v>69.902570855157293</v>
      </c>
      <c r="R275">
        <v>3</v>
      </c>
      <c r="S275">
        <v>3</v>
      </c>
      <c r="T275">
        <v>1.990974</v>
      </c>
      <c r="U275">
        <v>1.4796899999999999</v>
      </c>
      <c r="V275">
        <v>1.3589629999999999</v>
      </c>
      <c r="W275">
        <v>1.970024</v>
      </c>
      <c r="X275">
        <f t="shared" si="4"/>
        <v>1.6410370000000001</v>
      </c>
    </row>
    <row r="276" spans="1:24" x14ac:dyDescent="0.45">
      <c r="A276">
        <v>1110</v>
      </c>
      <c r="B276">
        <v>11</v>
      </c>
      <c r="C276">
        <v>3</v>
      </c>
      <c r="D276">
        <v>5</v>
      </c>
      <c r="E276">
        <v>-35</v>
      </c>
      <c r="F276">
        <v>0</v>
      </c>
      <c r="G276">
        <v>15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-2</v>
      </c>
      <c r="N276">
        <v>-2</v>
      </c>
      <c r="O276">
        <v>0.13318268161992899</v>
      </c>
      <c r="P276">
        <v>3.6809486475891999</v>
      </c>
      <c r="Q276">
        <v>76.261592167768896</v>
      </c>
      <c r="R276">
        <v>3</v>
      </c>
      <c r="S276">
        <v>2.9477899999999999</v>
      </c>
      <c r="T276">
        <v>2.3934790000000001</v>
      </c>
      <c r="U276">
        <v>1.24028</v>
      </c>
      <c r="V276">
        <v>2.032327</v>
      </c>
      <c r="W276">
        <v>2.5007039999999998</v>
      </c>
      <c r="X276">
        <f t="shared" si="4"/>
        <v>0.96767300000000001</v>
      </c>
    </row>
    <row r="277" spans="1:24" x14ac:dyDescent="0.45">
      <c r="A277">
        <v>1110</v>
      </c>
      <c r="B277">
        <v>12</v>
      </c>
      <c r="C277">
        <v>3</v>
      </c>
      <c r="D277">
        <v>3</v>
      </c>
      <c r="E277">
        <v>-35</v>
      </c>
      <c r="F277">
        <v>0</v>
      </c>
      <c r="G277">
        <v>15</v>
      </c>
      <c r="H277">
        <v>-3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0.103894749668345</v>
      </c>
      <c r="P277">
        <v>1.64072750104993</v>
      </c>
      <c r="Q277">
        <v>77.858009290943897</v>
      </c>
      <c r="R277">
        <v>-3</v>
      </c>
      <c r="S277">
        <v>-3</v>
      </c>
      <c r="T277">
        <v>-3.2662010000000001</v>
      </c>
      <c r="U277">
        <v>-3.192091</v>
      </c>
      <c r="V277">
        <v>-3.2980360000000002</v>
      </c>
      <c r="W277">
        <v>-3.3749099999999999</v>
      </c>
      <c r="X277">
        <f t="shared" si="4"/>
        <v>0.29803600000000019</v>
      </c>
    </row>
    <row r="278" spans="1:24" x14ac:dyDescent="0.45">
      <c r="A278">
        <v>1110</v>
      </c>
      <c r="B278">
        <v>13</v>
      </c>
      <c r="C278">
        <v>1</v>
      </c>
      <c r="D278">
        <v>7</v>
      </c>
      <c r="E278">
        <v>-35</v>
      </c>
      <c r="F278">
        <v>0</v>
      </c>
      <c r="G278">
        <v>15</v>
      </c>
      <c r="H278">
        <v>3</v>
      </c>
      <c r="I278">
        <v>1</v>
      </c>
      <c r="J278">
        <v>1</v>
      </c>
      <c r="K278">
        <v>1</v>
      </c>
      <c r="L278">
        <v>2</v>
      </c>
      <c r="M278">
        <v>1</v>
      </c>
      <c r="N278">
        <v>1</v>
      </c>
      <c r="O278">
        <v>0.11990539080504301</v>
      </c>
      <c r="P278">
        <v>2.3741229703676199</v>
      </c>
      <c r="Q278">
        <v>76.800225731687107</v>
      </c>
      <c r="R278">
        <v>3</v>
      </c>
      <c r="S278">
        <v>3</v>
      </c>
      <c r="T278">
        <v>2.8235570000000001</v>
      </c>
      <c r="U278">
        <v>2.8087469999999999</v>
      </c>
      <c r="V278">
        <v>2.9840089999999999</v>
      </c>
      <c r="W278">
        <v>3.5066830000000002</v>
      </c>
      <c r="X278">
        <f t="shared" si="4"/>
        <v>1.5991000000000088E-2</v>
      </c>
    </row>
    <row r="279" spans="1:24" x14ac:dyDescent="0.45">
      <c r="A279">
        <v>1110</v>
      </c>
      <c r="B279">
        <v>14</v>
      </c>
      <c r="C279">
        <v>3</v>
      </c>
      <c r="D279">
        <v>1</v>
      </c>
      <c r="E279">
        <v>-35</v>
      </c>
      <c r="F279">
        <v>0</v>
      </c>
      <c r="G279">
        <v>15</v>
      </c>
      <c r="H279">
        <v>0</v>
      </c>
      <c r="I279">
        <v>0</v>
      </c>
      <c r="J279">
        <v>-1</v>
      </c>
      <c r="K279">
        <v>1</v>
      </c>
      <c r="L279">
        <v>-2</v>
      </c>
      <c r="M279">
        <v>-2</v>
      </c>
      <c r="N279">
        <v>-2</v>
      </c>
      <c r="O279">
        <v>0.118679987234614</v>
      </c>
      <c r="P279">
        <v>2.2805194563784199</v>
      </c>
      <c r="Q279">
        <v>77.334392997376597</v>
      </c>
      <c r="R279">
        <v>0</v>
      </c>
      <c r="S279">
        <v>1.12016E-3</v>
      </c>
      <c r="T279">
        <v>0.37289349999999999</v>
      </c>
      <c r="U279">
        <v>0.90810190000000002</v>
      </c>
      <c r="V279">
        <v>-0.51011640000000003</v>
      </c>
      <c r="W279">
        <v>-1.1920809999999999</v>
      </c>
      <c r="X279">
        <f t="shared" si="4"/>
        <v>0.51011640000000003</v>
      </c>
    </row>
    <row r="280" spans="1:24" x14ac:dyDescent="0.45">
      <c r="A280">
        <v>1110</v>
      </c>
      <c r="B280">
        <v>15</v>
      </c>
      <c r="C280">
        <v>2</v>
      </c>
      <c r="D280">
        <v>8</v>
      </c>
      <c r="E280">
        <v>-45</v>
      </c>
      <c r="F280">
        <v>0</v>
      </c>
      <c r="G280">
        <v>5</v>
      </c>
      <c r="H280">
        <v>-3</v>
      </c>
      <c r="I280">
        <v>-2</v>
      </c>
      <c r="J280">
        <v>-2</v>
      </c>
      <c r="K280">
        <v>-1</v>
      </c>
      <c r="L280">
        <v>-2</v>
      </c>
      <c r="M280">
        <v>-2</v>
      </c>
      <c r="N280">
        <v>-2</v>
      </c>
      <c r="O280">
        <v>0.26200241064524099</v>
      </c>
      <c r="P280">
        <v>9.5797053451978602</v>
      </c>
      <c r="Q280">
        <v>34.672273167438298</v>
      </c>
      <c r="R280">
        <v>-3</v>
      </c>
      <c r="S280">
        <v>-2.8559260000000002</v>
      </c>
      <c r="T280">
        <v>-2.6961919999999999</v>
      </c>
      <c r="U280">
        <v>-2.7402880000000001</v>
      </c>
      <c r="V280">
        <v>-2.999374</v>
      </c>
      <c r="W280">
        <v>-2.4008500000000002</v>
      </c>
      <c r="X280">
        <f t="shared" si="4"/>
        <v>6.2600000000001543E-4</v>
      </c>
    </row>
    <row r="281" spans="1:24" x14ac:dyDescent="0.45">
      <c r="A281">
        <v>1110</v>
      </c>
      <c r="B281">
        <v>16</v>
      </c>
      <c r="C281">
        <v>2</v>
      </c>
      <c r="D281">
        <v>3</v>
      </c>
      <c r="E281">
        <v>-35</v>
      </c>
      <c r="F281">
        <v>0</v>
      </c>
      <c r="G281">
        <v>15</v>
      </c>
      <c r="H281">
        <v>-3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0.103456209184249</v>
      </c>
      <c r="P281">
        <v>1.92940337779961</v>
      </c>
      <c r="Q281">
        <v>78.294533800403499</v>
      </c>
      <c r="R281">
        <v>-3</v>
      </c>
      <c r="S281">
        <v>-2.832452</v>
      </c>
      <c r="T281">
        <v>-2.5780400000000001</v>
      </c>
      <c r="U281">
        <v>-2.4964680000000001</v>
      </c>
      <c r="V281">
        <v>-2.5473880000000002</v>
      </c>
      <c r="W281">
        <v>-2.7902300000000002</v>
      </c>
      <c r="X281">
        <f t="shared" si="4"/>
        <v>0.45261199999999979</v>
      </c>
    </row>
    <row r="282" spans="1:24" x14ac:dyDescent="0.45">
      <c r="A282">
        <v>1110</v>
      </c>
      <c r="B282">
        <v>17</v>
      </c>
      <c r="C282">
        <v>3</v>
      </c>
      <c r="D282">
        <v>6</v>
      </c>
      <c r="E282">
        <v>-35</v>
      </c>
      <c r="F282">
        <v>3</v>
      </c>
      <c r="G282">
        <v>15</v>
      </c>
      <c r="H282">
        <v>3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4.5594987328166699E-2</v>
      </c>
      <c r="P282">
        <v>1.70173209140919</v>
      </c>
      <c r="Q282">
        <v>78.874658972783394</v>
      </c>
      <c r="R282">
        <v>0</v>
      </c>
      <c r="S282">
        <v>3.870568E-3</v>
      </c>
      <c r="T282">
        <v>-0.45859670000000002</v>
      </c>
      <c r="U282">
        <v>-1.4677009999999999</v>
      </c>
      <c r="V282">
        <v>-2.296217</v>
      </c>
      <c r="W282">
        <v>-2.7264750000000002</v>
      </c>
      <c r="X282">
        <f t="shared" si="4"/>
        <v>2.296217</v>
      </c>
    </row>
    <row r="283" spans="1:24" x14ac:dyDescent="0.45">
      <c r="A283">
        <v>1110</v>
      </c>
      <c r="B283">
        <v>18</v>
      </c>
      <c r="C283">
        <v>1</v>
      </c>
      <c r="D283">
        <v>2</v>
      </c>
      <c r="E283">
        <v>-35</v>
      </c>
      <c r="F283">
        <v>-3</v>
      </c>
      <c r="G283">
        <v>15</v>
      </c>
      <c r="H283">
        <v>-3</v>
      </c>
      <c r="I283">
        <v>-2</v>
      </c>
      <c r="J283">
        <v>2</v>
      </c>
      <c r="K283">
        <v>-2</v>
      </c>
      <c r="L283">
        <v>2</v>
      </c>
      <c r="M283">
        <v>2</v>
      </c>
      <c r="N283">
        <v>1</v>
      </c>
      <c r="O283">
        <v>0.10482616130023401</v>
      </c>
      <c r="P283">
        <v>1.8308427615640599</v>
      </c>
      <c r="Q283">
        <v>78.372306389855197</v>
      </c>
      <c r="R283">
        <v>-3</v>
      </c>
      <c r="S283">
        <v>-3</v>
      </c>
      <c r="T283">
        <v>-2.5587179999999998</v>
      </c>
      <c r="U283">
        <v>-1.3574010000000001</v>
      </c>
      <c r="V283">
        <v>7.9457420000000001E-2</v>
      </c>
      <c r="W283">
        <v>1.572808</v>
      </c>
      <c r="X283">
        <f t="shared" si="4"/>
        <v>3.0794574199999998</v>
      </c>
    </row>
    <row r="284" spans="1:24" x14ac:dyDescent="0.45">
      <c r="A284">
        <v>1110</v>
      </c>
      <c r="B284">
        <v>19</v>
      </c>
      <c r="C284">
        <v>2</v>
      </c>
      <c r="D284">
        <v>5</v>
      </c>
      <c r="E284">
        <v>-35</v>
      </c>
      <c r="F284">
        <v>0</v>
      </c>
      <c r="G284">
        <v>15</v>
      </c>
      <c r="H284">
        <v>0</v>
      </c>
      <c r="I284">
        <v>-2</v>
      </c>
      <c r="J284">
        <v>1</v>
      </c>
      <c r="K284">
        <v>-2</v>
      </c>
      <c r="L284">
        <v>2</v>
      </c>
      <c r="M284">
        <v>1</v>
      </c>
      <c r="N284">
        <v>1</v>
      </c>
      <c r="O284">
        <v>0.110268371367663</v>
      </c>
      <c r="P284">
        <v>2.3537350711541301</v>
      </c>
      <c r="Q284">
        <v>77.829953226336301</v>
      </c>
      <c r="R284">
        <v>3</v>
      </c>
      <c r="S284">
        <v>3.0091570000000001</v>
      </c>
      <c r="T284">
        <v>2.5350160000000002</v>
      </c>
      <c r="U284">
        <v>1.382166</v>
      </c>
      <c r="V284">
        <v>-1.4633139999999999E-2</v>
      </c>
      <c r="W284">
        <v>-1.2570760000000001</v>
      </c>
      <c r="X284">
        <f t="shared" si="4"/>
        <v>3.0146331399999999</v>
      </c>
    </row>
    <row r="285" spans="1:24" x14ac:dyDescent="0.45">
      <c r="A285">
        <v>1110</v>
      </c>
      <c r="B285">
        <v>20</v>
      </c>
      <c r="C285">
        <v>3</v>
      </c>
      <c r="D285">
        <v>4</v>
      </c>
      <c r="E285">
        <v>-45</v>
      </c>
      <c r="F285">
        <v>0</v>
      </c>
      <c r="G285">
        <v>5</v>
      </c>
      <c r="H285">
        <v>3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0.162023083006514</v>
      </c>
      <c r="P285">
        <v>2.7257001868589601</v>
      </c>
      <c r="Q285">
        <v>67.843805960676804</v>
      </c>
      <c r="R285">
        <v>3</v>
      </c>
      <c r="S285">
        <v>3.107186</v>
      </c>
      <c r="T285">
        <v>2.8129729999999999</v>
      </c>
      <c r="U285">
        <v>2.4336359999999999</v>
      </c>
      <c r="V285">
        <v>2.676329</v>
      </c>
      <c r="W285">
        <v>2.9107620000000001</v>
      </c>
      <c r="X285">
        <f t="shared" si="4"/>
        <v>0.32367100000000004</v>
      </c>
    </row>
    <row r="286" spans="1:24" x14ac:dyDescent="0.45">
      <c r="A286">
        <v>1110</v>
      </c>
      <c r="B286">
        <v>21</v>
      </c>
      <c r="C286">
        <v>1</v>
      </c>
      <c r="D286">
        <v>6</v>
      </c>
      <c r="E286">
        <v>-35</v>
      </c>
      <c r="F286">
        <v>3</v>
      </c>
      <c r="G286">
        <v>15</v>
      </c>
      <c r="H286">
        <v>3</v>
      </c>
      <c r="I286">
        <v>0</v>
      </c>
      <c r="J286">
        <v>1</v>
      </c>
      <c r="K286">
        <v>0</v>
      </c>
      <c r="L286">
        <v>1</v>
      </c>
      <c r="M286">
        <v>1</v>
      </c>
      <c r="N286">
        <v>1</v>
      </c>
      <c r="O286">
        <v>0.13861392222899099</v>
      </c>
      <c r="P286">
        <v>2.5781999413015</v>
      </c>
      <c r="Q286">
        <v>77.003850858586304</v>
      </c>
      <c r="R286">
        <v>0</v>
      </c>
      <c r="S286">
        <v>0</v>
      </c>
      <c r="T286">
        <v>-0.3710386</v>
      </c>
      <c r="U286">
        <v>-0.33784049999999999</v>
      </c>
      <c r="V286">
        <v>0.53627309999999995</v>
      </c>
      <c r="W286">
        <v>1.8414520000000001</v>
      </c>
      <c r="X286">
        <f t="shared" si="4"/>
        <v>0.53627309999999995</v>
      </c>
    </row>
    <row r="287" spans="1:24" x14ac:dyDescent="0.45">
      <c r="A287">
        <v>1110</v>
      </c>
      <c r="B287">
        <v>22</v>
      </c>
      <c r="C287">
        <v>1</v>
      </c>
      <c r="D287">
        <v>3</v>
      </c>
      <c r="E287">
        <v>-35</v>
      </c>
      <c r="F287">
        <v>0</v>
      </c>
      <c r="G287">
        <v>15</v>
      </c>
      <c r="H287">
        <v>-3</v>
      </c>
      <c r="I287">
        <v>0</v>
      </c>
      <c r="J287">
        <v>1</v>
      </c>
      <c r="K287">
        <v>0</v>
      </c>
      <c r="L287">
        <v>1</v>
      </c>
      <c r="M287">
        <v>1</v>
      </c>
      <c r="N287">
        <v>1</v>
      </c>
      <c r="O287">
        <v>0.12794650845607899</v>
      </c>
      <c r="P287">
        <v>3.6053131443745601</v>
      </c>
      <c r="Q287">
        <v>76.991384748350896</v>
      </c>
      <c r="R287">
        <v>-3</v>
      </c>
      <c r="S287">
        <v>-3</v>
      </c>
      <c r="T287">
        <v>-3.3161019999999999</v>
      </c>
      <c r="U287">
        <v>-3.5343819999999999</v>
      </c>
      <c r="V287">
        <v>-3.7052520000000002</v>
      </c>
      <c r="W287">
        <v>-3.806902</v>
      </c>
      <c r="X287">
        <f t="shared" si="4"/>
        <v>0.70525200000000021</v>
      </c>
    </row>
    <row r="288" spans="1:24" x14ac:dyDescent="0.45">
      <c r="A288">
        <v>1110</v>
      </c>
      <c r="B288">
        <v>23</v>
      </c>
      <c r="C288">
        <v>3</v>
      </c>
      <c r="D288">
        <v>8</v>
      </c>
      <c r="E288">
        <v>-45</v>
      </c>
      <c r="F288">
        <v>0</v>
      </c>
      <c r="G288">
        <v>5</v>
      </c>
      <c r="H288">
        <v>-3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0.12787948729863499</v>
      </c>
      <c r="P288">
        <v>2.1180929078358401</v>
      </c>
      <c r="Q288">
        <v>68.857877755593805</v>
      </c>
      <c r="R288">
        <v>-3</v>
      </c>
      <c r="S288">
        <v>-2.9981789999999999</v>
      </c>
      <c r="T288">
        <v>-3.1291250000000002</v>
      </c>
      <c r="U288">
        <v>-3.3015400000000001</v>
      </c>
      <c r="V288">
        <v>-3.5094750000000001</v>
      </c>
      <c r="W288">
        <v>-3.7656589999999999</v>
      </c>
      <c r="X288">
        <f t="shared" si="4"/>
        <v>0.50947500000000012</v>
      </c>
    </row>
    <row r="289" spans="1:24" x14ac:dyDescent="0.45">
      <c r="A289">
        <v>1110</v>
      </c>
      <c r="B289">
        <v>24</v>
      </c>
      <c r="C289">
        <v>2</v>
      </c>
      <c r="D289">
        <v>1</v>
      </c>
      <c r="E289">
        <v>-35</v>
      </c>
      <c r="F289">
        <v>0</v>
      </c>
      <c r="G289">
        <v>15</v>
      </c>
      <c r="H289">
        <v>0</v>
      </c>
      <c r="I289">
        <v>-2</v>
      </c>
      <c r="J289">
        <v>-2</v>
      </c>
      <c r="K289">
        <v>1</v>
      </c>
      <c r="L289">
        <v>-2</v>
      </c>
      <c r="M289">
        <v>-2</v>
      </c>
      <c r="N289">
        <v>-2</v>
      </c>
      <c r="O289">
        <v>0.13250786718334501</v>
      </c>
      <c r="P289">
        <v>3.5356951780096302</v>
      </c>
      <c r="Q289">
        <v>79.400151480234797</v>
      </c>
      <c r="R289">
        <v>0</v>
      </c>
      <c r="S289">
        <v>1.8601949999999999E-2</v>
      </c>
      <c r="T289">
        <v>-0.16938239999999999</v>
      </c>
      <c r="U289">
        <v>-0.1878061</v>
      </c>
      <c r="V289">
        <v>-8.5869680000000004E-2</v>
      </c>
      <c r="W289">
        <v>-0.62249089999999996</v>
      </c>
      <c r="X289">
        <f t="shared" si="4"/>
        <v>8.5869680000000004E-2</v>
      </c>
    </row>
    <row r="290" spans="1:24" x14ac:dyDescent="0.45">
      <c r="A290">
        <v>1120</v>
      </c>
      <c r="B290">
        <v>1</v>
      </c>
      <c r="C290">
        <v>2</v>
      </c>
      <c r="D290">
        <v>1</v>
      </c>
      <c r="E290">
        <v>-35</v>
      </c>
      <c r="F290">
        <v>0</v>
      </c>
      <c r="G290">
        <v>15</v>
      </c>
      <c r="H290">
        <v>0</v>
      </c>
      <c r="I290">
        <v>-2</v>
      </c>
      <c r="J290">
        <v>1</v>
      </c>
      <c r="K290">
        <v>1</v>
      </c>
      <c r="L290">
        <v>-1</v>
      </c>
      <c r="M290">
        <v>0</v>
      </c>
      <c r="N290">
        <v>-2</v>
      </c>
      <c r="O290">
        <v>0.20543917139006501</v>
      </c>
      <c r="P290">
        <v>5.4788904716855198</v>
      </c>
      <c r="Q290">
        <v>76.230709714666702</v>
      </c>
      <c r="R290">
        <v>0</v>
      </c>
      <c r="S290">
        <v>-4.7372810000000001E-2</v>
      </c>
      <c r="T290">
        <v>-0.37789159999999999</v>
      </c>
      <c r="U290">
        <v>-0.54593349999999996</v>
      </c>
      <c r="V290">
        <v>-1.1774340000000001</v>
      </c>
      <c r="W290">
        <v>-1.0407329999999999</v>
      </c>
      <c r="X290">
        <f t="shared" si="4"/>
        <v>1.1774340000000001</v>
      </c>
    </row>
    <row r="291" spans="1:24" x14ac:dyDescent="0.45">
      <c r="A291">
        <v>1120</v>
      </c>
      <c r="B291">
        <v>2</v>
      </c>
      <c r="C291">
        <v>3</v>
      </c>
      <c r="D291">
        <v>8</v>
      </c>
      <c r="E291">
        <v>-45</v>
      </c>
      <c r="F291">
        <v>0</v>
      </c>
      <c r="G291">
        <v>5</v>
      </c>
      <c r="H291">
        <v>-3</v>
      </c>
      <c r="I291">
        <v>2</v>
      </c>
      <c r="J291">
        <v>1</v>
      </c>
      <c r="K291">
        <v>1</v>
      </c>
      <c r="L291">
        <v>2</v>
      </c>
      <c r="M291">
        <v>2</v>
      </c>
      <c r="N291">
        <v>2</v>
      </c>
      <c r="O291">
        <v>0.210313693968052</v>
      </c>
      <c r="P291">
        <v>6.6583905493493099</v>
      </c>
      <c r="Q291">
        <v>66.028302445130294</v>
      </c>
      <c r="R291">
        <v>-3</v>
      </c>
      <c r="S291">
        <v>-2.956585</v>
      </c>
      <c r="T291">
        <v>-2.1809180000000001</v>
      </c>
      <c r="U291">
        <v>-1.497085</v>
      </c>
      <c r="V291">
        <v>-2.5166060000000001E-2</v>
      </c>
      <c r="W291">
        <v>1.1677280000000001</v>
      </c>
      <c r="X291">
        <f t="shared" si="4"/>
        <v>2.9748339399999999</v>
      </c>
    </row>
    <row r="292" spans="1:24" x14ac:dyDescent="0.45">
      <c r="A292">
        <v>1120</v>
      </c>
      <c r="B292">
        <v>3</v>
      </c>
      <c r="C292">
        <v>1</v>
      </c>
      <c r="D292">
        <v>3</v>
      </c>
      <c r="E292">
        <v>-35</v>
      </c>
      <c r="F292">
        <v>0</v>
      </c>
      <c r="G292">
        <v>15</v>
      </c>
      <c r="H292">
        <v>-3</v>
      </c>
      <c r="I292">
        <v>-1</v>
      </c>
      <c r="J292">
        <v>-1</v>
      </c>
      <c r="K292">
        <v>-2</v>
      </c>
      <c r="L292">
        <v>-1</v>
      </c>
      <c r="M292">
        <v>-1</v>
      </c>
      <c r="N292">
        <v>-2</v>
      </c>
      <c r="O292">
        <v>0.196405874561288</v>
      </c>
      <c r="P292">
        <v>6.2274882458853202</v>
      </c>
      <c r="Q292">
        <v>38.999334597041901</v>
      </c>
      <c r="R292">
        <v>-3</v>
      </c>
      <c r="S292">
        <v>-2.627748</v>
      </c>
      <c r="T292">
        <v>-2.2997969999999999</v>
      </c>
      <c r="U292">
        <v>-2.6594859999999998</v>
      </c>
      <c r="V292">
        <v>-3.0517099999999999</v>
      </c>
      <c r="W292">
        <v>-3.4155669999999998</v>
      </c>
      <c r="X292">
        <f t="shared" si="4"/>
        <v>5.1709999999999923E-2</v>
      </c>
    </row>
    <row r="293" spans="1:24" x14ac:dyDescent="0.45">
      <c r="A293">
        <v>1120</v>
      </c>
      <c r="B293">
        <v>4</v>
      </c>
      <c r="C293">
        <v>1</v>
      </c>
      <c r="D293">
        <v>6</v>
      </c>
      <c r="E293">
        <v>-35</v>
      </c>
      <c r="F293">
        <v>3</v>
      </c>
      <c r="G293">
        <v>15</v>
      </c>
      <c r="H293">
        <v>3</v>
      </c>
      <c r="I293">
        <v>-2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0.17885203791599399</v>
      </c>
      <c r="P293">
        <v>3.2951302592393001</v>
      </c>
      <c r="Q293">
        <v>75.782379470112105</v>
      </c>
      <c r="R293">
        <v>0</v>
      </c>
      <c r="S293">
        <v>7.5578870000000001E-3</v>
      </c>
      <c r="T293">
        <v>-9.9242620000000004E-2</v>
      </c>
      <c r="U293">
        <v>0.99437779999999998</v>
      </c>
      <c r="V293">
        <v>2.3392789999999999</v>
      </c>
      <c r="W293">
        <v>3.5107159999999999</v>
      </c>
      <c r="X293">
        <f t="shared" si="4"/>
        <v>2.3392789999999999</v>
      </c>
    </row>
    <row r="294" spans="1:24" x14ac:dyDescent="0.45">
      <c r="A294">
        <v>1120</v>
      </c>
      <c r="B294">
        <v>5</v>
      </c>
      <c r="C294">
        <v>3</v>
      </c>
      <c r="D294">
        <v>4</v>
      </c>
      <c r="E294">
        <v>-45</v>
      </c>
      <c r="F294">
        <v>0</v>
      </c>
      <c r="G294">
        <v>5</v>
      </c>
      <c r="H294">
        <v>3</v>
      </c>
      <c r="I294">
        <v>-2</v>
      </c>
      <c r="J294">
        <v>0</v>
      </c>
      <c r="K294">
        <v>1</v>
      </c>
      <c r="L294">
        <v>-1</v>
      </c>
      <c r="M294">
        <v>-2</v>
      </c>
      <c r="N294">
        <v>-2</v>
      </c>
      <c r="O294">
        <v>0.20873386420241599</v>
      </c>
      <c r="P294">
        <v>8.2586132302886703</v>
      </c>
      <c r="Q294">
        <v>66.492350084494007</v>
      </c>
      <c r="R294">
        <v>3</v>
      </c>
      <c r="S294">
        <v>3</v>
      </c>
      <c r="T294">
        <v>2.5112890000000001</v>
      </c>
      <c r="U294">
        <v>1.761555</v>
      </c>
      <c r="V294">
        <v>0.25241069999999999</v>
      </c>
      <c r="W294">
        <v>0.53688880000000005</v>
      </c>
      <c r="X294">
        <f t="shared" si="4"/>
        <v>2.7475893</v>
      </c>
    </row>
    <row r="295" spans="1:24" x14ac:dyDescent="0.45">
      <c r="A295">
        <v>1120</v>
      </c>
      <c r="B295">
        <v>6</v>
      </c>
      <c r="C295">
        <v>2</v>
      </c>
      <c r="D295">
        <v>5</v>
      </c>
      <c r="E295">
        <v>-35</v>
      </c>
      <c r="F295">
        <v>0</v>
      </c>
      <c r="G295">
        <v>15</v>
      </c>
      <c r="H295">
        <v>0</v>
      </c>
      <c r="I295">
        <v>-1</v>
      </c>
      <c r="J295">
        <v>-1</v>
      </c>
      <c r="K295">
        <v>-2</v>
      </c>
      <c r="L295">
        <v>-2</v>
      </c>
      <c r="M295">
        <v>-1</v>
      </c>
      <c r="N295">
        <v>-1</v>
      </c>
      <c r="O295">
        <v>0.17871629925042401</v>
      </c>
      <c r="P295">
        <v>4.95418013224121</v>
      </c>
      <c r="Q295">
        <v>76.285229096363295</v>
      </c>
      <c r="R295">
        <v>3</v>
      </c>
      <c r="S295">
        <v>2.7904339999999999</v>
      </c>
      <c r="T295">
        <v>1.605138</v>
      </c>
      <c r="U295">
        <v>0.14426310000000001</v>
      </c>
      <c r="V295">
        <v>-0.56494929999999999</v>
      </c>
      <c r="W295">
        <v>-1.268489</v>
      </c>
      <c r="X295">
        <f t="shared" si="4"/>
        <v>3.5649492999999999</v>
      </c>
    </row>
    <row r="296" spans="1:24" x14ac:dyDescent="0.45">
      <c r="A296">
        <v>1120</v>
      </c>
      <c r="B296">
        <v>7</v>
      </c>
      <c r="C296">
        <v>1</v>
      </c>
      <c r="D296">
        <v>2</v>
      </c>
      <c r="E296">
        <v>-35</v>
      </c>
      <c r="F296">
        <v>-3</v>
      </c>
      <c r="G296">
        <v>15</v>
      </c>
      <c r="H296">
        <v>-3</v>
      </c>
      <c r="I296">
        <v>-1</v>
      </c>
      <c r="J296">
        <v>-1</v>
      </c>
      <c r="K296">
        <v>-1</v>
      </c>
      <c r="L296">
        <v>-1</v>
      </c>
      <c r="M296">
        <v>-2</v>
      </c>
      <c r="N296">
        <v>-1</v>
      </c>
      <c r="O296">
        <v>0.18860425939816899</v>
      </c>
      <c r="P296">
        <v>6.2596829285808404</v>
      </c>
      <c r="Q296">
        <v>77.000843447178497</v>
      </c>
      <c r="R296">
        <v>-3</v>
      </c>
      <c r="S296">
        <v>-3</v>
      </c>
      <c r="T296">
        <v>-3.3933840000000002</v>
      </c>
      <c r="U296">
        <v>-3.348735</v>
      </c>
      <c r="V296">
        <v>-3.326721</v>
      </c>
      <c r="W296">
        <v>-3.3661850000000002</v>
      </c>
      <c r="X296">
        <f t="shared" si="4"/>
        <v>0.32672100000000004</v>
      </c>
    </row>
    <row r="297" spans="1:24" x14ac:dyDescent="0.45">
      <c r="A297">
        <v>1120</v>
      </c>
      <c r="B297">
        <v>8</v>
      </c>
      <c r="C297">
        <v>3</v>
      </c>
      <c r="D297">
        <v>6</v>
      </c>
      <c r="E297">
        <v>-35</v>
      </c>
      <c r="F297">
        <v>3</v>
      </c>
      <c r="G297">
        <v>15</v>
      </c>
      <c r="H297">
        <v>3</v>
      </c>
      <c r="I297">
        <v>2</v>
      </c>
      <c r="J297">
        <v>1</v>
      </c>
      <c r="K297">
        <v>1</v>
      </c>
      <c r="L297">
        <v>2</v>
      </c>
      <c r="M297">
        <v>2</v>
      </c>
      <c r="N297">
        <v>2</v>
      </c>
      <c r="O297">
        <v>0.17592934396366</v>
      </c>
      <c r="P297">
        <v>3.3080891174612099</v>
      </c>
      <c r="Q297">
        <v>75.386843218655898</v>
      </c>
      <c r="R297">
        <v>0</v>
      </c>
      <c r="S297">
        <v>0</v>
      </c>
      <c r="T297">
        <v>3.8089600000000001E-2</v>
      </c>
      <c r="U297">
        <v>0.22360160000000001</v>
      </c>
      <c r="V297">
        <v>1.3878870000000001</v>
      </c>
      <c r="W297">
        <v>2.5279579999999999</v>
      </c>
      <c r="X297">
        <f t="shared" si="4"/>
        <v>1.3878870000000001</v>
      </c>
    </row>
    <row r="298" spans="1:24" x14ac:dyDescent="0.45">
      <c r="A298">
        <v>1120</v>
      </c>
      <c r="B298">
        <v>9</v>
      </c>
      <c r="C298">
        <v>2</v>
      </c>
      <c r="D298">
        <v>3</v>
      </c>
      <c r="E298">
        <v>-35</v>
      </c>
      <c r="F298">
        <v>0</v>
      </c>
      <c r="G298">
        <v>15</v>
      </c>
      <c r="H298">
        <v>-3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0.115591928111813</v>
      </c>
      <c r="P298">
        <v>2.3546470272545599</v>
      </c>
      <c r="Q298">
        <v>75.716010993081795</v>
      </c>
      <c r="R298">
        <v>-3</v>
      </c>
      <c r="S298">
        <v>-3</v>
      </c>
      <c r="T298">
        <v>-3.1137510000000002</v>
      </c>
      <c r="U298">
        <v>-3.4293239999999998</v>
      </c>
      <c r="V298">
        <v>-3.6982889999999999</v>
      </c>
      <c r="W298">
        <v>-3.9230900000000002</v>
      </c>
      <c r="X298">
        <f t="shared" si="4"/>
        <v>0.69828899999999994</v>
      </c>
    </row>
    <row r="299" spans="1:24" x14ac:dyDescent="0.45">
      <c r="A299">
        <v>1120</v>
      </c>
      <c r="B299">
        <v>10</v>
      </c>
      <c r="C299">
        <v>2</v>
      </c>
      <c r="D299">
        <v>8</v>
      </c>
      <c r="E299">
        <v>-45</v>
      </c>
      <c r="F299">
        <v>0</v>
      </c>
      <c r="G299">
        <v>5</v>
      </c>
      <c r="H299">
        <v>-3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0.17270036722509099</v>
      </c>
      <c r="P299">
        <v>2.9833349727841898</v>
      </c>
      <c r="Q299">
        <v>65.654513380753102</v>
      </c>
      <c r="R299">
        <v>-3</v>
      </c>
      <c r="S299">
        <v>-3</v>
      </c>
      <c r="T299">
        <v>-2.7542979999999999</v>
      </c>
      <c r="U299">
        <v>-2.4424649999999999</v>
      </c>
      <c r="V299">
        <v>-1.2928409999999999</v>
      </c>
      <c r="W299">
        <v>-0.13109080000000001</v>
      </c>
      <c r="X299">
        <f t="shared" si="4"/>
        <v>1.7071590000000001</v>
      </c>
    </row>
    <row r="300" spans="1:24" x14ac:dyDescent="0.45">
      <c r="A300">
        <v>1120</v>
      </c>
      <c r="B300">
        <v>11</v>
      </c>
      <c r="C300">
        <v>3</v>
      </c>
      <c r="D300">
        <v>1</v>
      </c>
      <c r="E300">
        <v>-35</v>
      </c>
      <c r="F300">
        <v>0</v>
      </c>
      <c r="G300">
        <v>15</v>
      </c>
      <c r="H300">
        <v>0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0.167280352681901</v>
      </c>
      <c r="P300">
        <v>3.55939739718157</v>
      </c>
      <c r="Q300">
        <v>75.661049480321097</v>
      </c>
      <c r="R300">
        <v>0</v>
      </c>
      <c r="S300">
        <v>0</v>
      </c>
      <c r="T300">
        <v>-0.14575109999999999</v>
      </c>
      <c r="U300">
        <v>-0.56219989999999997</v>
      </c>
      <c r="V300">
        <v>-1.4320600000000001</v>
      </c>
      <c r="W300">
        <v>-2.210696</v>
      </c>
      <c r="X300">
        <f t="shared" si="4"/>
        <v>1.4320600000000001</v>
      </c>
    </row>
    <row r="301" spans="1:24" x14ac:dyDescent="0.45">
      <c r="A301">
        <v>1120</v>
      </c>
      <c r="B301">
        <v>12</v>
      </c>
      <c r="C301">
        <v>1</v>
      </c>
      <c r="D301">
        <v>7</v>
      </c>
      <c r="E301">
        <v>-35</v>
      </c>
      <c r="F301">
        <v>0</v>
      </c>
      <c r="G301">
        <v>15</v>
      </c>
      <c r="H301">
        <v>3</v>
      </c>
      <c r="I301">
        <v>-1</v>
      </c>
      <c r="J301">
        <v>-1</v>
      </c>
      <c r="K301">
        <v>-2</v>
      </c>
      <c r="L301">
        <v>-1</v>
      </c>
      <c r="M301">
        <v>-2</v>
      </c>
      <c r="N301">
        <v>-1</v>
      </c>
      <c r="O301">
        <v>0.17809691043609699</v>
      </c>
      <c r="P301">
        <v>12.8311045452597</v>
      </c>
      <c r="Q301">
        <v>82.965747970425497</v>
      </c>
      <c r="R301">
        <v>3</v>
      </c>
      <c r="S301">
        <v>3</v>
      </c>
      <c r="T301">
        <v>2.9650439999999998</v>
      </c>
      <c r="U301">
        <v>3.0009420000000002</v>
      </c>
      <c r="V301">
        <v>3.0661429999999998</v>
      </c>
      <c r="W301">
        <v>3.2184460000000001</v>
      </c>
      <c r="X301">
        <f t="shared" si="4"/>
        <v>6.6142999999999841E-2</v>
      </c>
    </row>
    <row r="302" spans="1:24" x14ac:dyDescent="0.45">
      <c r="A302">
        <v>1120</v>
      </c>
      <c r="B302">
        <v>13</v>
      </c>
      <c r="C302">
        <v>3</v>
      </c>
      <c r="D302">
        <v>3</v>
      </c>
      <c r="E302">
        <v>-35</v>
      </c>
      <c r="F302">
        <v>0</v>
      </c>
      <c r="G302">
        <v>15</v>
      </c>
      <c r="H302">
        <v>-3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0.153313268620698</v>
      </c>
      <c r="P302">
        <v>3.0885651363863502</v>
      </c>
      <c r="Q302">
        <v>75.032233514412098</v>
      </c>
      <c r="R302">
        <v>-3</v>
      </c>
      <c r="S302">
        <v>-2.9969809999999999</v>
      </c>
      <c r="T302">
        <v>-3.0075690000000002</v>
      </c>
      <c r="U302">
        <v>-3.0523880000000001</v>
      </c>
      <c r="V302">
        <v>-3.2065199999999998</v>
      </c>
      <c r="W302">
        <v>-3.625883</v>
      </c>
      <c r="X302">
        <f t="shared" si="4"/>
        <v>0.20651999999999981</v>
      </c>
    </row>
    <row r="303" spans="1:24" x14ac:dyDescent="0.45">
      <c r="A303">
        <v>1120</v>
      </c>
      <c r="B303">
        <v>14</v>
      </c>
      <c r="C303">
        <v>3</v>
      </c>
      <c r="D303">
        <v>5</v>
      </c>
      <c r="E303">
        <v>-35</v>
      </c>
      <c r="F303">
        <v>0</v>
      </c>
      <c r="G303">
        <v>15</v>
      </c>
      <c r="H303">
        <v>0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0.149103949155628</v>
      </c>
      <c r="P303">
        <v>4.3886656158417701</v>
      </c>
      <c r="Q303">
        <v>76.315510334910599</v>
      </c>
      <c r="R303">
        <v>3</v>
      </c>
      <c r="S303">
        <v>3</v>
      </c>
      <c r="T303">
        <v>2.785444</v>
      </c>
      <c r="U303">
        <v>2.5914250000000001</v>
      </c>
      <c r="V303">
        <v>2.9885380000000001</v>
      </c>
      <c r="W303">
        <v>2.863334</v>
      </c>
      <c r="X303">
        <f t="shared" si="4"/>
        <v>1.1461999999999861E-2</v>
      </c>
    </row>
    <row r="304" spans="1:24" x14ac:dyDescent="0.45">
      <c r="A304">
        <v>1120</v>
      </c>
      <c r="B304">
        <v>15</v>
      </c>
      <c r="C304">
        <v>1</v>
      </c>
      <c r="D304">
        <v>4</v>
      </c>
      <c r="E304">
        <v>-45</v>
      </c>
      <c r="F304">
        <v>0</v>
      </c>
      <c r="G304">
        <v>5</v>
      </c>
      <c r="H304">
        <v>3</v>
      </c>
      <c r="I304">
        <v>-1</v>
      </c>
      <c r="J304">
        <v>-2</v>
      </c>
      <c r="K304">
        <v>1</v>
      </c>
      <c r="L304">
        <v>-2</v>
      </c>
      <c r="M304">
        <v>-2</v>
      </c>
      <c r="N304">
        <v>-2</v>
      </c>
      <c r="O304">
        <v>0.18048120424584099</v>
      </c>
      <c r="P304">
        <v>2.5939344693692599</v>
      </c>
      <c r="Q304">
        <v>66.194325394084899</v>
      </c>
      <c r="R304">
        <v>3</v>
      </c>
      <c r="S304">
        <v>3</v>
      </c>
      <c r="T304">
        <v>2.9364780000000001</v>
      </c>
      <c r="U304">
        <v>2.2125620000000001</v>
      </c>
      <c r="V304">
        <v>1.278818</v>
      </c>
      <c r="W304">
        <v>-0.40615319999999999</v>
      </c>
      <c r="X304">
        <f t="shared" si="4"/>
        <v>1.721182</v>
      </c>
    </row>
    <row r="305" spans="1:24" x14ac:dyDescent="0.45">
      <c r="A305">
        <v>1120</v>
      </c>
      <c r="B305">
        <v>16</v>
      </c>
      <c r="C305">
        <v>2</v>
      </c>
      <c r="D305">
        <v>7</v>
      </c>
      <c r="E305">
        <v>-35</v>
      </c>
      <c r="F305">
        <v>0</v>
      </c>
      <c r="G305">
        <v>15</v>
      </c>
      <c r="H305">
        <v>3</v>
      </c>
      <c r="I305">
        <v>1</v>
      </c>
      <c r="J305">
        <v>1</v>
      </c>
      <c r="K305">
        <v>1</v>
      </c>
      <c r="L305">
        <v>1</v>
      </c>
      <c r="M305">
        <v>2</v>
      </c>
      <c r="N305">
        <v>2</v>
      </c>
      <c r="O305">
        <v>0.15779141569897001</v>
      </c>
      <c r="P305">
        <v>5.4390745528103004</v>
      </c>
      <c r="Q305">
        <v>75.602789883362902</v>
      </c>
      <c r="R305">
        <v>3</v>
      </c>
      <c r="S305">
        <v>3</v>
      </c>
      <c r="T305">
        <v>3.1289220000000002</v>
      </c>
      <c r="U305">
        <v>3.4162720000000002</v>
      </c>
      <c r="V305">
        <v>3.5340479999999999</v>
      </c>
      <c r="W305">
        <v>3.3466930000000001</v>
      </c>
      <c r="X305">
        <f t="shared" si="4"/>
        <v>0.53404799999999986</v>
      </c>
    </row>
    <row r="306" spans="1:24" x14ac:dyDescent="0.45">
      <c r="A306">
        <v>1120</v>
      </c>
      <c r="B306">
        <v>17</v>
      </c>
      <c r="C306">
        <v>3</v>
      </c>
      <c r="D306">
        <v>2</v>
      </c>
      <c r="E306">
        <v>-35</v>
      </c>
      <c r="F306">
        <v>-3</v>
      </c>
      <c r="G306">
        <v>15</v>
      </c>
      <c r="H306">
        <v>-3</v>
      </c>
      <c r="I306">
        <v>2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0.15945000053349401</v>
      </c>
      <c r="P306">
        <v>4.1953689225886697</v>
      </c>
      <c r="Q306">
        <v>76.1692836502028</v>
      </c>
      <c r="R306">
        <v>-3</v>
      </c>
      <c r="S306">
        <v>-3</v>
      </c>
      <c r="T306">
        <v>-2.9412410000000002</v>
      </c>
      <c r="U306">
        <v>-2.0611769999999998</v>
      </c>
      <c r="V306">
        <v>-2.2543229999999999</v>
      </c>
      <c r="W306">
        <v>-2.8118799999999999</v>
      </c>
      <c r="X306">
        <f t="shared" si="4"/>
        <v>0.74567700000000015</v>
      </c>
    </row>
    <row r="307" spans="1:24" x14ac:dyDescent="0.45">
      <c r="A307">
        <v>1120</v>
      </c>
      <c r="B307">
        <v>18</v>
      </c>
      <c r="C307">
        <v>2</v>
      </c>
      <c r="D307">
        <v>6</v>
      </c>
      <c r="E307">
        <v>-35</v>
      </c>
      <c r="F307">
        <v>3</v>
      </c>
      <c r="G307">
        <v>15</v>
      </c>
      <c r="H307">
        <v>3</v>
      </c>
      <c r="I307">
        <v>1</v>
      </c>
      <c r="J307">
        <v>2</v>
      </c>
      <c r="K307">
        <v>1</v>
      </c>
      <c r="L307">
        <v>1</v>
      </c>
      <c r="M307">
        <v>1</v>
      </c>
      <c r="N307">
        <v>2</v>
      </c>
      <c r="O307">
        <v>0.157282200406063</v>
      </c>
      <c r="P307">
        <v>5.2074670619597603</v>
      </c>
      <c r="Q307">
        <v>77.551761722247306</v>
      </c>
      <c r="R307">
        <v>0</v>
      </c>
      <c r="S307">
        <v>0</v>
      </c>
      <c r="T307">
        <v>0.8897505</v>
      </c>
      <c r="U307">
        <v>1.7226900000000001</v>
      </c>
      <c r="V307">
        <v>2.4724149999999998</v>
      </c>
      <c r="W307">
        <v>3.275846</v>
      </c>
      <c r="X307">
        <f t="shared" si="4"/>
        <v>2.4724149999999998</v>
      </c>
    </row>
    <row r="308" spans="1:24" x14ac:dyDescent="0.45">
      <c r="A308">
        <v>1120</v>
      </c>
      <c r="B308">
        <v>19</v>
      </c>
      <c r="C308">
        <v>1</v>
      </c>
      <c r="D308">
        <v>1</v>
      </c>
      <c r="E308">
        <v>-35</v>
      </c>
      <c r="F308">
        <v>0</v>
      </c>
      <c r="G308">
        <v>15</v>
      </c>
      <c r="H308">
        <v>0</v>
      </c>
      <c r="I308">
        <v>0</v>
      </c>
      <c r="J308">
        <v>0</v>
      </c>
      <c r="K308">
        <v>-1</v>
      </c>
      <c r="L308">
        <v>-1</v>
      </c>
      <c r="M308">
        <v>-1</v>
      </c>
      <c r="N308">
        <v>-1</v>
      </c>
      <c r="O308">
        <v>0.12766200524397001</v>
      </c>
      <c r="P308">
        <v>2.2622999738738998</v>
      </c>
      <c r="Q308">
        <v>77.037375905752398</v>
      </c>
      <c r="R308">
        <v>0</v>
      </c>
      <c r="S308">
        <v>-7.6121239999999996E-3</v>
      </c>
      <c r="T308">
        <v>-0.57769349999999997</v>
      </c>
      <c r="U308">
        <v>-1.4430160000000001</v>
      </c>
      <c r="V308">
        <v>-2.7388409999999999</v>
      </c>
      <c r="W308">
        <v>-3.6901060000000001</v>
      </c>
      <c r="X308">
        <f t="shared" si="4"/>
        <v>2.7388409999999999</v>
      </c>
    </row>
    <row r="309" spans="1:24" x14ac:dyDescent="0.45">
      <c r="A309">
        <v>1120</v>
      </c>
      <c r="B309">
        <v>20</v>
      </c>
      <c r="C309">
        <v>1</v>
      </c>
      <c r="D309">
        <v>8</v>
      </c>
      <c r="E309">
        <v>-45</v>
      </c>
      <c r="F309">
        <v>0</v>
      </c>
      <c r="G309">
        <v>5</v>
      </c>
      <c r="H309">
        <v>-3</v>
      </c>
      <c r="I309">
        <v>-1</v>
      </c>
      <c r="J309">
        <v>-1</v>
      </c>
      <c r="K309">
        <v>0</v>
      </c>
      <c r="L309">
        <v>-2</v>
      </c>
      <c r="M309">
        <v>-1</v>
      </c>
      <c r="N309">
        <v>-1</v>
      </c>
      <c r="O309">
        <v>0.160467903033121</v>
      </c>
      <c r="P309">
        <v>3.0341597471912101</v>
      </c>
      <c r="Q309">
        <v>67.910335794812994</v>
      </c>
      <c r="R309">
        <v>-3</v>
      </c>
      <c r="S309">
        <v>-2.9814090000000002</v>
      </c>
      <c r="T309">
        <v>-2.294727</v>
      </c>
      <c r="U309">
        <v>-1.3852420000000001</v>
      </c>
      <c r="V309">
        <v>-0.14975849999999999</v>
      </c>
      <c r="W309">
        <v>1.0210250000000001</v>
      </c>
      <c r="X309">
        <f t="shared" si="4"/>
        <v>2.8502415000000001</v>
      </c>
    </row>
    <row r="310" spans="1:24" x14ac:dyDescent="0.45">
      <c r="A310">
        <v>1120</v>
      </c>
      <c r="B310">
        <v>21</v>
      </c>
      <c r="C310">
        <v>2</v>
      </c>
      <c r="D310">
        <v>2</v>
      </c>
      <c r="E310">
        <v>-35</v>
      </c>
      <c r="F310">
        <v>-3</v>
      </c>
      <c r="G310">
        <v>15</v>
      </c>
      <c r="H310">
        <v>-3</v>
      </c>
      <c r="I310">
        <v>-2</v>
      </c>
      <c r="J310">
        <v>-2</v>
      </c>
      <c r="K310">
        <v>-2</v>
      </c>
      <c r="L310">
        <v>-2</v>
      </c>
      <c r="M310">
        <v>-2</v>
      </c>
      <c r="N310">
        <v>-2</v>
      </c>
      <c r="O310">
        <v>0.185123185812064</v>
      </c>
      <c r="P310">
        <v>9.5374537959503307</v>
      </c>
      <c r="Q310">
        <v>78.815442520333406</v>
      </c>
      <c r="R310">
        <v>-3</v>
      </c>
      <c r="S310">
        <v>-3</v>
      </c>
      <c r="T310">
        <v>-2.9243649999999999</v>
      </c>
      <c r="U310">
        <v>-2.1388940000000001</v>
      </c>
      <c r="V310">
        <v>-1.133807</v>
      </c>
      <c r="W310">
        <v>-0.41699389999999997</v>
      </c>
      <c r="X310">
        <f t="shared" si="4"/>
        <v>1.866193</v>
      </c>
    </row>
    <row r="311" spans="1:24" x14ac:dyDescent="0.45">
      <c r="A311">
        <v>1120</v>
      </c>
      <c r="B311">
        <v>22</v>
      </c>
      <c r="C311">
        <v>3</v>
      </c>
      <c r="D311">
        <v>7</v>
      </c>
      <c r="E311">
        <v>-35</v>
      </c>
      <c r="F311">
        <v>0</v>
      </c>
      <c r="G311">
        <v>15</v>
      </c>
      <c r="H311">
        <v>3</v>
      </c>
      <c r="I311">
        <v>1</v>
      </c>
      <c r="J311">
        <v>1</v>
      </c>
      <c r="K311">
        <v>2</v>
      </c>
      <c r="L311">
        <v>1</v>
      </c>
      <c r="M311">
        <v>1</v>
      </c>
      <c r="N311">
        <v>1</v>
      </c>
      <c r="O311">
        <v>0.124070023622607</v>
      </c>
      <c r="P311">
        <v>4.2401197338725503</v>
      </c>
      <c r="Q311">
        <v>77.101575342531007</v>
      </c>
      <c r="R311">
        <v>3</v>
      </c>
      <c r="S311">
        <v>3</v>
      </c>
      <c r="T311">
        <v>3.206807</v>
      </c>
      <c r="U311">
        <v>3.3739659999999998</v>
      </c>
      <c r="V311">
        <v>3.4105150000000002</v>
      </c>
      <c r="W311">
        <v>3.2801930000000001</v>
      </c>
      <c r="X311">
        <f t="shared" si="4"/>
        <v>0.41051500000000019</v>
      </c>
    </row>
    <row r="312" spans="1:24" x14ac:dyDescent="0.45">
      <c r="A312">
        <v>1120</v>
      </c>
      <c r="B312">
        <v>23</v>
      </c>
      <c r="C312">
        <v>2</v>
      </c>
      <c r="D312">
        <v>4</v>
      </c>
      <c r="E312">
        <v>-45</v>
      </c>
      <c r="F312">
        <v>0</v>
      </c>
      <c r="G312">
        <v>5</v>
      </c>
      <c r="H312">
        <v>3</v>
      </c>
      <c r="I312">
        <v>-1</v>
      </c>
      <c r="J312">
        <v>-1</v>
      </c>
      <c r="K312">
        <v>-1</v>
      </c>
      <c r="L312">
        <v>-2</v>
      </c>
      <c r="M312">
        <v>-1</v>
      </c>
      <c r="N312">
        <v>-1</v>
      </c>
      <c r="O312">
        <v>0.15902471590130701</v>
      </c>
      <c r="P312">
        <v>4.61412601775121</v>
      </c>
      <c r="Q312">
        <v>67.4460456101517</v>
      </c>
      <c r="R312">
        <v>3</v>
      </c>
      <c r="S312">
        <v>2.9379900000000001</v>
      </c>
      <c r="T312">
        <v>1.9726710000000001</v>
      </c>
      <c r="U312">
        <v>1.0872679999999999</v>
      </c>
      <c r="V312">
        <v>-0.10140399999999999</v>
      </c>
      <c r="W312">
        <v>-0.78803849999999998</v>
      </c>
      <c r="X312">
        <f t="shared" si="4"/>
        <v>3.101404</v>
      </c>
    </row>
    <row r="313" spans="1:24" x14ac:dyDescent="0.45">
      <c r="A313">
        <v>1120</v>
      </c>
      <c r="B313">
        <v>24</v>
      </c>
      <c r="C313">
        <v>1</v>
      </c>
      <c r="D313">
        <v>5</v>
      </c>
      <c r="E313">
        <v>-35</v>
      </c>
      <c r="F313">
        <v>0</v>
      </c>
      <c r="G313">
        <v>15</v>
      </c>
      <c r="H313">
        <v>0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0.130962608195171</v>
      </c>
      <c r="P313">
        <v>4.6888292797593198</v>
      </c>
      <c r="Q313">
        <v>77.8187599173622</v>
      </c>
      <c r="R313">
        <v>3</v>
      </c>
      <c r="S313">
        <v>2.9947360000000001</v>
      </c>
      <c r="T313">
        <v>2.7775859999999999</v>
      </c>
      <c r="U313">
        <v>2.7695270000000001</v>
      </c>
      <c r="V313">
        <v>1.3610089999999999</v>
      </c>
      <c r="W313">
        <v>-0.1455496</v>
      </c>
      <c r="X313">
        <f t="shared" si="4"/>
        <v>1.6389910000000001</v>
      </c>
    </row>
    <row r="314" spans="1:24" x14ac:dyDescent="0.45">
      <c r="A314">
        <v>1130</v>
      </c>
      <c r="B314">
        <v>1</v>
      </c>
      <c r="C314">
        <v>1</v>
      </c>
      <c r="D314">
        <v>5</v>
      </c>
      <c r="E314">
        <v>-35</v>
      </c>
      <c r="F314">
        <v>0</v>
      </c>
      <c r="G314">
        <v>15</v>
      </c>
      <c r="H314">
        <v>0</v>
      </c>
      <c r="I314">
        <v>-2</v>
      </c>
      <c r="J314">
        <v>1</v>
      </c>
      <c r="K314">
        <v>-2</v>
      </c>
      <c r="L314">
        <v>1</v>
      </c>
      <c r="M314">
        <v>1</v>
      </c>
      <c r="N314">
        <v>-2</v>
      </c>
      <c r="O314">
        <v>0.149843470810786</v>
      </c>
      <c r="P314">
        <v>4.4498216636315</v>
      </c>
      <c r="Q314">
        <v>76.070740577797295</v>
      </c>
      <c r="R314">
        <v>3</v>
      </c>
      <c r="S314">
        <v>3</v>
      </c>
      <c r="T314">
        <v>2.879419</v>
      </c>
      <c r="U314">
        <v>2.3785440000000002</v>
      </c>
      <c r="V314">
        <v>0.95418480000000006</v>
      </c>
      <c r="W314">
        <v>-0.3022512</v>
      </c>
      <c r="X314">
        <f t="shared" si="4"/>
        <v>2.0458151999999998</v>
      </c>
    </row>
    <row r="315" spans="1:24" x14ac:dyDescent="0.45">
      <c r="A315">
        <v>1130</v>
      </c>
      <c r="B315">
        <v>2</v>
      </c>
      <c r="C315">
        <v>2</v>
      </c>
      <c r="D315">
        <v>4</v>
      </c>
      <c r="E315">
        <v>-45</v>
      </c>
      <c r="F315">
        <v>0</v>
      </c>
      <c r="G315">
        <v>5</v>
      </c>
      <c r="H315">
        <v>3</v>
      </c>
      <c r="I315">
        <v>2</v>
      </c>
      <c r="J315">
        <v>1</v>
      </c>
      <c r="K315">
        <v>2</v>
      </c>
      <c r="L315">
        <v>2</v>
      </c>
      <c r="M315">
        <v>2</v>
      </c>
      <c r="N315">
        <v>1</v>
      </c>
      <c r="O315">
        <v>0.26704882828443299</v>
      </c>
      <c r="P315">
        <v>2.5180918987274601</v>
      </c>
      <c r="Q315">
        <v>65.026554743481398</v>
      </c>
      <c r="R315">
        <v>3</v>
      </c>
      <c r="S315">
        <v>2.7398959999999999</v>
      </c>
      <c r="T315">
        <v>2.6359469999999998</v>
      </c>
      <c r="U315">
        <v>2.7663630000000001</v>
      </c>
      <c r="V315">
        <v>2.970421</v>
      </c>
      <c r="W315">
        <v>3.2759149999999999</v>
      </c>
      <c r="X315">
        <f t="shared" si="4"/>
        <v>2.9579000000000022E-2</v>
      </c>
    </row>
    <row r="316" spans="1:24" x14ac:dyDescent="0.45">
      <c r="A316">
        <v>1130</v>
      </c>
      <c r="B316">
        <v>3</v>
      </c>
      <c r="C316">
        <v>3</v>
      </c>
      <c r="D316">
        <v>7</v>
      </c>
      <c r="E316">
        <v>-35</v>
      </c>
      <c r="F316">
        <v>0</v>
      </c>
      <c r="G316">
        <v>15</v>
      </c>
      <c r="H316">
        <v>3</v>
      </c>
      <c r="I316">
        <v>2</v>
      </c>
      <c r="J316">
        <v>1</v>
      </c>
      <c r="K316">
        <v>2</v>
      </c>
      <c r="L316">
        <v>2</v>
      </c>
      <c r="M316">
        <v>2</v>
      </c>
      <c r="N316">
        <v>2</v>
      </c>
      <c r="O316">
        <v>0.148606911832774</v>
      </c>
      <c r="P316">
        <v>1.49684413015295</v>
      </c>
      <c r="Q316">
        <v>75.537636175120895</v>
      </c>
      <c r="R316">
        <v>3</v>
      </c>
      <c r="S316">
        <v>2.9234599999999999</v>
      </c>
      <c r="T316">
        <v>3.223268</v>
      </c>
      <c r="U316">
        <v>3.2045170000000001</v>
      </c>
      <c r="V316">
        <v>3.177924</v>
      </c>
      <c r="W316">
        <v>3.170455</v>
      </c>
      <c r="X316">
        <f t="shared" si="4"/>
        <v>0.17792399999999997</v>
      </c>
    </row>
    <row r="317" spans="1:24" x14ac:dyDescent="0.45">
      <c r="A317">
        <v>1130</v>
      </c>
      <c r="B317">
        <v>4</v>
      </c>
      <c r="C317">
        <v>2</v>
      </c>
      <c r="D317">
        <v>2</v>
      </c>
      <c r="E317">
        <v>-35</v>
      </c>
      <c r="F317">
        <v>-3</v>
      </c>
      <c r="G317">
        <v>15</v>
      </c>
      <c r="H317">
        <v>-3</v>
      </c>
      <c r="I317">
        <v>-2</v>
      </c>
      <c r="J317">
        <v>1</v>
      </c>
      <c r="K317">
        <v>-2</v>
      </c>
      <c r="L317">
        <v>1</v>
      </c>
      <c r="M317">
        <v>0</v>
      </c>
      <c r="N317">
        <v>-1</v>
      </c>
      <c r="O317">
        <v>0.17007032695204299</v>
      </c>
      <c r="P317">
        <v>2.2140774792190601</v>
      </c>
      <c r="Q317">
        <v>74.777230587389298</v>
      </c>
      <c r="R317">
        <v>-3</v>
      </c>
      <c r="S317">
        <v>-2.9972650000000001</v>
      </c>
      <c r="T317">
        <v>-1.562416</v>
      </c>
      <c r="U317">
        <v>-0.24891469999999999</v>
      </c>
      <c r="V317">
        <v>0.29938749999999997</v>
      </c>
      <c r="W317">
        <v>0.8224593</v>
      </c>
      <c r="X317">
        <f t="shared" si="4"/>
        <v>3.2993874999999999</v>
      </c>
    </row>
    <row r="318" spans="1:24" x14ac:dyDescent="0.45">
      <c r="A318">
        <v>1130</v>
      </c>
      <c r="B318">
        <v>5</v>
      </c>
      <c r="C318">
        <v>1</v>
      </c>
      <c r="D318">
        <v>8</v>
      </c>
      <c r="E318">
        <v>-45</v>
      </c>
      <c r="F318">
        <v>0</v>
      </c>
      <c r="G318">
        <v>5</v>
      </c>
      <c r="H318">
        <v>-3</v>
      </c>
      <c r="I318">
        <v>0</v>
      </c>
      <c r="J318">
        <v>-1</v>
      </c>
      <c r="K318">
        <v>1</v>
      </c>
      <c r="L318">
        <v>-1</v>
      </c>
      <c r="M318">
        <v>-1</v>
      </c>
      <c r="N318">
        <v>-1</v>
      </c>
      <c r="O318">
        <v>0.161386236542363</v>
      </c>
      <c r="P318">
        <v>3.80374568349322</v>
      </c>
      <c r="Q318">
        <v>67.092462779911699</v>
      </c>
      <c r="R318">
        <v>-3</v>
      </c>
      <c r="S318">
        <v>-3</v>
      </c>
      <c r="T318">
        <v>-2.309291</v>
      </c>
      <c r="U318">
        <v>-1.955837</v>
      </c>
      <c r="V318">
        <v>-2.7690239999999999</v>
      </c>
      <c r="W318">
        <v>-3.3157779999999999</v>
      </c>
      <c r="X318">
        <f t="shared" si="4"/>
        <v>0.23097600000000007</v>
      </c>
    </row>
    <row r="319" spans="1:24" x14ac:dyDescent="0.45">
      <c r="A319">
        <v>1130</v>
      </c>
      <c r="B319">
        <v>6</v>
      </c>
      <c r="C319">
        <v>1</v>
      </c>
      <c r="D319">
        <v>1</v>
      </c>
      <c r="E319">
        <v>-35</v>
      </c>
      <c r="F319">
        <v>0</v>
      </c>
      <c r="G319">
        <v>15</v>
      </c>
      <c r="H319">
        <v>0</v>
      </c>
      <c r="I319">
        <v>1</v>
      </c>
      <c r="J319">
        <v>-1</v>
      </c>
      <c r="K319">
        <v>2</v>
      </c>
      <c r="L319">
        <v>-1</v>
      </c>
      <c r="M319">
        <v>2</v>
      </c>
      <c r="N319">
        <v>0</v>
      </c>
      <c r="O319">
        <v>0.18031889972738299</v>
      </c>
      <c r="P319">
        <v>2.82518362881147</v>
      </c>
      <c r="Q319">
        <v>74.559842111273596</v>
      </c>
      <c r="R319">
        <v>0</v>
      </c>
      <c r="S319">
        <v>-0.18858630000000001</v>
      </c>
      <c r="T319">
        <v>-1.4238489999999999</v>
      </c>
      <c r="U319">
        <v>-2.2210260000000002</v>
      </c>
      <c r="V319">
        <v>-2.6860369999999998</v>
      </c>
      <c r="W319">
        <v>-3.029242</v>
      </c>
      <c r="X319">
        <f t="shared" si="4"/>
        <v>2.6860369999999998</v>
      </c>
    </row>
    <row r="320" spans="1:24" x14ac:dyDescent="0.45">
      <c r="A320">
        <v>1130</v>
      </c>
      <c r="B320">
        <v>7</v>
      </c>
      <c r="C320">
        <v>2</v>
      </c>
      <c r="D320">
        <v>6</v>
      </c>
      <c r="E320">
        <v>-35</v>
      </c>
      <c r="F320">
        <v>3</v>
      </c>
      <c r="G320">
        <v>15</v>
      </c>
      <c r="H320">
        <v>3</v>
      </c>
      <c r="I320">
        <v>-2</v>
      </c>
      <c r="J320">
        <v>-2</v>
      </c>
      <c r="K320">
        <v>2</v>
      </c>
      <c r="L320">
        <v>-2</v>
      </c>
      <c r="M320">
        <v>-2</v>
      </c>
      <c r="N320">
        <v>-2</v>
      </c>
      <c r="O320">
        <v>0.25952140944320501</v>
      </c>
      <c r="P320">
        <v>4.9709426628871398</v>
      </c>
      <c r="Q320">
        <v>76.947088206670003</v>
      </c>
      <c r="R320">
        <v>0</v>
      </c>
      <c r="S320">
        <v>0</v>
      </c>
      <c r="T320">
        <v>-0.11463669999999999</v>
      </c>
      <c r="U320">
        <v>0.17621729999999999</v>
      </c>
      <c r="V320">
        <v>0.8305498</v>
      </c>
      <c r="W320">
        <v>1.3768659999999999</v>
      </c>
      <c r="X320">
        <f t="shared" si="4"/>
        <v>0.8305498</v>
      </c>
    </row>
    <row r="321" spans="1:24" x14ac:dyDescent="0.45">
      <c r="A321">
        <v>1130</v>
      </c>
      <c r="B321">
        <v>8</v>
      </c>
      <c r="C321">
        <v>3</v>
      </c>
      <c r="D321">
        <v>2</v>
      </c>
      <c r="E321">
        <v>-35</v>
      </c>
      <c r="F321">
        <v>-3</v>
      </c>
      <c r="G321">
        <v>15</v>
      </c>
      <c r="H321">
        <v>-3</v>
      </c>
      <c r="I321">
        <v>2</v>
      </c>
      <c r="J321">
        <v>1</v>
      </c>
      <c r="K321">
        <v>2</v>
      </c>
      <c r="L321">
        <v>2</v>
      </c>
      <c r="M321">
        <v>1</v>
      </c>
      <c r="N321">
        <v>2</v>
      </c>
      <c r="O321">
        <v>0.166576170144732</v>
      </c>
      <c r="P321">
        <v>2.54518327499451</v>
      </c>
      <c r="Q321">
        <v>75.4395632921253</v>
      </c>
      <c r="R321">
        <v>-3</v>
      </c>
      <c r="S321">
        <v>-3</v>
      </c>
      <c r="T321">
        <v>-2.9300359999999999</v>
      </c>
      <c r="U321">
        <v>-2.4351759999999998</v>
      </c>
      <c r="V321">
        <v>-2.652987</v>
      </c>
      <c r="W321">
        <v>-2.9583390000000001</v>
      </c>
      <c r="X321">
        <f t="shared" si="4"/>
        <v>0.34701300000000002</v>
      </c>
    </row>
    <row r="322" spans="1:24" x14ac:dyDescent="0.45">
      <c r="A322">
        <v>1130</v>
      </c>
      <c r="B322">
        <v>9</v>
      </c>
      <c r="C322">
        <v>2</v>
      </c>
      <c r="D322">
        <v>7</v>
      </c>
      <c r="E322">
        <v>-35</v>
      </c>
      <c r="F322">
        <v>0</v>
      </c>
      <c r="G322">
        <v>15</v>
      </c>
      <c r="H322">
        <v>3</v>
      </c>
      <c r="I322">
        <v>1</v>
      </c>
      <c r="J322">
        <v>1</v>
      </c>
      <c r="K322">
        <v>2</v>
      </c>
      <c r="L322">
        <v>1</v>
      </c>
      <c r="M322">
        <v>2</v>
      </c>
      <c r="N322">
        <v>0</v>
      </c>
      <c r="O322">
        <v>0.181813642485053</v>
      </c>
      <c r="P322">
        <v>2.4832680577377002</v>
      </c>
      <c r="Q322">
        <v>75.027395330682594</v>
      </c>
      <c r="R322">
        <v>3</v>
      </c>
      <c r="S322">
        <v>3</v>
      </c>
      <c r="T322">
        <v>2.956807</v>
      </c>
      <c r="U322">
        <v>2.9310290000000001</v>
      </c>
      <c r="V322">
        <v>2.9546209999999999</v>
      </c>
      <c r="W322">
        <v>3.2130550000000002</v>
      </c>
      <c r="X322">
        <f t="shared" si="4"/>
        <v>4.5379000000000058E-2</v>
      </c>
    </row>
    <row r="323" spans="1:24" x14ac:dyDescent="0.45">
      <c r="A323">
        <v>1130</v>
      </c>
      <c r="B323">
        <v>10</v>
      </c>
      <c r="C323">
        <v>1</v>
      </c>
      <c r="D323">
        <v>4</v>
      </c>
      <c r="E323">
        <v>-45</v>
      </c>
      <c r="F323">
        <v>0</v>
      </c>
      <c r="G323">
        <v>5</v>
      </c>
      <c r="H323">
        <v>3</v>
      </c>
      <c r="I323">
        <v>-2</v>
      </c>
      <c r="J323">
        <v>1</v>
      </c>
      <c r="K323">
        <v>-2</v>
      </c>
      <c r="L323">
        <v>1</v>
      </c>
      <c r="M323">
        <v>1</v>
      </c>
      <c r="N323">
        <v>-1</v>
      </c>
      <c r="O323">
        <v>0.185709909003794</v>
      </c>
      <c r="P323">
        <v>2.6850791144321602</v>
      </c>
      <c r="Q323">
        <v>65.212980566716297</v>
      </c>
      <c r="R323">
        <v>3</v>
      </c>
      <c r="S323">
        <v>3</v>
      </c>
      <c r="T323">
        <v>1.839475</v>
      </c>
      <c r="U323">
        <v>0.35293590000000002</v>
      </c>
      <c r="V323">
        <v>-1.2739560000000001</v>
      </c>
      <c r="W323">
        <v>-2.7789540000000001</v>
      </c>
      <c r="X323">
        <f t="shared" ref="X323:X386" si="5">ABS(V323-R323)</f>
        <v>4.2739560000000001</v>
      </c>
    </row>
    <row r="324" spans="1:24" x14ac:dyDescent="0.45">
      <c r="A324">
        <v>1130</v>
      </c>
      <c r="B324">
        <v>11</v>
      </c>
      <c r="C324">
        <v>3</v>
      </c>
      <c r="D324">
        <v>5</v>
      </c>
      <c r="E324">
        <v>-35</v>
      </c>
      <c r="F324">
        <v>0</v>
      </c>
      <c r="G324">
        <v>15</v>
      </c>
      <c r="H324">
        <v>0</v>
      </c>
      <c r="I324">
        <v>-2</v>
      </c>
      <c r="J324">
        <v>1</v>
      </c>
      <c r="K324">
        <v>-2</v>
      </c>
      <c r="L324">
        <v>1</v>
      </c>
      <c r="M324">
        <v>-1</v>
      </c>
      <c r="N324">
        <v>-1</v>
      </c>
      <c r="O324">
        <v>0.20109367791419</v>
      </c>
      <c r="P324">
        <v>3.1247828400610902</v>
      </c>
      <c r="Q324">
        <v>75.917372290211105</v>
      </c>
      <c r="R324">
        <v>3</v>
      </c>
      <c r="S324">
        <v>3</v>
      </c>
      <c r="T324">
        <v>2.2183060000000001</v>
      </c>
      <c r="U324">
        <v>0.85394360000000002</v>
      </c>
      <c r="V324">
        <v>-0.17484420000000001</v>
      </c>
      <c r="W324">
        <v>-1.1011299999999999</v>
      </c>
      <c r="X324">
        <f t="shared" si="5"/>
        <v>3.1748441999999999</v>
      </c>
    </row>
    <row r="325" spans="1:24" x14ac:dyDescent="0.45">
      <c r="A325">
        <v>1130</v>
      </c>
      <c r="B325">
        <v>12</v>
      </c>
      <c r="C325">
        <v>3</v>
      </c>
      <c r="D325">
        <v>3</v>
      </c>
      <c r="E325">
        <v>-35</v>
      </c>
      <c r="F325">
        <v>0</v>
      </c>
      <c r="G325">
        <v>15</v>
      </c>
      <c r="H325">
        <v>-3</v>
      </c>
      <c r="I325">
        <v>2</v>
      </c>
      <c r="J325">
        <v>1</v>
      </c>
      <c r="K325">
        <v>2</v>
      </c>
      <c r="L325">
        <v>2</v>
      </c>
      <c r="M325">
        <v>2</v>
      </c>
      <c r="N325">
        <v>2</v>
      </c>
      <c r="O325">
        <v>0.27280420183126303</v>
      </c>
      <c r="P325">
        <v>1.7206755944654799</v>
      </c>
      <c r="Q325">
        <v>74.623720417687807</v>
      </c>
      <c r="R325">
        <v>-3</v>
      </c>
      <c r="S325">
        <v>-2.9996749999999999</v>
      </c>
      <c r="T325">
        <v>-3.0926900000000002</v>
      </c>
      <c r="U325">
        <v>-3.2912949999999999</v>
      </c>
      <c r="V325">
        <v>-3.5084879999999998</v>
      </c>
      <c r="W325">
        <v>-3.651751</v>
      </c>
      <c r="X325">
        <f t="shared" si="5"/>
        <v>0.50848799999999983</v>
      </c>
    </row>
    <row r="326" spans="1:24" x14ac:dyDescent="0.45">
      <c r="A326">
        <v>1130</v>
      </c>
      <c r="B326">
        <v>13</v>
      </c>
      <c r="C326">
        <v>1</v>
      </c>
      <c r="D326">
        <v>7</v>
      </c>
      <c r="E326">
        <v>-35</v>
      </c>
      <c r="F326">
        <v>0</v>
      </c>
      <c r="G326">
        <v>15</v>
      </c>
      <c r="H326">
        <v>3</v>
      </c>
      <c r="I326">
        <v>1</v>
      </c>
      <c r="J326">
        <v>0</v>
      </c>
      <c r="K326">
        <v>2</v>
      </c>
      <c r="L326">
        <v>0</v>
      </c>
      <c r="M326">
        <v>2</v>
      </c>
      <c r="N326">
        <v>1</v>
      </c>
      <c r="O326">
        <v>0.17920227845964001</v>
      </c>
      <c r="P326">
        <v>1.1642228484664501</v>
      </c>
      <c r="Q326">
        <v>74.386808897026398</v>
      </c>
      <c r="R326">
        <v>3</v>
      </c>
      <c r="S326">
        <v>3.0393759999999999</v>
      </c>
      <c r="T326">
        <v>3.36307</v>
      </c>
      <c r="U326">
        <v>3.5056370000000001</v>
      </c>
      <c r="V326">
        <v>3.552187</v>
      </c>
      <c r="W326">
        <v>3.6358069999999998</v>
      </c>
      <c r="X326">
        <f t="shared" si="5"/>
        <v>0.55218699999999998</v>
      </c>
    </row>
    <row r="327" spans="1:24" x14ac:dyDescent="0.45">
      <c r="A327">
        <v>1130</v>
      </c>
      <c r="B327">
        <v>14</v>
      </c>
      <c r="C327">
        <v>3</v>
      </c>
      <c r="D327">
        <v>1</v>
      </c>
      <c r="E327">
        <v>-35</v>
      </c>
      <c r="F327">
        <v>0</v>
      </c>
      <c r="G327">
        <v>15</v>
      </c>
      <c r="H327">
        <v>0</v>
      </c>
      <c r="I327">
        <v>2</v>
      </c>
      <c r="J327">
        <v>1</v>
      </c>
      <c r="K327">
        <v>2</v>
      </c>
      <c r="L327">
        <v>1</v>
      </c>
      <c r="M327">
        <v>2</v>
      </c>
      <c r="N327">
        <v>1</v>
      </c>
      <c r="O327">
        <v>0.172236272366562</v>
      </c>
      <c r="P327">
        <v>1.4112296755224001</v>
      </c>
      <c r="Q327">
        <v>75.223760284920601</v>
      </c>
      <c r="R327">
        <v>0</v>
      </c>
      <c r="S327">
        <v>0</v>
      </c>
      <c r="T327">
        <v>-0.45915509999999998</v>
      </c>
      <c r="U327">
        <v>-1.020249</v>
      </c>
      <c r="V327">
        <v>-1.7935950000000001</v>
      </c>
      <c r="W327">
        <v>-2.636482</v>
      </c>
      <c r="X327">
        <f t="shared" si="5"/>
        <v>1.7935950000000001</v>
      </c>
    </row>
    <row r="328" spans="1:24" x14ac:dyDescent="0.45">
      <c r="A328">
        <v>1130</v>
      </c>
      <c r="B328">
        <v>15</v>
      </c>
      <c r="C328">
        <v>2</v>
      </c>
      <c r="D328">
        <v>8</v>
      </c>
      <c r="E328">
        <v>-45</v>
      </c>
      <c r="F328">
        <v>0</v>
      </c>
      <c r="G328">
        <v>5</v>
      </c>
      <c r="H328">
        <v>-3</v>
      </c>
      <c r="I328">
        <v>-2</v>
      </c>
      <c r="J328">
        <v>0</v>
      </c>
      <c r="K328">
        <v>1</v>
      </c>
      <c r="L328">
        <v>-2</v>
      </c>
      <c r="M328">
        <v>-2</v>
      </c>
      <c r="N328">
        <v>-1</v>
      </c>
      <c r="O328">
        <v>0.20240101477153799</v>
      </c>
      <c r="P328">
        <v>4.0062683449110201</v>
      </c>
      <c r="Q328">
        <v>65.462134274545804</v>
      </c>
      <c r="R328">
        <v>-3</v>
      </c>
      <c r="S328">
        <v>-3</v>
      </c>
      <c r="T328">
        <v>-2.3816190000000002</v>
      </c>
      <c r="U328">
        <v>-1.30592</v>
      </c>
      <c r="V328">
        <v>-0.2337369</v>
      </c>
      <c r="W328">
        <v>0.76339259999999998</v>
      </c>
      <c r="X328">
        <f t="shared" si="5"/>
        <v>2.7662631000000002</v>
      </c>
    </row>
    <row r="329" spans="1:24" x14ac:dyDescent="0.45">
      <c r="A329">
        <v>1130</v>
      </c>
      <c r="B329">
        <v>16</v>
      </c>
      <c r="C329">
        <v>2</v>
      </c>
      <c r="D329">
        <v>3</v>
      </c>
      <c r="E329">
        <v>-35</v>
      </c>
      <c r="F329">
        <v>0</v>
      </c>
      <c r="G329">
        <v>15</v>
      </c>
      <c r="H329">
        <v>-3</v>
      </c>
      <c r="I329">
        <v>2</v>
      </c>
      <c r="J329">
        <v>0</v>
      </c>
      <c r="K329">
        <v>2</v>
      </c>
      <c r="L329">
        <v>1</v>
      </c>
      <c r="M329">
        <v>2</v>
      </c>
      <c r="N329">
        <v>1</v>
      </c>
      <c r="O329">
        <v>0.13905955566407399</v>
      </c>
      <c r="P329">
        <v>1.0476523843374499</v>
      </c>
      <c r="Q329">
        <v>75.419497456113703</v>
      </c>
      <c r="R329">
        <v>-3</v>
      </c>
      <c r="S329">
        <v>-3</v>
      </c>
      <c r="T329">
        <v>-3.0372680000000001</v>
      </c>
      <c r="U329">
        <v>-3.4532120000000002</v>
      </c>
      <c r="V329">
        <v>-3.771846</v>
      </c>
      <c r="W329">
        <v>-4.0071089999999998</v>
      </c>
      <c r="X329">
        <f t="shared" si="5"/>
        <v>0.77184600000000003</v>
      </c>
    </row>
    <row r="330" spans="1:24" x14ac:dyDescent="0.45">
      <c r="A330">
        <v>1130</v>
      </c>
      <c r="B330">
        <v>17</v>
      </c>
      <c r="C330">
        <v>3</v>
      </c>
      <c r="D330">
        <v>6</v>
      </c>
      <c r="E330">
        <v>-35</v>
      </c>
      <c r="F330">
        <v>3</v>
      </c>
      <c r="G330">
        <v>15</v>
      </c>
      <c r="H330">
        <v>3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0.14971322347695501</v>
      </c>
      <c r="P330">
        <v>1.74437601224615</v>
      </c>
      <c r="Q330">
        <v>75.631960278679102</v>
      </c>
      <c r="R330">
        <v>0</v>
      </c>
      <c r="S330">
        <v>0</v>
      </c>
      <c r="T330">
        <v>1.0897619999999999</v>
      </c>
      <c r="U330">
        <v>2.3354550000000001</v>
      </c>
      <c r="V330">
        <v>3.0762619999999998</v>
      </c>
      <c r="W330">
        <v>3.503539</v>
      </c>
      <c r="X330">
        <f t="shared" si="5"/>
        <v>3.0762619999999998</v>
      </c>
    </row>
    <row r="331" spans="1:24" x14ac:dyDescent="0.45">
      <c r="A331">
        <v>1130</v>
      </c>
      <c r="B331">
        <v>18</v>
      </c>
      <c r="C331">
        <v>1</v>
      </c>
      <c r="D331">
        <v>2</v>
      </c>
      <c r="E331">
        <v>-35</v>
      </c>
      <c r="F331">
        <v>-3</v>
      </c>
      <c r="G331">
        <v>15</v>
      </c>
      <c r="H331">
        <v>-3</v>
      </c>
      <c r="I331">
        <v>-2</v>
      </c>
      <c r="J331">
        <v>1</v>
      </c>
      <c r="K331">
        <v>-2</v>
      </c>
      <c r="L331">
        <v>1</v>
      </c>
      <c r="M331">
        <v>-2</v>
      </c>
      <c r="N331">
        <v>-1</v>
      </c>
      <c r="O331">
        <v>0.16744003615844399</v>
      </c>
      <c r="P331">
        <v>2.3914722183136501</v>
      </c>
      <c r="Q331">
        <v>75.027856119676301</v>
      </c>
      <c r="R331">
        <v>-3</v>
      </c>
      <c r="S331">
        <v>-3</v>
      </c>
      <c r="T331">
        <v>-3.1043599999999998</v>
      </c>
      <c r="U331">
        <v>-2.2374179999999999</v>
      </c>
      <c r="V331">
        <v>-1.2039850000000001</v>
      </c>
      <c r="W331">
        <v>-0.18211939999999999</v>
      </c>
      <c r="X331">
        <f t="shared" si="5"/>
        <v>1.7960149999999999</v>
      </c>
    </row>
    <row r="332" spans="1:24" x14ac:dyDescent="0.45">
      <c r="A332">
        <v>1130</v>
      </c>
      <c r="B332">
        <v>19</v>
      </c>
      <c r="C332">
        <v>2</v>
      </c>
      <c r="D332">
        <v>5</v>
      </c>
      <c r="E332">
        <v>-35</v>
      </c>
      <c r="F332">
        <v>0</v>
      </c>
      <c r="G332">
        <v>15</v>
      </c>
      <c r="H332">
        <v>0</v>
      </c>
      <c r="I332">
        <v>-2</v>
      </c>
      <c r="J332">
        <v>-2</v>
      </c>
      <c r="K332">
        <v>2</v>
      </c>
      <c r="L332">
        <v>-2</v>
      </c>
      <c r="M332">
        <v>-2</v>
      </c>
      <c r="N332">
        <v>-2</v>
      </c>
      <c r="O332">
        <v>0.250624363601196</v>
      </c>
      <c r="P332">
        <v>7.7018334661522001</v>
      </c>
      <c r="Q332">
        <v>75.723350810457205</v>
      </c>
      <c r="R332">
        <v>3</v>
      </c>
      <c r="S332">
        <v>3.0000939999999998</v>
      </c>
      <c r="T332">
        <v>3.1160899999999998</v>
      </c>
      <c r="U332">
        <v>2.4298289999999998</v>
      </c>
      <c r="V332">
        <v>1.3155289999999999</v>
      </c>
      <c r="W332">
        <v>0.47213189999999999</v>
      </c>
      <c r="X332">
        <f t="shared" si="5"/>
        <v>1.6844710000000001</v>
      </c>
    </row>
    <row r="333" spans="1:24" x14ac:dyDescent="0.45">
      <c r="A333">
        <v>1130</v>
      </c>
      <c r="B333">
        <v>20</v>
      </c>
      <c r="C333">
        <v>3</v>
      </c>
      <c r="D333">
        <v>4</v>
      </c>
      <c r="E333">
        <v>-45</v>
      </c>
      <c r="F333">
        <v>0</v>
      </c>
      <c r="G333">
        <v>5</v>
      </c>
      <c r="H333">
        <v>3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0.28927839500052799</v>
      </c>
      <c r="P333">
        <v>0.89496751230206295</v>
      </c>
      <c r="Q333">
        <v>65.348842053104406</v>
      </c>
      <c r="R333">
        <v>3</v>
      </c>
      <c r="S333">
        <v>3</v>
      </c>
      <c r="T333">
        <v>3.0132539999999999</v>
      </c>
      <c r="U333">
        <v>3.0450490000000001</v>
      </c>
      <c r="V333">
        <v>3.0672730000000001</v>
      </c>
      <c r="W333">
        <v>3.0843790000000002</v>
      </c>
      <c r="X333">
        <f t="shared" si="5"/>
        <v>6.7273000000000138E-2</v>
      </c>
    </row>
    <row r="334" spans="1:24" x14ac:dyDescent="0.45">
      <c r="A334">
        <v>1130</v>
      </c>
      <c r="B334">
        <v>21</v>
      </c>
      <c r="C334">
        <v>1</v>
      </c>
      <c r="D334">
        <v>6</v>
      </c>
      <c r="E334">
        <v>-35</v>
      </c>
      <c r="F334">
        <v>3</v>
      </c>
      <c r="G334">
        <v>15</v>
      </c>
      <c r="H334">
        <v>3</v>
      </c>
      <c r="I334">
        <v>-1</v>
      </c>
      <c r="J334">
        <v>1</v>
      </c>
      <c r="K334">
        <v>-1</v>
      </c>
      <c r="L334">
        <v>1</v>
      </c>
      <c r="M334">
        <v>2</v>
      </c>
      <c r="N334">
        <v>0</v>
      </c>
      <c r="O334">
        <v>0.17672713457683001</v>
      </c>
      <c r="P334">
        <v>1.86977310662848</v>
      </c>
      <c r="Q334">
        <v>74.576271048904601</v>
      </c>
      <c r="R334">
        <v>0</v>
      </c>
      <c r="S334">
        <v>0</v>
      </c>
      <c r="T334">
        <v>0.89290860000000005</v>
      </c>
      <c r="U334">
        <v>1.533615</v>
      </c>
      <c r="V334">
        <v>2.4087070000000002</v>
      </c>
      <c r="W334">
        <v>3.4365939999999999</v>
      </c>
      <c r="X334">
        <f t="shared" si="5"/>
        <v>2.4087070000000002</v>
      </c>
    </row>
    <row r="335" spans="1:24" x14ac:dyDescent="0.45">
      <c r="A335">
        <v>1130</v>
      </c>
      <c r="B335">
        <v>22</v>
      </c>
      <c r="C335">
        <v>1</v>
      </c>
      <c r="D335">
        <v>3</v>
      </c>
      <c r="E335">
        <v>-35</v>
      </c>
      <c r="F335">
        <v>0</v>
      </c>
      <c r="G335">
        <v>15</v>
      </c>
      <c r="H335">
        <v>-3</v>
      </c>
      <c r="I335">
        <v>-2</v>
      </c>
      <c r="J335">
        <v>1</v>
      </c>
      <c r="K335">
        <v>-2</v>
      </c>
      <c r="L335">
        <v>1</v>
      </c>
      <c r="M335">
        <v>2</v>
      </c>
      <c r="N335">
        <v>-1</v>
      </c>
      <c r="O335">
        <v>0.17670857756321801</v>
      </c>
      <c r="P335">
        <v>0.65661564119598304</v>
      </c>
      <c r="Q335">
        <v>74.445155254961506</v>
      </c>
      <c r="R335">
        <v>-3</v>
      </c>
      <c r="S335">
        <v>-3.08039</v>
      </c>
      <c r="T335">
        <v>-3.3698980000000001</v>
      </c>
      <c r="U335">
        <v>-3.6200670000000001</v>
      </c>
      <c r="V335">
        <v>-3.861094</v>
      </c>
      <c r="W335">
        <v>-4.0468149999999996</v>
      </c>
      <c r="X335">
        <f t="shared" si="5"/>
        <v>0.86109400000000003</v>
      </c>
    </row>
    <row r="336" spans="1:24" x14ac:dyDescent="0.45">
      <c r="A336">
        <v>1130</v>
      </c>
      <c r="B336">
        <v>23</v>
      </c>
      <c r="C336">
        <v>3</v>
      </c>
      <c r="D336">
        <v>8</v>
      </c>
      <c r="E336">
        <v>-45</v>
      </c>
      <c r="F336">
        <v>0</v>
      </c>
      <c r="G336">
        <v>5</v>
      </c>
      <c r="H336">
        <v>-3</v>
      </c>
      <c r="I336">
        <v>2</v>
      </c>
      <c r="J336">
        <v>1</v>
      </c>
      <c r="K336">
        <v>2</v>
      </c>
      <c r="L336">
        <v>2</v>
      </c>
      <c r="M336">
        <v>2</v>
      </c>
      <c r="N336">
        <v>2</v>
      </c>
      <c r="O336">
        <v>0.15695728821362501</v>
      </c>
      <c r="P336">
        <v>1.7847293543537499</v>
      </c>
      <c r="Q336">
        <v>67.488343547434596</v>
      </c>
      <c r="R336">
        <v>-3</v>
      </c>
      <c r="S336">
        <v>-3</v>
      </c>
      <c r="T336">
        <v>-2.5948129999999998</v>
      </c>
      <c r="U336">
        <v>-1.4806809999999999</v>
      </c>
      <c r="V336">
        <v>-0.30401030000000001</v>
      </c>
      <c r="W336">
        <v>1.0009980000000001</v>
      </c>
      <c r="X336">
        <f t="shared" si="5"/>
        <v>2.6959897000000002</v>
      </c>
    </row>
    <row r="337" spans="1:24" x14ac:dyDescent="0.45">
      <c r="A337">
        <v>1130</v>
      </c>
      <c r="B337">
        <v>24</v>
      </c>
      <c r="C337">
        <v>2</v>
      </c>
      <c r="D337">
        <v>1</v>
      </c>
      <c r="E337">
        <v>-35</v>
      </c>
      <c r="F337">
        <v>0</v>
      </c>
      <c r="G337">
        <v>15</v>
      </c>
      <c r="H337">
        <v>0</v>
      </c>
      <c r="I337">
        <v>2</v>
      </c>
      <c r="J337">
        <v>1</v>
      </c>
      <c r="K337">
        <v>2</v>
      </c>
      <c r="L337">
        <v>1</v>
      </c>
      <c r="M337">
        <v>2</v>
      </c>
      <c r="N337">
        <v>1</v>
      </c>
      <c r="O337">
        <v>0.17408118844238499</v>
      </c>
      <c r="P337">
        <v>1.36459482561442</v>
      </c>
      <c r="Q337">
        <v>74.9866142000119</v>
      </c>
      <c r="R337">
        <v>0</v>
      </c>
      <c r="S337">
        <v>0</v>
      </c>
      <c r="T337">
        <v>-0.23334949999999999</v>
      </c>
      <c r="U337">
        <v>-0.82449989999999995</v>
      </c>
      <c r="V337">
        <v>-1.9181330000000001</v>
      </c>
      <c r="W337">
        <v>-2.9911289999999999</v>
      </c>
      <c r="X337">
        <f t="shared" si="5"/>
        <v>1.9181330000000001</v>
      </c>
    </row>
    <row r="338" spans="1:24" x14ac:dyDescent="0.45">
      <c r="A338">
        <v>1140</v>
      </c>
      <c r="B338">
        <v>1</v>
      </c>
      <c r="C338">
        <v>2</v>
      </c>
      <c r="D338">
        <v>1</v>
      </c>
      <c r="E338">
        <v>-35</v>
      </c>
      <c r="F338">
        <v>0</v>
      </c>
      <c r="G338">
        <v>15</v>
      </c>
      <c r="H338">
        <v>0</v>
      </c>
      <c r="I338">
        <v>1</v>
      </c>
      <c r="J338">
        <v>0</v>
      </c>
      <c r="K338">
        <v>2</v>
      </c>
      <c r="L338">
        <v>1</v>
      </c>
      <c r="M338">
        <v>-1</v>
      </c>
      <c r="N338">
        <v>-1</v>
      </c>
      <c r="O338">
        <v>0.21471304640274699</v>
      </c>
      <c r="P338">
        <v>11.023936758128601</v>
      </c>
      <c r="Q338">
        <v>79.9095011167541</v>
      </c>
      <c r="R338">
        <v>0</v>
      </c>
      <c r="S338">
        <v>0</v>
      </c>
      <c r="T338">
        <v>0.68507269999999998</v>
      </c>
      <c r="U338">
        <v>1.0028950000000001</v>
      </c>
      <c r="V338">
        <v>2.2084570000000001</v>
      </c>
      <c r="W338">
        <v>3.165073</v>
      </c>
      <c r="X338">
        <f t="shared" si="5"/>
        <v>2.2084570000000001</v>
      </c>
    </row>
    <row r="339" spans="1:24" x14ac:dyDescent="0.45">
      <c r="A339">
        <v>1140</v>
      </c>
      <c r="B339">
        <v>2</v>
      </c>
      <c r="C339">
        <v>3</v>
      </c>
      <c r="D339">
        <v>8</v>
      </c>
      <c r="E339">
        <v>-45</v>
      </c>
      <c r="F339">
        <v>0</v>
      </c>
      <c r="G339">
        <v>5</v>
      </c>
      <c r="H339">
        <v>-3</v>
      </c>
      <c r="I339">
        <v>2</v>
      </c>
      <c r="J339">
        <v>2</v>
      </c>
      <c r="K339">
        <v>2</v>
      </c>
      <c r="L339">
        <v>1</v>
      </c>
      <c r="M339">
        <v>1</v>
      </c>
      <c r="N339">
        <v>2</v>
      </c>
      <c r="O339">
        <v>0.210410097571022</v>
      </c>
      <c r="P339">
        <v>4.1829828711255201</v>
      </c>
      <c r="Q339">
        <v>72.050330282014897</v>
      </c>
      <c r="R339">
        <v>-3</v>
      </c>
      <c r="S339">
        <v>-3</v>
      </c>
      <c r="T339">
        <v>-3</v>
      </c>
      <c r="U339">
        <v>-3.252669</v>
      </c>
      <c r="V339">
        <v>-3.0871810000000002</v>
      </c>
      <c r="W339">
        <v>-3.0212880000000002</v>
      </c>
      <c r="X339">
        <f t="shared" si="5"/>
        <v>8.7181000000000175E-2</v>
      </c>
    </row>
    <row r="340" spans="1:24" x14ac:dyDescent="0.45">
      <c r="A340">
        <v>1140</v>
      </c>
      <c r="B340">
        <v>3</v>
      </c>
      <c r="C340">
        <v>1</v>
      </c>
      <c r="D340">
        <v>3</v>
      </c>
      <c r="E340">
        <v>-35</v>
      </c>
      <c r="F340">
        <v>0</v>
      </c>
      <c r="G340">
        <v>15</v>
      </c>
      <c r="H340">
        <v>-3</v>
      </c>
      <c r="I340">
        <v>-2</v>
      </c>
      <c r="J340">
        <v>2</v>
      </c>
      <c r="K340">
        <v>-2</v>
      </c>
      <c r="L340">
        <v>-2</v>
      </c>
      <c r="M340">
        <v>0</v>
      </c>
      <c r="N340">
        <v>-1</v>
      </c>
      <c r="O340">
        <v>0.154363354272855</v>
      </c>
      <c r="P340">
        <v>1.2811379703871599</v>
      </c>
      <c r="Q340">
        <v>75.757108489862603</v>
      </c>
      <c r="R340">
        <v>-3</v>
      </c>
      <c r="S340">
        <v>-3</v>
      </c>
      <c r="T340">
        <v>-3.0375130000000001</v>
      </c>
      <c r="U340">
        <v>-3.1786970000000001</v>
      </c>
      <c r="V340">
        <v>-3.2330779999999999</v>
      </c>
      <c r="W340">
        <v>-3.3799769999999998</v>
      </c>
      <c r="X340">
        <f t="shared" si="5"/>
        <v>0.2330779999999999</v>
      </c>
    </row>
    <row r="341" spans="1:24" x14ac:dyDescent="0.45">
      <c r="A341">
        <v>1140</v>
      </c>
      <c r="B341">
        <v>4</v>
      </c>
      <c r="C341">
        <v>1</v>
      </c>
      <c r="D341">
        <v>6</v>
      </c>
      <c r="E341">
        <v>-35</v>
      </c>
      <c r="F341">
        <v>3</v>
      </c>
      <c r="G341">
        <v>15</v>
      </c>
      <c r="H341">
        <v>3</v>
      </c>
      <c r="I341">
        <v>-2</v>
      </c>
      <c r="J341">
        <v>2</v>
      </c>
      <c r="K341">
        <v>-2</v>
      </c>
      <c r="L341">
        <v>-2</v>
      </c>
      <c r="M341">
        <v>-1</v>
      </c>
      <c r="N341">
        <v>-1</v>
      </c>
      <c r="O341">
        <v>0.11666363497202401</v>
      </c>
      <c r="P341">
        <v>3.1419280640057599</v>
      </c>
      <c r="Q341">
        <v>78.055940232230498</v>
      </c>
      <c r="R341">
        <v>0</v>
      </c>
      <c r="S341">
        <v>0</v>
      </c>
      <c r="T341">
        <v>1.2057640000000001</v>
      </c>
      <c r="U341">
        <v>2.6722869999999999</v>
      </c>
      <c r="V341">
        <v>3.5018470000000002</v>
      </c>
      <c r="W341">
        <v>3.8506300000000002</v>
      </c>
      <c r="X341">
        <f t="shared" si="5"/>
        <v>3.5018470000000002</v>
      </c>
    </row>
    <row r="342" spans="1:24" x14ac:dyDescent="0.45">
      <c r="A342">
        <v>1140</v>
      </c>
      <c r="B342">
        <v>5</v>
      </c>
      <c r="C342">
        <v>3</v>
      </c>
      <c r="D342">
        <v>4</v>
      </c>
      <c r="E342">
        <v>-45</v>
      </c>
      <c r="F342">
        <v>0</v>
      </c>
      <c r="G342">
        <v>5</v>
      </c>
      <c r="H342">
        <v>3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0.15262778620801601</v>
      </c>
      <c r="P342">
        <v>2.6626755144839902</v>
      </c>
      <c r="Q342">
        <v>67.370738482438298</v>
      </c>
      <c r="R342">
        <v>3</v>
      </c>
      <c r="S342">
        <v>3.0573999999999999</v>
      </c>
      <c r="T342">
        <v>3.4327200000000002</v>
      </c>
      <c r="U342">
        <v>3.8725480000000001</v>
      </c>
      <c r="V342">
        <v>4.1873620000000003</v>
      </c>
      <c r="W342">
        <v>4.3968179999999997</v>
      </c>
      <c r="X342">
        <f t="shared" si="5"/>
        <v>1.1873620000000003</v>
      </c>
    </row>
    <row r="343" spans="1:24" x14ac:dyDescent="0.45">
      <c r="A343">
        <v>1140</v>
      </c>
      <c r="B343">
        <v>6</v>
      </c>
      <c r="C343">
        <v>2</v>
      </c>
      <c r="D343">
        <v>5</v>
      </c>
      <c r="E343">
        <v>-35</v>
      </c>
      <c r="F343">
        <v>0</v>
      </c>
      <c r="G343">
        <v>15</v>
      </c>
      <c r="H343">
        <v>0</v>
      </c>
      <c r="I343">
        <v>-2</v>
      </c>
      <c r="J343">
        <v>2</v>
      </c>
      <c r="K343">
        <v>-2</v>
      </c>
      <c r="L343">
        <v>-1</v>
      </c>
      <c r="M343">
        <v>2</v>
      </c>
      <c r="N343">
        <v>0</v>
      </c>
      <c r="O343">
        <v>0.12387178697334</v>
      </c>
      <c r="P343">
        <v>4.3473745897848204</v>
      </c>
      <c r="Q343">
        <v>77.702602189045706</v>
      </c>
      <c r="R343">
        <v>3</v>
      </c>
      <c r="S343">
        <v>3</v>
      </c>
      <c r="T343">
        <v>1.8225370000000001</v>
      </c>
      <c r="U343">
        <v>0.2327555</v>
      </c>
      <c r="V343">
        <v>-0.55604759999999998</v>
      </c>
      <c r="W343">
        <v>-0.63417670000000004</v>
      </c>
      <c r="X343">
        <f t="shared" si="5"/>
        <v>3.5560475999999999</v>
      </c>
    </row>
    <row r="344" spans="1:24" x14ac:dyDescent="0.45">
      <c r="A344">
        <v>1140</v>
      </c>
      <c r="B344">
        <v>7</v>
      </c>
      <c r="C344">
        <v>1</v>
      </c>
      <c r="D344">
        <v>2</v>
      </c>
      <c r="E344">
        <v>-35</v>
      </c>
      <c r="F344">
        <v>-3</v>
      </c>
      <c r="G344">
        <v>15</v>
      </c>
      <c r="H344">
        <v>-3</v>
      </c>
      <c r="I344">
        <v>-2</v>
      </c>
      <c r="J344">
        <v>2</v>
      </c>
      <c r="K344">
        <v>1</v>
      </c>
      <c r="L344">
        <v>1</v>
      </c>
      <c r="M344">
        <v>-1</v>
      </c>
      <c r="N344">
        <v>-1</v>
      </c>
      <c r="O344">
        <v>0.175701006129556</v>
      </c>
      <c r="P344">
        <v>8.6793863343763409</v>
      </c>
      <c r="Q344">
        <v>80.745664277789004</v>
      </c>
      <c r="R344">
        <v>-3</v>
      </c>
      <c r="S344">
        <v>-3</v>
      </c>
      <c r="T344">
        <v>-2.769771</v>
      </c>
      <c r="U344">
        <v>-2.3837799999999998</v>
      </c>
      <c r="V344">
        <v>-2.2583060000000001</v>
      </c>
      <c r="W344">
        <v>-2.152377</v>
      </c>
      <c r="X344">
        <f t="shared" si="5"/>
        <v>0.74169399999999985</v>
      </c>
    </row>
    <row r="345" spans="1:24" x14ac:dyDescent="0.45">
      <c r="A345">
        <v>1140</v>
      </c>
      <c r="B345">
        <v>8</v>
      </c>
      <c r="C345">
        <v>3</v>
      </c>
      <c r="D345">
        <v>6</v>
      </c>
      <c r="E345">
        <v>-35</v>
      </c>
      <c r="F345">
        <v>3</v>
      </c>
      <c r="G345">
        <v>15</v>
      </c>
      <c r="H345">
        <v>3</v>
      </c>
      <c r="I345">
        <v>2</v>
      </c>
      <c r="J345">
        <v>1</v>
      </c>
      <c r="K345">
        <v>2</v>
      </c>
      <c r="L345">
        <v>2</v>
      </c>
      <c r="M345">
        <v>1</v>
      </c>
      <c r="N345">
        <v>2</v>
      </c>
      <c r="O345">
        <v>0.28460418925258402</v>
      </c>
      <c r="P345">
        <v>4.2472686208981099</v>
      </c>
      <c r="Q345">
        <v>78.406475217219594</v>
      </c>
      <c r="R345">
        <v>0</v>
      </c>
      <c r="S345">
        <v>0</v>
      </c>
      <c r="T345">
        <v>-2.7988570000000001E-3</v>
      </c>
      <c r="U345">
        <v>1.128053E-2</v>
      </c>
      <c r="V345">
        <v>5.6146950000000001E-2</v>
      </c>
      <c r="W345">
        <v>-0.462752</v>
      </c>
      <c r="X345">
        <f t="shared" si="5"/>
        <v>5.6146950000000001E-2</v>
      </c>
    </row>
    <row r="346" spans="1:24" x14ac:dyDescent="0.45">
      <c r="A346">
        <v>1140</v>
      </c>
      <c r="B346">
        <v>9</v>
      </c>
      <c r="C346">
        <v>2</v>
      </c>
      <c r="D346">
        <v>3</v>
      </c>
      <c r="E346">
        <v>-35</v>
      </c>
      <c r="F346">
        <v>0</v>
      </c>
      <c r="G346">
        <v>15</v>
      </c>
      <c r="H346">
        <v>-3</v>
      </c>
      <c r="I346">
        <v>2</v>
      </c>
      <c r="J346">
        <v>2</v>
      </c>
      <c r="K346">
        <v>2</v>
      </c>
      <c r="L346">
        <v>2</v>
      </c>
      <c r="M346">
        <v>1</v>
      </c>
      <c r="N346">
        <v>2</v>
      </c>
      <c r="O346">
        <v>0.118812110645531</v>
      </c>
      <c r="P346">
        <v>1.8339765809704101</v>
      </c>
      <c r="Q346">
        <v>77.737684797451905</v>
      </c>
      <c r="R346">
        <v>-3</v>
      </c>
      <c r="S346">
        <v>-3</v>
      </c>
      <c r="T346">
        <v>-2.7702270000000002</v>
      </c>
      <c r="U346">
        <v>-1.8865000000000001</v>
      </c>
      <c r="V346">
        <v>-1.3396980000000001</v>
      </c>
      <c r="W346">
        <v>-1.7194290000000001</v>
      </c>
      <c r="X346">
        <f t="shared" si="5"/>
        <v>1.6603019999999999</v>
      </c>
    </row>
    <row r="347" spans="1:24" x14ac:dyDescent="0.45">
      <c r="A347">
        <v>1140</v>
      </c>
      <c r="B347">
        <v>10</v>
      </c>
      <c r="C347">
        <v>2</v>
      </c>
      <c r="D347">
        <v>8</v>
      </c>
      <c r="E347">
        <v>-45</v>
      </c>
      <c r="F347">
        <v>0</v>
      </c>
      <c r="G347">
        <v>5</v>
      </c>
      <c r="H347">
        <v>-3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0.219596823247835</v>
      </c>
      <c r="P347">
        <v>13.488385567631299</v>
      </c>
      <c r="Q347">
        <v>73.346315625653901</v>
      </c>
      <c r="R347">
        <v>-3</v>
      </c>
      <c r="S347">
        <v>-3</v>
      </c>
      <c r="T347">
        <v>-1.8766499999999999</v>
      </c>
      <c r="U347">
        <v>-0.82828979999999996</v>
      </c>
      <c r="V347">
        <v>-0.2950644</v>
      </c>
      <c r="W347">
        <v>0.23357330000000001</v>
      </c>
      <c r="X347">
        <f t="shared" si="5"/>
        <v>2.7049355999999998</v>
      </c>
    </row>
    <row r="348" spans="1:24" x14ac:dyDescent="0.45">
      <c r="A348">
        <v>1140</v>
      </c>
      <c r="B348">
        <v>11</v>
      </c>
      <c r="C348">
        <v>3</v>
      </c>
      <c r="D348">
        <v>1</v>
      </c>
      <c r="E348">
        <v>-35</v>
      </c>
      <c r="F348">
        <v>0</v>
      </c>
      <c r="G348">
        <v>15</v>
      </c>
      <c r="H348">
        <v>0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0.103693833267703</v>
      </c>
      <c r="P348">
        <v>2.1418394144983601</v>
      </c>
      <c r="Q348">
        <v>76.792421437198101</v>
      </c>
      <c r="R348">
        <v>0</v>
      </c>
      <c r="S348">
        <v>0</v>
      </c>
      <c r="T348">
        <v>1.588945E-3</v>
      </c>
      <c r="U348">
        <v>4.2179979999999999E-2</v>
      </c>
      <c r="V348">
        <v>0.15626029999999999</v>
      </c>
      <c r="W348">
        <v>-8.7646370000000001E-2</v>
      </c>
      <c r="X348">
        <f t="shared" si="5"/>
        <v>0.15626029999999999</v>
      </c>
    </row>
    <row r="349" spans="1:24" x14ac:dyDescent="0.45">
      <c r="A349">
        <v>1140</v>
      </c>
      <c r="B349">
        <v>12</v>
      </c>
      <c r="C349">
        <v>1</v>
      </c>
      <c r="D349">
        <v>7</v>
      </c>
      <c r="E349">
        <v>-35</v>
      </c>
      <c r="F349">
        <v>0</v>
      </c>
      <c r="G349">
        <v>15</v>
      </c>
      <c r="H349">
        <v>3</v>
      </c>
      <c r="I349">
        <v>-2</v>
      </c>
      <c r="J349">
        <v>2</v>
      </c>
      <c r="K349">
        <v>-2</v>
      </c>
      <c r="L349">
        <v>-2</v>
      </c>
      <c r="M349">
        <v>-2</v>
      </c>
      <c r="N349">
        <v>-2</v>
      </c>
      <c r="O349">
        <v>0.34200353674078898</v>
      </c>
      <c r="P349">
        <v>5.7651767781165804</v>
      </c>
      <c r="Q349">
        <v>76.628494765234507</v>
      </c>
      <c r="R349">
        <v>3</v>
      </c>
      <c r="S349">
        <v>3</v>
      </c>
      <c r="T349">
        <v>2.9730989999999999</v>
      </c>
      <c r="U349">
        <v>2.8070849999999998</v>
      </c>
      <c r="V349">
        <v>2.6014719999999998</v>
      </c>
      <c r="W349">
        <v>2.495441</v>
      </c>
      <c r="X349">
        <f t="shared" si="5"/>
        <v>0.39852800000000022</v>
      </c>
    </row>
    <row r="350" spans="1:24" x14ac:dyDescent="0.45">
      <c r="A350">
        <v>1140</v>
      </c>
      <c r="B350">
        <v>13</v>
      </c>
      <c r="C350">
        <v>3</v>
      </c>
      <c r="D350">
        <v>3</v>
      </c>
      <c r="E350">
        <v>-35</v>
      </c>
      <c r="F350">
        <v>0</v>
      </c>
      <c r="G350">
        <v>15</v>
      </c>
      <c r="H350">
        <v>-3</v>
      </c>
      <c r="I350">
        <v>1</v>
      </c>
      <c r="J350">
        <v>2</v>
      </c>
      <c r="K350">
        <v>2</v>
      </c>
      <c r="L350">
        <v>2</v>
      </c>
      <c r="M350">
        <v>1</v>
      </c>
      <c r="N350">
        <v>2</v>
      </c>
      <c r="O350">
        <v>0.22540153566642501</v>
      </c>
      <c r="P350">
        <v>3.72939244769448</v>
      </c>
      <c r="Q350">
        <v>74.707705263788597</v>
      </c>
      <c r="R350">
        <v>-3</v>
      </c>
      <c r="S350">
        <v>-3</v>
      </c>
      <c r="T350">
        <v>-2.5129079999999999</v>
      </c>
      <c r="U350">
        <v>-1.97644</v>
      </c>
      <c r="V350">
        <v>-2.8422360000000002</v>
      </c>
      <c r="W350">
        <v>-3.4571339999999999</v>
      </c>
      <c r="X350">
        <f t="shared" si="5"/>
        <v>0.15776399999999979</v>
      </c>
    </row>
    <row r="351" spans="1:24" x14ac:dyDescent="0.45">
      <c r="A351">
        <v>1140</v>
      </c>
      <c r="B351">
        <v>14</v>
      </c>
      <c r="C351">
        <v>3</v>
      </c>
      <c r="D351">
        <v>5</v>
      </c>
      <c r="E351">
        <v>-35</v>
      </c>
      <c r="F351">
        <v>0</v>
      </c>
      <c r="G351">
        <v>15</v>
      </c>
      <c r="H351">
        <v>0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0.146112848070336</v>
      </c>
      <c r="P351">
        <v>2.3704439604468002</v>
      </c>
      <c r="Q351">
        <v>76.667080647408</v>
      </c>
      <c r="R351">
        <v>3</v>
      </c>
      <c r="S351">
        <v>3.000197</v>
      </c>
      <c r="T351">
        <v>2.7631939999999999</v>
      </c>
      <c r="U351">
        <v>1.765174</v>
      </c>
      <c r="V351">
        <v>0.37247910000000001</v>
      </c>
      <c r="W351">
        <v>-1.028597</v>
      </c>
      <c r="X351">
        <f t="shared" si="5"/>
        <v>2.6275208999999999</v>
      </c>
    </row>
    <row r="352" spans="1:24" x14ac:dyDescent="0.45">
      <c r="A352">
        <v>1140</v>
      </c>
      <c r="B352">
        <v>15</v>
      </c>
      <c r="C352">
        <v>1</v>
      </c>
      <c r="D352">
        <v>4</v>
      </c>
      <c r="E352">
        <v>-45</v>
      </c>
      <c r="F352">
        <v>0</v>
      </c>
      <c r="G352">
        <v>5</v>
      </c>
      <c r="H352">
        <v>3</v>
      </c>
      <c r="I352">
        <v>-2</v>
      </c>
      <c r="J352">
        <v>1</v>
      </c>
      <c r="K352">
        <v>-1</v>
      </c>
      <c r="L352">
        <v>-2</v>
      </c>
      <c r="M352">
        <v>0</v>
      </c>
      <c r="N352">
        <v>-1</v>
      </c>
      <c r="O352">
        <v>0.153234350360828</v>
      </c>
      <c r="P352">
        <v>3.2983288649334099</v>
      </c>
      <c r="Q352">
        <v>66.169688758074898</v>
      </c>
      <c r="R352">
        <v>3</v>
      </c>
      <c r="S352">
        <v>3</v>
      </c>
      <c r="T352">
        <v>3</v>
      </c>
      <c r="U352">
        <v>2.894936</v>
      </c>
      <c r="V352">
        <v>3.4151039999999999</v>
      </c>
      <c r="W352">
        <v>3.8563149999999999</v>
      </c>
      <c r="X352">
        <f t="shared" si="5"/>
        <v>0.41510399999999992</v>
      </c>
    </row>
    <row r="353" spans="1:24" x14ac:dyDescent="0.45">
      <c r="A353">
        <v>1140</v>
      </c>
      <c r="B353">
        <v>16</v>
      </c>
      <c r="C353">
        <v>2</v>
      </c>
      <c r="D353">
        <v>7</v>
      </c>
      <c r="E353">
        <v>-35</v>
      </c>
      <c r="F353">
        <v>0</v>
      </c>
      <c r="G353">
        <v>15</v>
      </c>
      <c r="H353">
        <v>3</v>
      </c>
      <c r="I353">
        <v>2</v>
      </c>
      <c r="J353">
        <v>1</v>
      </c>
      <c r="K353">
        <v>2</v>
      </c>
      <c r="L353">
        <v>1</v>
      </c>
      <c r="M353">
        <v>2</v>
      </c>
      <c r="N353">
        <v>2</v>
      </c>
      <c r="O353">
        <v>0.101935376736099</v>
      </c>
      <c r="P353">
        <v>2.8002609626797499</v>
      </c>
      <c r="Q353">
        <v>76.809264658616399</v>
      </c>
      <c r="R353">
        <v>3</v>
      </c>
      <c r="S353">
        <v>3</v>
      </c>
      <c r="T353">
        <v>3.823305</v>
      </c>
      <c r="U353">
        <v>3.9953050000000001</v>
      </c>
      <c r="V353">
        <v>4.203684</v>
      </c>
      <c r="W353">
        <v>4.4692959999999999</v>
      </c>
      <c r="X353">
        <f t="shared" si="5"/>
        <v>1.203684</v>
      </c>
    </row>
    <row r="354" spans="1:24" x14ac:dyDescent="0.45">
      <c r="A354">
        <v>1140</v>
      </c>
      <c r="B354">
        <v>17</v>
      </c>
      <c r="C354">
        <v>3</v>
      </c>
      <c r="D354">
        <v>2</v>
      </c>
      <c r="E354">
        <v>-35</v>
      </c>
      <c r="F354">
        <v>-3</v>
      </c>
      <c r="G354">
        <v>15</v>
      </c>
      <c r="H354">
        <v>-3</v>
      </c>
      <c r="I354">
        <v>-1</v>
      </c>
      <c r="J354">
        <v>1</v>
      </c>
      <c r="K354">
        <v>-1</v>
      </c>
      <c r="L354">
        <v>-1</v>
      </c>
      <c r="M354">
        <v>-1</v>
      </c>
      <c r="N354">
        <v>1</v>
      </c>
      <c r="O354">
        <v>0.15604378745898601</v>
      </c>
      <c r="P354">
        <v>3.1509386669541302</v>
      </c>
      <c r="Q354">
        <v>76.356538510694705</v>
      </c>
      <c r="R354">
        <v>-3</v>
      </c>
      <c r="S354">
        <v>-3</v>
      </c>
      <c r="T354">
        <v>-1.9639120000000001</v>
      </c>
      <c r="U354">
        <v>-0.34055429999999998</v>
      </c>
      <c r="V354">
        <v>0.84611860000000005</v>
      </c>
      <c r="W354">
        <v>1.8161989999999999</v>
      </c>
      <c r="X354">
        <f t="shared" si="5"/>
        <v>3.8461186000000001</v>
      </c>
    </row>
    <row r="355" spans="1:24" x14ac:dyDescent="0.45">
      <c r="A355">
        <v>1140</v>
      </c>
      <c r="B355">
        <v>18</v>
      </c>
      <c r="C355">
        <v>2</v>
      </c>
      <c r="D355">
        <v>6</v>
      </c>
      <c r="E355">
        <v>-35</v>
      </c>
      <c r="F355">
        <v>3</v>
      </c>
      <c r="G355">
        <v>15</v>
      </c>
      <c r="H355">
        <v>3</v>
      </c>
      <c r="I355">
        <v>2</v>
      </c>
      <c r="J355">
        <v>1</v>
      </c>
      <c r="K355">
        <v>1</v>
      </c>
      <c r="L355">
        <v>2</v>
      </c>
      <c r="M355">
        <v>2</v>
      </c>
      <c r="N355">
        <v>1</v>
      </c>
      <c r="O355">
        <v>0.15510661325212599</v>
      </c>
      <c r="P355">
        <v>3.9323614365227302</v>
      </c>
      <c r="Q355">
        <v>76.373312223345707</v>
      </c>
      <c r="R355">
        <v>0</v>
      </c>
      <c r="S355">
        <v>0</v>
      </c>
      <c r="T355">
        <v>3.8218140000000002E-3</v>
      </c>
      <c r="U355">
        <v>1.936177</v>
      </c>
      <c r="V355">
        <v>3.2333850000000002</v>
      </c>
      <c r="W355">
        <v>3.7133219999999998</v>
      </c>
      <c r="X355">
        <f t="shared" si="5"/>
        <v>3.2333850000000002</v>
      </c>
    </row>
    <row r="356" spans="1:24" x14ac:dyDescent="0.45">
      <c r="A356">
        <v>1140</v>
      </c>
      <c r="B356">
        <v>19</v>
      </c>
      <c r="C356">
        <v>1</v>
      </c>
      <c r="D356">
        <v>1</v>
      </c>
      <c r="E356">
        <v>-35</v>
      </c>
      <c r="F356">
        <v>0</v>
      </c>
      <c r="G356">
        <v>15</v>
      </c>
      <c r="H356">
        <v>0</v>
      </c>
      <c r="I356">
        <v>-1</v>
      </c>
      <c r="J356">
        <v>1</v>
      </c>
      <c r="K356">
        <v>-1</v>
      </c>
      <c r="L356">
        <v>-1</v>
      </c>
      <c r="M356">
        <v>1</v>
      </c>
      <c r="N356">
        <v>1</v>
      </c>
      <c r="O356">
        <v>0.162345544524089</v>
      </c>
      <c r="P356">
        <v>3.6350516723008899</v>
      </c>
      <c r="Q356">
        <v>76.105820242799496</v>
      </c>
      <c r="R356">
        <v>0</v>
      </c>
      <c r="S356">
        <v>0</v>
      </c>
      <c r="T356">
        <v>-0.55190309999999998</v>
      </c>
      <c r="U356">
        <v>-2.1921949999999999</v>
      </c>
      <c r="V356">
        <v>-3.3047599999999999</v>
      </c>
      <c r="W356">
        <v>-3.7138870000000002</v>
      </c>
      <c r="X356">
        <f t="shared" si="5"/>
        <v>3.3047599999999999</v>
      </c>
    </row>
    <row r="357" spans="1:24" x14ac:dyDescent="0.45">
      <c r="A357">
        <v>1140</v>
      </c>
      <c r="B357">
        <v>20</v>
      </c>
      <c r="C357">
        <v>1</v>
      </c>
      <c r="D357">
        <v>8</v>
      </c>
      <c r="E357">
        <v>-45</v>
      </c>
      <c r="F357">
        <v>0</v>
      </c>
      <c r="G357">
        <v>5</v>
      </c>
      <c r="H357">
        <v>-3</v>
      </c>
      <c r="I357">
        <v>-2</v>
      </c>
      <c r="J357">
        <v>2</v>
      </c>
      <c r="K357">
        <v>-2</v>
      </c>
      <c r="L357">
        <v>-2</v>
      </c>
      <c r="M357">
        <v>-1</v>
      </c>
      <c r="N357">
        <v>-1</v>
      </c>
      <c r="O357">
        <v>0.21589702847379399</v>
      </c>
      <c r="P357">
        <v>5.0105683813305903</v>
      </c>
      <c r="Q357">
        <v>67.159309880110897</v>
      </c>
      <c r="R357">
        <v>-3</v>
      </c>
      <c r="S357">
        <v>-3</v>
      </c>
      <c r="T357">
        <v>-2.6156229999999998</v>
      </c>
      <c r="U357">
        <v>-0.98469669999999998</v>
      </c>
      <c r="V357">
        <v>1.083369</v>
      </c>
      <c r="W357">
        <v>2.7959399999999999</v>
      </c>
      <c r="X357">
        <f t="shared" si="5"/>
        <v>4.0833690000000002</v>
      </c>
    </row>
    <row r="358" spans="1:24" x14ac:dyDescent="0.45">
      <c r="A358">
        <v>1140</v>
      </c>
      <c r="B358">
        <v>21</v>
      </c>
      <c r="C358">
        <v>2</v>
      </c>
      <c r="D358">
        <v>2</v>
      </c>
      <c r="E358">
        <v>-35</v>
      </c>
      <c r="F358">
        <v>-3</v>
      </c>
      <c r="G358">
        <v>15</v>
      </c>
      <c r="H358">
        <v>-3</v>
      </c>
      <c r="I358">
        <v>1</v>
      </c>
      <c r="J358">
        <v>2</v>
      </c>
      <c r="K358">
        <v>-2</v>
      </c>
      <c r="L358">
        <v>1</v>
      </c>
      <c r="M358">
        <v>2</v>
      </c>
      <c r="N358">
        <v>1</v>
      </c>
      <c r="O358">
        <v>0.120235383381704</v>
      </c>
      <c r="P358">
        <v>3.5167810072795</v>
      </c>
      <c r="Q358">
        <v>79.095490250685202</v>
      </c>
      <c r="R358">
        <v>-3</v>
      </c>
      <c r="S358">
        <v>-3</v>
      </c>
      <c r="T358">
        <v>-1.836338</v>
      </c>
      <c r="U358">
        <v>-0.1169106</v>
      </c>
      <c r="V358">
        <v>1.174936</v>
      </c>
      <c r="W358">
        <v>2.2232029999999998</v>
      </c>
      <c r="X358">
        <f t="shared" si="5"/>
        <v>4.1749359999999998</v>
      </c>
    </row>
    <row r="359" spans="1:24" x14ac:dyDescent="0.45">
      <c r="A359">
        <v>1140</v>
      </c>
      <c r="B359">
        <v>22</v>
      </c>
      <c r="C359">
        <v>3</v>
      </c>
      <c r="D359">
        <v>7</v>
      </c>
      <c r="E359">
        <v>-35</v>
      </c>
      <c r="F359">
        <v>0</v>
      </c>
      <c r="G359">
        <v>15</v>
      </c>
      <c r="H359">
        <v>3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0.16862537743955699</v>
      </c>
      <c r="P359">
        <v>3.2673420974118299</v>
      </c>
      <c r="Q359">
        <v>75.860138840718307</v>
      </c>
      <c r="R359">
        <v>3</v>
      </c>
      <c r="S359">
        <v>3</v>
      </c>
      <c r="T359">
        <v>3.6907420000000002</v>
      </c>
      <c r="U359">
        <v>4.3259720000000002</v>
      </c>
      <c r="V359">
        <v>4.4993489999999996</v>
      </c>
      <c r="W359">
        <v>4.499371</v>
      </c>
      <c r="X359">
        <f t="shared" si="5"/>
        <v>1.4993489999999996</v>
      </c>
    </row>
    <row r="360" spans="1:24" x14ac:dyDescent="0.45">
      <c r="A360">
        <v>1140</v>
      </c>
      <c r="B360">
        <v>23</v>
      </c>
      <c r="C360">
        <v>2</v>
      </c>
      <c r="D360">
        <v>4</v>
      </c>
      <c r="E360">
        <v>-45</v>
      </c>
      <c r="F360">
        <v>0</v>
      </c>
      <c r="G360">
        <v>5</v>
      </c>
      <c r="H360">
        <v>3</v>
      </c>
      <c r="I360">
        <v>2</v>
      </c>
      <c r="J360">
        <v>2</v>
      </c>
      <c r="K360">
        <v>2</v>
      </c>
      <c r="L360">
        <v>1</v>
      </c>
      <c r="M360">
        <v>2</v>
      </c>
      <c r="N360">
        <v>1</v>
      </c>
      <c r="O360">
        <v>0.12657864566786201</v>
      </c>
      <c r="P360">
        <v>3.8621825816022102</v>
      </c>
      <c r="Q360">
        <v>68.626415887502603</v>
      </c>
      <c r="R360">
        <v>3</v>
      </c>
      <c r="S360">
        <v>3</v>
      </c>
      <c r="T360">
        <v>3.0137299999999998</v>
      </c>
      <c r="U360">
        <v>1.914283</v>
      </c>
      <c r="V360">
        <v>2.3053290000000001E-2</v>
      </c>
      <c r="W360">
        <v>-2.03939</v>
      </c>
      <c r="X360">
        <f t="shared" si="5"/>
        <v>2.97694671</v>
      </c>
    </row>
    <row r="361" spans="1:24" x14ac:dyDescent="0.45">
      <c r="A361">
        <v>1140</v>
      </c>
      <c r="B361">
        <v>24</v>
      </c>
      <c r="C361">
        <v>1</v>
      </c>
      <c r="D361">
        <v>5</v>
      </c>
      <c r="E361">
        <v>-35</v>
      </c>
      <c r="F361">
        <v>0</v>
      </c>
      <c r="G361">
        <v>15</v>
      </c>
      <c r="H361">
        <v>0</v>
      </c>
      <c r="I361">
        <v>1</v>
      </c>
      <c r="J361">
        <v>2</v>
      </c>
      <c r="K361">
        <v>-1</v>
      </c>
      <c r="L361">
        <v>1</v>
      </c>
      <c r="M361">
        <v>1</v>
      </c>
      <c r="N361">
        <v>1</v>
      </c>
      <c r="O361">
        <v>0.13872664007934399</v>
      </c>
      <c r="P361">
        <v>4.1847981927076798</v>
      </c>
      <c r="Q361">
        <v>78.595677930323305</v>
      </c>
      <c r="R361">
        <v>3</v>
      </c>
      <c r="S361">
        <v>3</v>
      </c>
      <c r="T361">
        <v>1.3757429999999999</v>
      </c>
      <c r="U361">
        <v>7.5422279999999994E-2</v>
      </c>
      <c r="V361">
        <v>-1.1637900000000001</v>
      </c>
      <c r="W361">
        <v>-2.254041</v>
      </c>
      <c r="X361">
        <f t="shared" si="5"/>
        <v>4.1637900000000005</v>
      </c>
    </row>
    <row r="362" spans="1:24" x14ac:dyDescent="0.45">
      <c r="A362">
        <v>1150</v>
      </c>
      <c r="B362">
        <v>1</v>
      </c>
      <c r="C362">
        <v>1</v>
      </c>
      <c r="D362">
        <v>5</v>
      </c>
      <c r="E362">
        <v>-35</v>
      </c>
      <c r="F362">
        <v>0</v>
      </c>
      <c r="G362">
        <v>15</v>
      </c>
      <c r="H362">
        <v>0</v>
      </c>
      <c r="I362">
        <v>-2</v>
      </c>
      <c r="J362">
        <v>2</v>
      </c>
      <c r="K362">
        <v>2</v>
      </c>
      <c r="L362">
        <v>-2</v>
      </c>
      <c r="M362">
        <v>-2</v>
      </c>
      <c r="N362">
        <v>-2</v>
      </c>
      <c r="O362">
        <v>0.22031842896472401</v>
      </c>
      <c r="P362">
        <v>7.4790925060851103</v>
      </c>
      <c r="Q362">
        <v>77.302247446761797</v>
      </c>
      <c r="R362">
        <v>3</v>
      </c>
      <c r="S362">
        <v>3</v>
      </c>
      <c r="T362">
        <v>3</v>
      </c>
      <c r="U362">
        <v>3</v>
      </c>
      <c r="V362">
        <v>3.1224989999999999</v>
      </c>
      <c r="W362">
        <v>3.0380039999999999</v>
      </c>
      <c r="X362">
        <f t="shared" si="5"/>
        <v>0.12249899999999991</v>
      </c>
    </row>
    <row r="363" spans="1:24" x14ac:dyDescent="0.45">
      <c r="A363">
        <v>1150</v>
      </c>
      <c r="B363">
        <v>2</v>
      </c>
      <c r="C363">
        <v>2</v>
      </c>
      <c r="D363">
        <v>4</v>
      </c>
      <c r="E363">
        <v>-45</v>
      </c>
      <c r="F363">
        <v>0</v>
      </c>
      <c r="G363">
        <v>5</v>
      </c>
      <c r="H363">
        <v>3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0.185583626410845</v>
      </c>
      <c r="P363">
        <v>9.9694463500698394</v>
      </c>
      <c r="Q363">
        <v>66.219043143256002</v>
      </c>
      <c r="R363">
        <v>3</v>
      </c>
      <c r="S363">
        <v>3</v>
      </c>
      <c r="T363">
        <v>2.8457970000000001</v>
      </c>
      <c r="U363">
        <v>2.7269999999999999</v>
      </c>
      <c r="V363">
        <v>2.6811419999999999</v>
      </c>
      <c r="W363">
        <v>2.4397419999999999</v>
      </c>
      <c r="X363">
        <f t="shared" si="5"/>
        <v>0.31885800000000009</v>
      </c>
    </row>
    <row r="364" spans="1:24" x14ac:dyDescent="0.45">
      <c r="A364">
        <v>1150</v>
      </c>
      <c r="B364">
        <v>3</v>
      </c>
      <c r="C364">
        <v>3</v>
      </c>
      <c r="D364">
        <v>7</v>
      </c>
      <c r="E364">
        <v>-35</v>
      </c>
      <c r="F364">
        <v>0</v>
      </c>
      <c r="G364">
        <v>15</v>
      </c>
      <c r="H364">
        <v>3</v>
      </c>
      <c r="I364">
        <v>2</v>
      </c>
      <c r="J364">
        <v>-2</v>
      </c>
      <c r="K364">
        <v>2</v>
      </c>
      <c r="L364">
        <v>2</v>
      </c>
      <c r="M364">
        <v>2</v>
      </c>
      <c r="N364">
        <v>1</v>
      </c>
      <c r="O364">
        <v>0.150544258953141</v>
      </c>
      <c r="P364">
        <v>2.5494782714914299</v>
      </c>
      <c r="Q364">
        <v>76.433809710307699</v>
      </c>
      <c r="R364">
        <v>3</v>
      </c>
      <c r="S364">
        <v>3</v>
      </c>
      <c r="T364">
        <v>2.8697319999999999</v>
      </c>
      <c r="U364">
        <v>2.9053580000000001</v>
      </c>
      <c r="V364">
        <v>2.9640970000000002</v>
      </c>
      <c r="W364">
        <v>2.940553</v>
      </c>
      <c r="X364">
        <f t="shared" si="5"/>
        <v>3.5902999999999796E-2</v>
      </c>
    </row>
    <row r="365" spans="1:24" x14ac:dyDescent="0.45">
      <c r="A365">
        <v>1150</v>
      </c>
      <c r="B365">
        <v>4</v>
      </c>
      <c r="C365">
        <v>2</v>
      </c>
      <c r="D365">
        <v>2</v>
      </c>
      <c r="E365">
        <v>-35</v>
      </c>
      <c r="F365">
        <v>-3</v>
      </c>
      <c r="G365">
        <v>15</v>
      </c>
      <c r="H365">
        <v>-3</v>
      </c>
      <c r="I365">
        <v>2</v>
      </c>
      <c r="J365">
        <v>2</v>
      </c>
      <c r="K365">
        <v>2</v>
      </c>
      <c r="L365">
        <v>2</v>
      </c>
      <c r="M365">
        <v>1</v>
      </c>
      <c r="N365">
        <v>1</v>
      </c>
      <c r="O365">
        <v>0.154038676630358</v>
      </c>
      <c r="P365">
        <v>6.5027111369132404</v>
      </c>
      <c r="Q365">
        <v>75.529614111429296</v>
      </c>
      <c r="R365">
        <v>-3</v>
      </c>
      <c r="S365">
        <v>-3</v>
      </c>
      <c r="T365">
        <v>-3.172507</v>
      </c>
      <c r="U365">
        <v>-3.1768519999999998</v>
      </c>
      <c r="V365">
        <v>-3.199144</v>
      </c>
      <c r="W365">
        <v>-3.2405379999999999</v>
      </c>
      <c r="X365">
        <f t="shared" si="5"/>
        <v>0.19914399999999999</v>
      </c>
    </row>
    <row r="366" spans="1:24" x14ac:dyDescent="0.45">
      <c r="A366">
        <v>1150</v>
      </c>
      <c r="B366">
        <v>5</v>
      </c>
      <c r="C366">
        <v>1</v>
      </c>
      <c r="D366">
        <v>8</v>
      </c>
      <c r="E366">
        <v>-45</v>
      </c>
      <c r="F366">
        <v>0</v>
      </c>
      <c r="G366">
        <v>5</v>
      </c>
      <c r="H366">
        <v>-3</v>
      </c>
      <c r="I366">
        <v>-2</v>
      </c>
      <c r="J366">
        <v>2</v>
      </c>
      <c r="K366">
        <v>-2</v>
      </c>
      <c r="L366">
        <v>-1</v>
      </c>
      <c r="M366">
        <v>-1</v>
      </c>
      <c r="N366">
        <v>-1</v>
      </c>
      <c r="O366">
        <v>0.184036065480502</v>
      </c>
      <c r="P366">
        <v>8.7857917015378408</v>
      </c>
      <c r="Q366">
        <v>66.129251138206598</v>
      </c>
      <c r="R366">
        <v>-3</v>
      </c>
      <c r="S366">
        <v>-3</v>
      </c>
      <c r="T366">
        <v>-2.5560700000000001</v>
      </c>
      <c r="U366">
        <v>-1.69021</v>
      </c>
      <c r="V366">
        <v>-0.79338529999999996</v>
      </c>
      <c r="W366">
        <v>0.23831640000000001</v>
      </c>
      <c r="X366">
        <f t="shared" si="5"/>
        <v>2.2066147000000003</v>
      </c>
    </row>
    <row r="367" spans="1:24" x14ac:dyDescent="0.45">
      <c r="A367">
        <v>1150</v>
      </c>
      <c r="B367">
        <v>6</v>
      </c>
      <c r="C367">
        <v>1</v>
      </c>
      <c r="D367">
        <v>1</v>
      </c>
      <c r="E367">
        <v>-35</v>
      </c>
      <c r="F367">
        <v>0</v>
      </c>
      <c r="G367">
        <v>15</v>
      </c>
      <c r="H367">
        <v>0</v>
      </c>
      <c r="I367">
        <v>-1</v>
      </c>
      <c r="J367">
        <v>1</v>
      </c>
      <c r="K367">
        <v>-1</v>
      </c>
      <c r="L367">
        <v>0</v>
      </c>
      <c r="M367">
        <v>0</v>
      </c>
      <c r="N367">
        <v>0</v>
      </c>
      <c r="O367">
        <v>0.17463963747647801</v>
      </c>
      <c r="P367">
        <v>3.2654297149113698</v>
      </c>
      <c r="Q367">
        <v>75.3364291172187</v>
      </c>
      <c r="R367">
        <v>0</v>
      </c>
      <c r="S367">
        <v>0</v>
      </c>
      <c r="T367">
        <v>-0.70252510000000001</v>
      </c>
      <c r="U367">
        <v>-1.2550889999999999</v>
      </c>
      <c r="V367">
        <v>-2.0610110000000001</v>
      </c>
      <c r="W367">
        <v>-2.716107</v>
      </c>
      <c r="X367">
        <f t="shared" si="5"/>
        <v>2.0610110000000001</v>
      </c>
    </row>
    <row r="368" spans="1:24" x14ac:dyDescent="0.45">
      <c r="A368">
        <v>1150</v>
      </c>
      <c r="B368">
        <v>7</v>
      </c>
      <c r="C368">
        <v>2</v>
      </c>
      <c r="D368">
        <v>6</v>
      </c>
      <c r="E368">
        <v>-35</v>
      </c>
      <c r="F368">
        <v>3</v>
      </c>
      <c r="G368">
        <v>15</v>
      </c>
      <c r="H368">
        <v>3</v>
      </c>
      <c r="I368">
        <v>-2</v>
      </c>
      <c r="J368">
        <v>1</v>
      </c>
      <c r="K368">
        <v>2</v>
      </c>
      <c r="L368">
        <v>-2</v>
      </c>
      <c r="M368">
        <v>-2</v>
      </c>
      <c r="N368">
        <v>-2</v>
      </c>
      <c r="O368">
        <v>0.16484398526589999</v>
      </c>
      <c r="P368">
        <v>5.4479738241128004</v>
      </c>
      <c r="Q368">
        <v>76.409228639831696</v>
      </c>
      <c r="R368">
        <v>0</v>
      </c>
      <c r="S368">
        <v>0</v>
      </c>
      <c r="T368">
        <v>0</v>
      </c>
      <c r="U368">
        <v>-9.0532269999999998E-2</v>
      </c>
      <c r="V368">
        <v>0.77342109999999997</v>
      </c>
      <c r="W368">
        <v>1.5120690000000001</v>
      </c>
      <c r="X368">
        <f t="shared" si="5"/>
        <v>0.77342109999999997</v>
      </c>
    </row>
    <row r="369" spans="1:24" x14ac:dyDescent="0.45">
      <c r="A369">
        <v>1150</v>
      </c>
      <c r="B369">
        <v>8</v>
      </c>
      <c r="C369">
        <v>3</v>
      </c>
      <c r="D369">
        <v>2</v>
      </c>
      <c r="E369">
        <v>-35</v>
      </c>
      <c r="F369">
        <v>-3</v>
      </c>
      <c r="G369">
        <v>15</v>
      </c>
      <c r="H369">
        <v>-3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0.140093639583003</v>
      </c>
      <c r="P369">
        <v>2.2721930398221701</v>
      </c>
      <c r="Q369">
        <v>76.459736303208203</v>
      </c>
      <c r="R369">
        <v>-3</v>
      </c>
      <c r="S369">
        <v>-2.9767890000000001</v>
      </c>
      <c r="T369">
        <v>-3.0143909999999998</v>
      </c>
      <c r="U369">
        <v>-2.9387560000000001</v>
      </c>
      <c r="V369">
        <v>-2.877742</v>
      </c>
      <c r="W369">
        <v>-3.052756</v>
      </c>
      <c r="X369">
        <f t="shared" si="5"/>
        <v>0.12225799999999998</v>
      </c>
    </row>
    <row r="370" spans="1:24" x14ac:dyDescent="0.45">
      <c r="A370">
        <v>1150</v>
      </c>
      <c r="B370">
        <v>9</v>
      </c>
      <c r="C370">
        <v>2</v>
      </c>
      <c r="D370">
        <v>7</v>
      </c>
      <c r="E370">
        <v>-35</v>
      </c>
      <c r="F370">
        <v>0</v>
      </c>
      <c r="G370">
        <v>15</v>
      </c>
      <c r="H370">
        <v>3</v>
      </c>
      <c r="I370">
        <v>-2</v>
      </c>
      <c r="J370">
        <v>1</v>
      </c>
      <c r="K370">
        <v>1</v>
      </c>
      <c r="L370">
        <v>-1</v>
      </c>
      <c r="M370">
        <v>-1</v>
      </c>
      <c r="N370">
        <v>-1</v>
      </c>
      <c r="O370">
        <v>0.148345151128639</v>
      </c>
      <c r="P370">
        <v>3.2774386894255598</v>
      </c>
      <c r="Q370">
        <v>75.489755615693298</v>
      </c>
      <c r="R370">
        <v>3</v>
      </c>
      <c r="S370">
        <v>2.9991319999999999</v>
      </c>
      <c r="T370">
        <v>2.9491170000000002</v>
      </c>
      <c r="U370">
        <v>3.1407400000000001</v>
      </c>
      <c r="V370">
        <v>3.2653979999999998</v>
      </c>
      <c r="W370">
        <v>3.1979639999999998</v>
      </c>
      <c r="X370">
        <f t="shared" si="5"/>
        <v>0.2653979999999998</v>
      </c>
    </row>
    <row r="371" spans="1:24" x14ac:dyDescent="0.45">
      <c r="A371">
        <v>1150</v>
      </c>
      <c r="B371">
        <v>10</v>
      </c>
      <c r="C371">
        <v>1</v>
      </c>
      <c r="D371">
        <v>4</v>
      </c>
      <c r="E371">
        <v>-45</v>
      </c>
      <c r="F371">
        <v>0</v>
      </c>
      <c r="G371">
        <v>5</v>
      </c>
      <c r="H371">
        <v>3</v>
      </c>
      <c r="I371">
        <v>-1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0.146015575609001</v>
      </c>
      <c r="P371">
        <v>4.1215897231564202</v>
      </c>
      <c r="Q371">
        <v>66.865709980071699</v>
      </c>
      <c r="R371">
        <v>3</v>
      </c>
      <c r="S371">
        <v>3</v>
      </c>
      <c r="T371">
        <v>2.0997590000000002</v>
      </c>
      <c r="U371">
        <v>1.210067</v>
      </c>
      <c r="V371">
        <v>0.43414199999999997</v>
      </c>
      <c r="W371">
        <v>-0.75044040000000001</v>
      </c>
      <c r="X371">
        <f t="shared" si="5"/>
        <v>2.565858</v>
      </c>
    </row>
    <row r="372" spans="1:24" x14ac:dyDescent="0.45">
      <c r="A372">
        <v>1150</v>
      </c>
      <c r="B372">
        <v>11</v>
      </c>
      <c r="C372">
        <v>3</v>
      </c>
      <c r="D372">
        <v>5</v>
      </c>
      <c r="E372">
        <v>-35</v>
      </c>
      <c r="F372">
        <v>0</v>
      </c>
      <c r="G372">
        <v>15</v>
      </c>
      <c r="H372">
        <v>0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0.152566066706847</v>
      </c>
      <c r="P372">
        <v>2.5593397789034298</v>
      </c>
      <c r="Q372">
        <v>75.473687206809302</v>
      </c>
      <c r="R372">
        <v>3</v>
      </c>
      <c r="S372">
        <v>2.9802520000000001</v>
      </c>
      <c r="T372">
        <v>2.651357</v>
      </c>
      <c r="U372">
        <v>2.7221009999999999</v>
      </c>
      <c r="V372">
        <v>2.8321369999999999</v>
      </c>
      <c r="W372">
        <v>2.9027790000000002</v>
      </c>
      <c r="X372">
        <f t="shared" si="5"/>
        <v>0.1678630000000001</v>
      </c>
    </row>
    <row r="373" spans="1:24" x14ac:dyDescent="0.45">
      <c r="A373">
        <v>1150</v>
      </c>
      <c r="B373">
        <v>12</v>
      </c>
      <c r="C373">
        <v>3</v>
      </c>
      <c r="D373">
        <v>3</v>
      </c>
      <c r="E373">
        <v>-35</v>
      </c>
      <c r="F373">
        <v>0</v>
      </c>
      <c r="G373">
        <v>15</v>
      </c>
      <c r="H373">
        <v>-3</v>
      </c>
      <c r="I373">
        <v>1</v>
      </c>
      <c r="J373">
        <v>-1</v>
      </c>
      <c r="K373">
        <v>2</v>
      </c>
      <c r="L373">
        <v>2</v>
      </c>
      <c r="M373">
        <v>2</v>
      </c>
      <c r="N373">
        <v>1</v>
      </c>
      <c r="O373">
        <v>0.15275387457092801</v>
      </c>
      <c r="P373">
        <v>1.6701122935750901</v>
      </c>
      <c r="Q373">
        <v>75.1122169596037</v>
      </c>
      <c r="R373">
        <v>-3</v>
      </c>
      <c r="S373">
        <v>-3</v>
      </c>
      <c r="T373">
        <v>-3.25332</v>
      </c>
      <c r="U373">
        <v>-3.0699900000000002</v>
      </c>
      <c r="V373">
        <v>-3.0388989999999998</v>
      </c>
      <c r="W373">
        <v>-3.1355189999999999</v>
      </c>
      <c r="X373">
        <f t="shared" si="5"/>
        <v>3.8898999999999795E-2</v>
      </c>
    </row>
    <row r="374" spans="1:24" x14ac:dyDescent="0.45">
      <c r="A374">
        <v>1150</v>
      </c>
      <c r="B374">
        <v>13</v>
      </c>
      <c r="C374">
        <v>1</v>
      </c>
      <c r="D374">
        <v>7</v>
      </c>
      <c r="E374">
        <v>-35</v>
      </c>
      <c r="F374">
        <v>0</v>
      </c>
      <c r="G374">
        <v>15</v>
      </c>
      <c r="H374">
        <v>3</v>
      </c>
      <c r="I374">
        <v>0</v>
      </c>
      <c r="J374">
        <v>-2</v>
      </c>
      <c r="K374">
        <v>-2</v>
      </c>
      <c r="L374">
        <v>2</v>
      </c>
      <c r="M374">
        <v>2</v>
      </c>
      <c r="N374">
        <v>1</v>
      </c>
      <c r="O374">
        <v>0.12537071597917901</v>
      </c>
      <c r="P374">
        <v>2.8912302443926099</v>
      </c>
      <c r="Q374">
        <v>76.857564405410997</v>
      </c>
      <c r="R374">
        <v>3</v>
      </c>
      <c r="S374">
        <v>3</v>
      </c>
      <c r="T374">
        <v>2.91499</v>
      </c>
      <c r="U374">
        <v>3.1715080000000002</v>
      </c>
      <c r="V374">
        <v>3.2324769999999998</v>
      </c>
      <c r="W374">
        <v>3.0732349999999999</v>
      </c>
      <c r="X374">
        <f t="shared" si="5"/>
        <v>0.23247699999999982</v>
      </c>
    </row>
    <row r="375" spans="1:24" x14ac:dyDescent="0.45">
      <c r="A375">
        <v>1150</v>
      </c>
      <c r="B375">
        <v>14</v>
      </c>
      <c r="C375">
        <v>3</v>
      </c>
      <c r="D375">
        <v>1</v>
      </c>
      <c r="E375">
        <v>-35</v>
      </c>
      <c r="F375">
        <v>0</v>
      </c>
      <c r="G375">
        <v>15</v>
      </c>
      <c r="H375">
        <v>0</v>
      </c>
      <c r="I375">
        <v>2</v>
      </c>
      <c r="J375">
        <v>-2</v>
      </c>
      <c r="K375">
        <v>2</v>
      </c>
      <c r="L375">
        <v>2</v>
      </c>
      <c r="M375">
        <v>2</v>
      </c>
      <c r="N375">
        <v>1</v>
      </c>
      <c r="O375">
        <v>0.14036110968500301</v>
      </c>
      <c r="P375">
        <v>3.0221124568243698</v>
      </c>
      <c r="Q375">
        <v>76.124659316077796</v>
      </c>
      <c r="R375">
        <v>0</v>
      </c>
      <c r="S375">
        <v>-1.0274399999999999E-3</v>
      </c>
      <c r="T375">
        <v>-0.56715040000000005</v>
      </c>
      <c r="U375">
        <v>-1.225635</v>
      </c>
      <c r="V375">
        <v>-1.951916</v>
      </c>
      <c r="W375">
        <v>-2.110306</v>
      </c>
      <c r="X375">
        <f t="shared" si="5"/>
        <v>1.951916</v>
      </c>
    </row>
    <row r="376" spans="1:24" x14ac:dyDescent="0.45">
      <c r="A376">
        <v>1150</v>
      </c>
      <c r="B376">
        <v>15</v>
      </c>
      <c r="C376">
        <v>2</v>
      </c>
      <c r="D376">
        <v>8</v>
      </c>
      <c r="E376">
        <v>-45</v>
      </c>
      <c r="F376">
        <v>0</v>
      </c>
      <c r="G376">
        <v>5</v>
      </c>
      <c r="H376">
        <v>-3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0.15026129483596401</v>
      </c>
      <c r="P376">
        <v>2.9291099118224002</v>
      </c>
      <c r="Q376">
        <v>66.895613266428796</v>
      </c>
      <c r="R376">
        <v>-3</v>
      </c>
      <c r="S376">
        <v>-2.8602470000000002</v>
      </c>
      <c r="T376">
        <v>-1.790297</v>
      </c>
      <c r="U376">
        <v>-0.77400429999999998</v>
      </c>
      <c r="V376">
        <v>0.22925970000000001</v>
      </c>
      <c r="W376">
        <v>1.3467</v>
      </c>
      <c r="X376">
        <f t="shared" si="5"/>
        <v>3.2292597000000001</v>
      </c>
    </row>
    <row r="377" spans="1:24" x14ac:dyDescent="0.45">
      <c r="A377">
        <v>1150</v>
      </c>
      <c r="B377">
        <v>16</v>
      </c>
      <c r="C377">
        <v>2</v>
      </c>
      <c r="D377">
        <v>3</v>
      </c>
      <c r="E377">
        <v>-35</v>
      </c>
      <c r="F377">
        <v>0</v>
      </c>
      <c r="G377">
        <v>15</v>
      </c>
      <c r="H377">
        <v>-3</v>
      </c>
      <c r="I377">
        <v>-1</v>
      </c>
      <c r="J377">
        <v>1</v>
      </c>
      <c r="K377">
        <v>2</v>
      </c>
      <c r="L377">
        <v>-1</v>
      </c>
      <c r="M377">
        <v>-1</v>
      </c>
      <c r="N377">
        <v>-1</v>
      </c>
      <c r="O377">
        <v>0.16785668702974799</v>
      </c>
      <c r="P377">
        <v>3.1776662052303402</v>
      </c>
      <c r="Q377">
        <v>76.211388742115801</v>
      </c>
      <c r="R377">
        <v>-3</v>
      </c>
      <c r="S377">
        <v>-2.9961829999999998</v>
      </c>
      <c r="T377">
        <v>-3.211894</v>
      </c>
      <c r="U377">
        <v>-3.1060850000000002</v>
      </c>
      <c r="V377">
        <v>-3.0950880000000001</v>
      </c>
      <c r="W377">
        <v>-3.0537320000000001</v>
      </c>
      <c r="X377">
        <f t="shared" si="5"/>
        <v>9.5088000000000061E-2</v>
      </c>
    </row>
    <row r="378" spans="1:24" x14ac:dyDescent="0.45">
      <c r="A378">
        <v>1150</v>
      </c>
      <c r="B378">
        <v>17</v>
      </c>
      <c r="C378">
        <v>3</v>
      </c>
      <c r="D378">
        <v>6</v>
      </c>
      <c r="E378">
        <v>-35</v>
      </c>
      <c r="F378">
        <v>3</v>
      </c>
      <c r="G378">
        <v>15</v>
      </c>
      <c r="H378">
        <v>3</v>
      </c>
      <c r="I378">
        <v>2</v>
      </c>
      <c r="J378">
        <v>-1</v>
      </c>
      <c r="K378">
        <v>2</v>
      </c>
      <c r="L378">
        <v>2</v>
      </c>
      <c r="M378">
        <v>2</v>
      </c>
      <c r="N378">
        <v>1</v>
      </c>
      <c r="O378">
        <v>0.12656128524695601</v>
      </c>
      <c r="P378">
        <v>1.6687824651827501</v>
      </c>
      <c r="Q378">
        <v>75.737691017415301</v>
      </c>
      <c r="R378">
        <v>0</v>
      </c>
      <c r="S378">
        <v>0</v>
      </c>
      <c r="T378">
        <v>0.61038269999999994</v>
      </c>
      <c r="U378">
        <v>1.2239199999999999</v>
      </c>
      <c r="V378">
        <v>1.8951260000000001</v>
      </c>
      <c r="W378">
        <v>2.519212</v>
      </c>
      <c r="X378">
        <f t="shared" si="5"/>
        <v>1.8951260000000001</v>
      </c>
    </row>
    <row r="379" spans="1:24" x14ac:dyDescent="0.45">
      <c r="A379">
        <v>1150</v>
      </c>
      <c r="B379">
        <v>18</v>
      </c>
      <c r="C379">
        <v>1</v>
      </c>
      <c r="D379">
        <v>2</v>
      </c>
      <c r="E379">
        <v>-35</v>
      </c>
      <c r="F379">
        <v>-3</v>
      </c>
      <c r="G379">
        <v>15</v>
      </c>
      <c r="H379">
        <v>-3</v>
      </c>
      <c r="I379">
        <v>-2</v>
      </c>
      <c r="J379">
        <v>2</v>
      </c>
      <c r="K379">
        <v>2</v>
      </c>
      <c r="L379">
        <v>-2</v>
      </c>
      <c r="M379">
        <v>-2</v>
      </c>
      <c r="N379">
        <v>-2</v>
      </c>
      <c r="O379">
        <v>0.41058489762572897</v>
      </c>
      <c r="P379">
        <v>10.430554148285401</v>
      </c>
      <c r="Q379">
        <v>41.555999305191797</v>
      </c>
      <c r="R379">
        <v>-3</v>
      </c>
      <c r="S379">
        <v>-2.9894919999999998</v>
      </c>
      <c r="T379">
        <v>-2.936337</v>
      </c>
      <c r="U379">
        <v>-2.9335239999999998</v>
      </c>
      <c r="V379">
        <v>-2.912369</v>
      </c>
      <c r="W379">
        <v>-2.894012</v>
      </c>
      <c r="X379">
        <f t="shared" si="5"/>
        <v>8.7631000000000014E-2</v>
      </c>
    </row>
    <row r="380" spans="1:24" x14ac:dyDescent="0.45">
      <c r="A380">
        <v>1150</v>
      </c>
      <c r="B380">
        <v>19</v>
      </c>
      <c r="C380">
        <v>2</v>
      </c>
      <c r="D380">
        <v>5</v>
      </c>
      <c r="E380">
        <v>-35</v>
      </c>
      <c r="F380">
        <v>0</v>
      </c>
      <c r="G380">
        <v>15</v>
      </c>
      <c r="H380">
        <v>0</v>
      </c>
      <c r="I380">
        <v>2</v>
      </c>
      <c r="J380">
        <v>1</v>
      </c>
      <c r="K380">
        <v>2</v>
      </c>
      <c r="L380">
        <v>2</v>
      </c>
      <c r="M380">
        <v>2</v>
      </c>
      <c r="N380">
        <v>2</v>
      </c>
      <c r="O380">
        <v>0.18413167090323401</v>
      </c>
      <c r="P380">
        <v>1.6555673053543001</v>
      </c>
      <c r="Q380">
        <v>76.040286696439694</v>
      </c>
      <c r="R380">
        <v>3</v>
      </c>
      <c r="S380">
        <v>2.9825499999999998</v>
      </c>
      <c r="T380">
        <v>3.0612089999999998</v>
      </c>
      <c r="U380">
        <v>3.1383549999999998</v>
      </c>
      <c r="V380">
        <v>3.1357240000000002</v>
      </c>
      <c r="W380">
        <v>3.1978430000000002</v>
      </c>
      <c r="X380">
        <f t="shared" si="5"/>
        <v>0.13572400000000018</v>
      </c>
    </row>
    <row r="381" spans="1:24" x14ac:dyDescent="0.45">
      <c r="A381">
        <v>1150</v>
      </c>
      <c r="B381">
        <v>20</v>
      </c>
      <c r="C381">
        <v>3</v>
      </c>
      <c r="D381">
        <v>4</v>
      </c>
      <c r="E381">
        <v>-45</v>
      </c>
      <c r="F381">
        <v>0</v>
      </c>
      <c r="G381">
        <v>5</v>
      </c>
      <c r="H381">
        <v>3</v>
      </c>
      <c r="I381">
        <v>-2</v>
      </c>
      <c r="J381">
        <v>-1</v>
      </c>
      <c r="K381">
        <v>1</v>
      </c>
      <c r="L381">
        <v>-2</v>
      </c>
      <c r="M381">
        <v>-2</v>
      </c>
      <c r="N381">
        <v>-2</v>
      </c>
      <c r="O381">
        <v>0.17802098916824499</v>
      </c>
      <c r="P381">
        <v>4.77755033761746</v>
      </c>
      <c r="Q381">
        <v>40.032378642492603</v>
      </c>
      <c r="R381">
        <v>3</v>
      </c>
      <c r="S381">
        <v>2.994872</v>
      </c>
      <c r="T381">
        <v>1.896099</v>
      </c>
      <c r="U381">
        <v>1.2311129999999999</v>
      </c>
      <c r="V381">
        <v>0.33058759999999998</v>
      </c>
      <c r="W381">
        <v>-0.72243489999999999</v>
      </c>
      <c r="X381">
        <f t="shared" si="5"/>
        <v>2.6694124000000001</v>
      </c>
    </row>
    <row r="382" spans="1:24" x14ac:dyDescent="0.45">
      <c r="A382">
        <v>1150</v>
      </c>
      <c r="B382">
        <v>21</v>
      </c>
      <c r="C382">
        <v>1</v>
      </c>
      <c r="D382">
        <v>6</v>
      </c>
      <c r="E382">
        <v>-35</v>
      </c>
      <c r="F382">
        <v>3</v>
      </c>
      <c r="G382">
        <v>15</v>
      </c>
      <c r="H382">
        <v>3</v>
      </c>
      <c r="I382">
        <v>0</v>
      </c>
      <c r="J382">
        <v>1</v>
      </c>
      <c r="K382">
        <v>-1</v>
      </c>
      <c r="L382">
        <v>1</v>
      </c>
      <c r="M382">
        <v>1</v>
      </c>
      <c r="N382">
        <v>1</v>
      </c>
      <c r="O382">
        <v>0.13050238984558399</v>
      </c>
      <c r="P382">
        <v>3.2973582771647698</v>
      </c>
      <c r="Q382">
        <v>76.724884179235602</v>
      </c>
      <c r="R382">
        <v>0</v>
      </c>
      <c r="S382">
        <v>0</v>
      </c>
      <c r="T382">
        <v>-2.448724E-2</v>
      </c>
      <c r="U382">
        <v>0.59654529999999995</v>
      </c>
      <c r="V382">
        <v>1.506049</v>
      </c>
      <c r="W382">
        <v>2.36809</v>
      </c>
      <c r="X382">
        <f t="shared" si="5"/>
        <v>1.506049</v>
      </c>
    </row>
    <row r="383" spans="1:24" x14ac:dyDescent="0.45">
      <c r="A383">
        <v>1150</v>
      </c>
      <c r="B383">
        <v>22</v>
      </c>
      <c r="C383">
        <v>1</v>
      </c>
      <c r="D383">
        <v>3</v>
      </c>
      <c r="E383">
        <v>-35</v>
      </c>
      <c r="F383">
        <v>0</v>
      </c>
      <c r="G383">
        <v>15</v>
      </c>
      <c r="H383">
        <v>-3</v>
      </c>
      <c r="I383">
        <v>0</v>
      </c>
      <c r="J383">
        <v>1</v>
      </c>
      <c r="K383">
        <v>-1</v>
      </c>
      <c r="L383">
        <v>1</v>
      </c>
      <c r="M383">
        <v>1</v>
      </c>
      <c r="N383">
        <v>1</v>
      </c>
      <c r="O383">
        <v>0.12274035115644499</v>
      </c>
      <c r="P383">
        <v>1.14052263262445</v>
      </c>
      <c r="Q383">
        <v>76.0966635090587</v>
      </c>
      <c r="R383">
        <v>-3</v>
      </c>
      <c r="S383">
        <v>-3</v>
      </c>
      <c r="T383">
        <v>-2.9885269999999999</v>
      </c>
      <c r="U383">
        <v>-3.0958199999999998</v>
      </c>
      <c r="V383">
        <v>-3.0439400000000001</v>
      </c>
      <c r="W383">
        <v>-3.0431180000000002</v>
      </c>
      <c r="X383">
        <f t="shared" si="5"/>
        <v>4.394000000000009E-2</v>
      </c>
    </row>
    <row r="384" spans="1:24" x14ac:dyDescent="0.45">
      <c r="A384">
        <v>1150</v>
      </c>
      <c r="B384">
        <v>23</v>
      </c>
      <c r="C384">
        <v>3</v>
      </c>
      <c r="D384">
        <v>8</v>
      </c>
      <c r="E384">
        <v>-45</v>
      </c>
      <c r="F384">
        <v>0</v>
      </c>
      <c r="G384">
        <v>5</v>
      </c>
      <c r="H384">
        <v>-3</v>
      </c>
      <c r="I384">
        <v>-2</v>
      </c>
      <c r="J384">
        <v>1</v>
      </c>
      <c r="K384">
        <v>1</v>
      </c>
      <c r="L384">
        <v>-2</v>
      </c>
      <c r="M384">
        <v>-2</v>
      </c>
      <c r="N384">
        <v>-2</v>
      </c>
      <c r="O384">
        <v>0.25645401709103499</v>
      </c>
      <c r="P384">
        <v>4.4298002700366697</v>
      </c>
      <c r="Q384">
        <v>35.130554909553602</v>
      </c>
      <c r="R384">
        <v>-3</v>
      </c>
      <c r="S384">
        <v>-2.9719129999999998</v>
      </c>
      <c r="T384">
        <v>-2.364805</v>
      </c>
      <c r="U384">
        <v>-1.547193</v>
      </c>
      <c r="V384">
        <v>-0.61441840000000003</v>
      </c>
      <c r="W384">
        <v>0.49316919999999997</v>
      </c>
      <c r="X384">
        <f t="shared" si="5"/>
        <v>2.3855816000000001</v>
      </c>
    </row>
    <row r="385" spans="1:24" x14ac:dyDescent="0.45">
      <c r="A385">
        <v>1150</v>
      </c>
      <c r="B385">
        <v>24</v>
      </c>
      <c r="C385">
        <v>2</v>
      </c>
      <c r="D385">
        <v>1</v>
      </c>
      <c r="E385">
        <v>-35</v>
      </c>
      <c r="F385">
        <v>0</v>
      </c>
      <c r="G385">
        <v>15</v>
      </c>
      <c r="H385">
        <v>0</v>
      </c>
      <c r="I385">
        <v>1</v>
      </c>
      <c r="J385">
        <v>-1</v>
      </c>
      <c r="K385">
        <v>2</v>
      </c>
      <c r="L385">
        <v>2</v>
      </c>
      <c r="M385">
        <v>2</v>
      </c>
      <c r="N385">
        <v>1</v>
      </c>
      <c r="O385">
        <v>0.15615459163344</v>
      </c>
      <c r="P385">
        <v>2.6204305309246698</v>
      </c>
      <c r="Q385">
        <v>76.149160833853898</v>
      </c>
      <c r="R385">
        <v>0</v>
      </c>
      <c r="S385">
        <v>4.7797079999999998E-4</v>
      </c>
      <c r="T385">
        <v>1.1296280000000001E-2</v>
      </c>
      <c r="U385">
        <v>-0.25564009999999998</v>
      </c>
      <c r="V385">
        <v>-0.82262950000000001</v>
      </c>
      <c r="W385">
        <v>-1.460208</v>
      </c>
      <c r="X385">
        <f t="shared" si="5"/>
        <v>0.82262950000000001</v>
      </c>
    </row>
    <row r="386" spans="1:24" x14ac:dyDescent="0.45">
      <c r="A386">
        <v>1160</v>
      </c>
      <c r="B386">
        <v>1</v>
      </c>
      <c r="C386">
        <v>1</v>
      </c>
      <c r="D386">
        <v>5</v>
      </c>
      <c r="E386">
        <v>-35</v>
      </c>
      <c r="F386">
        <v>0</v>
      </c>
      <c r="G386">
        <v>15</v>
      </c>
      <c r="H386">
        <v>0</v>
      </c>
      <c r="I386">
        <v>2</v>
      </c>
      <c r="J386">
        <v>2</v>
      </c>
      <c r="K386">
        <v>1</v>
      </c>
      <c r="L386">
        <v>2</v>
      </c>
      <c r="M386">
        <v>2</v>
      </c>
      <c r="N386">
        <v>2</v>
      </c>
      <c r="O386">
        <v>0.32402299139924801</v>
      </c>
      <c r="P386">
        <v>14.4259114961951</v>
      </c>
      <c r="Q386">
        <v>78.131056860379999</v>
      </c>
      <c r="R386">
        <v>3</v>
      </c>
      <c r="S386">
        <v>2.8665940000000001</v>
      </c>
      <c r="T386">
        <v>0.98990789999999995</v>
      </c>
      <c r="U386">
        <v>6.5161469999999999E-2</v>
      </c>
      <c r="V386">
        <v>-0.54990910000000004</v>
      </c>
      <c r="W386">
        <v>-1.134115</v>
      </c>
      <c r="X386">
        <f t="shared" si="5"/>
        <v>3.5499090999999998</v>
      </c>
    </row>
    <row r="387" spans="1:24" x14ac:dyDescent="0.45">
      <c r="A387">
        <v>1160</v>
      </c>
      <c r="B387">
        <v>2</v>
      </c>
      <c r="C387">
        <v>2</v>
      </c>
      <c r="D387">
        <v>4</v>
      </c>
      <c r="E387">
        <v>-45</v>
      </c>
      <c r="F387">
        <v>0</v>
      </c>
      <c r="G387">
        <v>5</v>
      </c>
      <c r="H387">
        <v>3</v>
      </c>
      <c r="I387">
        <v>-2</v>
      </c>
      <c r="J387">
        <v>-2</v>
      </c>
      <c r="K387">
        <v>2</v>
      </c>
      <c r="L387">
        <v>-2</v>
      </c>
      <c r="M387">
        <v>-2</v>
      </c>
      <c r="N387">
        <v>-2</v>
      </c>
      <c r="O387">
        <v>0.23292574976540401</v>
      </c>
      <c r="P387">
        <v>5.4977015573312702</v>
      </c>
      <c r="Q387">
        <v>65.722534900476106</v>
      </c>
      <c r="R387">
        <v>3</v>
      </c>
      <c r="S387">
        <v>3</v>
      </c>
      <c r="T387">
        <v>2.7533319999999999</v>
      </c>
      <c r="U387">
        <v>2.5401090000000002</v>
      </c>
      <c r="V387">
        <v>2.6320510000000001</v>
      </c>
      <c r="W387">
        <v>2.6475759999999999</v>
      </c>
      <c r="X387">
        <f t="shared" ref="X387:X450" si="6">ABS(V387-R387)</f>
        <v>0.36794899999999986</v>
      </c>
    </row>
    <row r="388" spans="1:24" x14ac:dyDescent="0.45">
      <c r="A388">
        <v>1160</v>
      </c>
      <c r="B388">
        <v>3</v>
      </c>
      <c r="C388">
        <v>3</v>
      </c>
      <c r="D388">
        <v>7</v>
      </c>
      <c r="E388">
        <v>-35</v>
      </c>
      <c r="F388">
        <v>0</v>
      </c>
      <c r="G388">
        <v>15</v>
      </c>
      <c r="H388">
        <v>3</v>
      </c>
      <c r="I388">
        <v>1</v>
      </c>
      <c r="J388">
        <v>-1</v>
      </c>
      <c r="K388">
        <v>2</v>
      </c>
      <c r="L388">
        <v>2</v>
      </c>
      <c r="M388">
        <v>2</v>
      </c>
      <c r="N388">
        <v>-1</v>
      </c>
      <c r="O388">
        <v>0.13868275704462099</v>
      </c>
      <c r="P388">
        <v>2.96496056539028</v>
      </c>
      <c r="Q388">
        <v>77.339468170411294</v>
      </c>
      <c r="R388">
        <v>3</v>
      </c>
      <c r="S388">
        <v>2.8867349999999998</v>
      </c>
      <c r="T388">
        <v>2.5173839999999998</v>
      </c>
      <c r="U388">
        <v>2.4436960000000001</v>
      </c>
      <c r="V388">
        <v>2.5195829999999999</v>
      </c>
      <c r="W388">
        <v>2.570989</v>
      </c>
      <c r="X388">
        <f t="shared" si="6"/>
        <v>0.48041700000000009</v>
      </c>
    </row>
    <row r="389" spans="1:24" x14ac:dyDescent="0.45">
      <c r="A389">
        <v>1160</v>
      </c>
      <c r="B389">
        <v>4</v>
      </c>
      <c r="C389">
        <v>2</v>
      </c>
      <c r="D389">
        <v>2</v>
      </c>
      <c r="E389">
        <v>-35</v>
      </c>
      <c r="F389">
        <v>-3</v>
      </c>
      <c r="G389">
        <v>15</v>
      </c>
      <c r="H389">
        <v>-3</v>
      </c>
      <c r="I389">
        <v>-2</v>
      </c>
      <c r="J389">
        <v>-2</v>
      </c>
      <c r="K389">
        <v>2</v>
      </c>
      <c r="L389">
        <v>-2</v>
      </c>
      <c r="M389">
        <v>-2</v>
      </c>
      <c r="N389">
        <v>-2</v>
      </c>
      <c r="O389">
        <v>0.24552382901551401</v>
      </c>
      <c r="P389">
        <v>14.335207020125299</v>
      </c>
      <c r="Q389">
        <v>77.172878362446497</v>
      </c>
      <c r="R389">
        <v>-3</v>
      </c>
      <c r="S389">
        <v>-3.042246</v>
      </c>
      <c r="T389">
        <v>-3.2386180000000002</v>
      </c>
      <c r="U389">
        <v>-2.3858549999999998</v>
      </c>
      <c r="V389">
        <v>-1.0673299999999999</v>
      </c>
      <c r="W389">
        <v>-0.53835109999999997</v>
      </c>
      <c r="X389">
        <f t="shared" si="6"/>
        <v>1.9326700000000001</v>
      </c>
    </row>
    <row r="390" spans="1:24" x14ac:dyDescent="0.45">
      <c r="A390">
        <v>1160</v>
      </c>
      <c r="B390">
        <v>5</v>
      </c>
      <c r="C390">
        <v>1</v>
      </c>
      <c r="D390">
        <v>8</v>
      </c>
      <c r="E390">
        <v>-45</v>
      </c>
      <c r="F390">
        <v>0</v>
      </c>
      <c r="G390">
        <v>5</v>
      </c>
      <c r="H390">
        <v>-3</v>
      </c>
      <c r="I390">
        <v>-2</v>
      </c>
      <c r="J390">
        <v>-1</v>
      </c>
      <c r="K390">
        <v>-2</v>
      </c>
      <c r="L390">
        <v>-2</v>
      </c>
      <c r="M390">
        <v>-2</v>
      </c>
      <c r="N390">
        <v>-2</v>
      </c>
      <c r="O390">
        <v>0.341181645573225</v>
      </c>
      <c r="P390">
        <v>10.5587251392494</v>
      </c>
      <c r="Q390">
        <v>33.750385046208997</v>
      </c>
      <c r="R390">
        <v>-3</v>
      </c>
      <c r="S390">
        <v>-3.1909730000000001</v>
      </c>
      <c r="T390">
        <v>-3.0685009999999999</v>
      </c>
      <c r="U390">
        <v>-2.3778769999999998</v>
      </c>
      <c r="V390">
        <v>-1.1991890000000001</v>
      </c>
      <c r="W390">
        <v>0.53342999999999996</v>
      </c>
      <c r="X390">
        <f t="shared" si="6"/>
        <v>1.8008109999999999</v>
      </c>
    </row>
    <row r="391" spans="1:24" x14ac:dyDescent="0.45">
      <c r="A391">
        <v>1160</v>
      </c>
      <c r="B391">
        <v>6</v>
      </c>
      <c r="C391">
        <v>1</v>
      </c>
      <c r="D391">
        <v>1</v>
      </c>
      <c r="E391">
        <v>-35</v>
      </c>
      <c r="F391">
        <v>0</v>
      </c>
      <c r="G391">
        <v>15</v>
      </c>
      <c r="H391">
        <v>0</v>
      </c>
      <c r="I391">
        <v>-2</v>
      </c>
      <c r="J391">
        <v>-1</v>
      </c>
      <c r="K391">
        <v>-2</v>
      </c>
      <c r="L391">
        <v>-2</v>
      </c>
      <c r="M391">
        <v>-2</v>
      </c>
      <c r="N391">
        <v>-2</v>
      </c>
      <c r="O391">
        <v>0.123130552756258</v>
      </c>
      <c r="P391">
        <v>3.61895771745235</v>
      </c>
      <c r="Q391">
        <v>76.239555986374995</v>
      </c>
      <c r="R391">
        <v>0</v>
      </c>
      <c r="S391">
        <v>0</v>
      </c>
      <c r="T391">
        <v>-1.1678390000000001</v>
      </c>
      <c r="U391">
        <v>-2.4604110000000001</v>
      </c>
      <c r="V391">
        <v>-3.7013660000000002</v>
      </c>
      <c r="W391">
        <v>-4.3704020000000003</v>
      </c>
      <c r="X391">
        <f t="shared" si="6"/>
        <v>3.7013660000000002</v>
      </c>
    </row>
    <row r="392" spans="1:24" x14ac:dyDescent="0.45">
      <c r="A392">
        <v>1160</v>
      </c>
      <c r="B392">
        <v>7</v>
      </c>
      <c r="C392">
        <v>2</v>
      </c>
      <c r="D392">
        <v>6</v>
      </c>
      <c r="E392">
        <v>-35</v>
      </c>
      <c r="F392">
        <v>3</v>
      </c>
      <c r="G392">
        <v>15</v>
      </c>
      <c r="H392">
        <v>3</v>
      </c>
      <c r="I392">
        <v>-1</v>
      </c>
      <c r="J392">
        <v>-2</v>
      </c>
      <c r="K392">
        <v>1</v>
      </c>
      <c r="L392">
        <v>-1</v>
      </c>
      <c r="M392">
        <v>2</v>
      </c>
      <c r="N392">
        <v>-2</v>
      </c>
      <c r="O392">
        <v>0.138391331969376</v>
      </c>
      <c r="P392">
        <v>5.0819429218129999</v>
      </c>
      <c r="Q392">
        <v>78.0948103064664</v>
      </c>
      <c r="R392">
        <v>0</v>
      </c>
      <c r="S392">
        <v>-0.17328740000000001</v>
      </c>
      <c r="T392">
        <v>1.1853130000000001</v>
      </c>
      <c r="U392">
        <v>2.4322789999999999</v>
      </c>
      <c r="V392">
        <v>3.3870719999999999</v>
      </c>
      <c r="W392">
        <v>3.8240799999999999</v>
      </c>
      <c r="X392">
        <f t="shared" si="6"/>
        <v>3.3870719999999999</v>
      </c>
    </row>
    <row r="393" spans="1:24" x14ac:dyDescent="0.45">
      <c r="A393">
        <v>1160</v>
      </c>
      <c r="B393">
        <v>8</v>
      </c>
      <c r="C393">
        <v>3</v>
      </c>
      <c r="D393">
        <v>2</v>
      </c>
      <c r="E393">
        <v>-35</v>
      </c>
      <c r="F393">
        <v>-3</v>
      </c>
      <c r="G393">
        <v>15</v>
      </c>
      <c r="H393">
        <v>-3</v>
      </c>
      <c r="I393">
        <v>-2</v>
      </c>
      <c r="J393">
        <v>-2</v>
      </c>
      <c r="K393">
        <v>-2</v>
      </c>
      <c r="L393">
        <v>1</v>
      </c>
      <c r="M393">
        <v>-1</v>
      </c>
      <c r="N393">
        <v>-1</v>
      </c>
      <c r="O393">
        <v>0.17950796154731199</v>
      </c>
      <c r="P393">
        <v>4.6703871909690502</v>
      </c>
      <c r="Q393">
        <v>76.210595138383297</v>
      </c>
      <c r="R393">
        <v>-3</v>
      </c>
      <c r="S393">
        <v>-3</v>
      </c>
      <c r="T393">
        <v>-2.0350839999999999</v>
      </c>
      <c r="U393">
        <v>-2.0365280000000001</v>
      </c>
      <c r="V393">
        <v>-3.4062549999999998</v>
      </c>
      <c r="W393">
        <v>-3.5264690000000001</v>
      </c>
      <c r="X393">
        <f t="shared" si="6"/>
        <v>0.40625499999999981</v>
      </c>
    </row>
    <row r="394" spans="1:24" x14ac:dyDescent="0.45">
      <c r="A394">
        <v>1160</v>
      </c>
      <c r="B394">
        <v>9</v>
      </c>
      <c r="C394">
        <v>2</v>
      </c>
      <c r="D394">
        <v>7</v>
      </c>
      <c r="E394">
        <v>-35</v>
      </c>
      <c r="F394">
        <v>0</v>
      </c>
      <c r="G394">
        <v>15</v>
      </c>
      <c r="H394">
        <v>3</v>
      </c>
      <c r="I394">
        <v>-2</v>
      </c>
      <c r="J394">
        <v>-1</v>
      </c>
      <c r="K394">
        <v>-2</v>
      </c>
      <c r="L394">
        <v>-1</v>
      </c>
      <c r="M394">
        <v>-1</v>
      </c>
      <c r="N394">
        <v>-1</v>
      </c>
      <c r="O394">
        <v>0.13986677647350401</v>
      </c>
      <c r="P394">
        <v>1.5011802680986299</v>
      </c>
      <c r="Q394">
        <v>77.083342537943096</v>
      </c>
      <c r="R394">
        <v>3</v>
      </c>
      <c r="S394">
        <v>2.8461219999999998</v>
      </c>
      <c r="T394">
        <v>3.120657</v>
      </c>
      <c r="U394">
        <v>3.5533540000000001</v>
      </c>
      <c r="V394">
        <v>3.942904</v>
      </c>
      <c r="W394">
        <v>4.1854639999999996</v>
      </c>
      <c r="X394">
        <f t="shared" si="6"/>
        <v>0.94290399999999996</v>
      </c>
    </row>
    <row r="395" spans="1:24" x14ac:dyDescent="0.45">
      <c r="A395">
        <v>1160</v>
      </c>
      <c r="B395">
        <v>10</v>
      </c>
      <c r="C395">
        <v>1</v>
      </c>
      <c r="D395">
        <v>4</v>
      </c>
      <c r="E395">
        <v>-45</v>
      </c>
      <c r="F395">
        <v>0</v>
      </c>
      <c r="G395">
        <v>5</v>
      </c>
      <c r="H395">
        <v>3</v>
      </c>
      <c r="I395">
        <v>-1</v>
      </c>
      <c r="J395">
        <v>1</v>
      </c>
      <c r="K395">
        <v>1</v>
      </c>
      <c r="L395">
        <v>1</v>
      </c>
      <c r="M395">
        <v>2</v>
      </c>
      <c r="N395">
        <v>1</v>
      </c>
      <c r="O395">
        <v>0.185306726865474</v>
      </c>
      <c r="P395">
        <v>11.435111868559099</v>
      </c>
      <c r="Q395">
        <v>67.188123120505395</v>
      </c>
      <c r="R395">
        <v>3</v>
      </c>
      <c r="S395">
        <v>2.3161700000000001</v>
      </c>
      <c r="T395">
        <v>0.26584370000000002</v>
      </c>
      <c r="U395">
        <v>-1.171549</v>
      </c>
      <c r="V395">
        <v>-2.8209559999999998</v>
      </c>
      <c r="W395">
        <v>-3.7571439999999998</v>
      </c>
      <c r="X395">
        <f t="shared" si="6"/>
        <v>5.8209559999999998</v>
      </c>
    </row>
    <row r="396" spans="1:24" x14ac:dyDescent="0.45">
      <c r="A396">
        <v>1160</v>
      </c>
      <c r="B396">
        <v>11</v>
      </c>
      <c r="C396">
        <v>3</v>
      </c>
      <c r="D396">
        <v>5</v>
      </c>
      <c r="E396">
        <v>-35</v>
      </c>
      <c r="F396">
        <v>0</v>
      </c>
      <c r="G396">
        <v>15</v>
      </c>
      <c r="H396">
        <v>0</v>
      </c>
      <c r="I396">
        <v>-1</v>
      </c>
      <c r="J396">
        <v>-1</v>
      </c>
      <c r="K396">
        <v>-2</v>
      </c>
      <c r="L396">
        <v>1</v>
      </c>
      <c r="M396">
        <v>1</v>
      </c>
      <c r="N396">
        <v>-1</v>
      </c>
      <c r="O396">
        <v>0.13083477323096099</v>
      </c>
      <c r="P396">
        <v>2.2683619988602999</v>
      </c>
      <c r="Q396">
        <v>77.006289307927403</v>
      </c>
      <c r="R396">
        <v>3</v>
      </c>
      <c r="S396">
        <v>2.4875020000000001</v>
      </c>
      <c r="T396">
        <v>1.2971969999999999</v>
      </c>
      <c r="U396">
        <v>0.17178370000000001</v>
      </c>
      <c r="V396">
        <v>-0.75844440000000002</v>
      </c>
      <c r="W396">
        <v>-1.612679</v>
      </c>
      <c r="X396">
        <f t="shared" si="6"/>
        <v>3.7584444000000001</v>
      </c>
    </row>
    <row r="397" spans="1:24" x14ac:dyDescent="0.45">
      <c r="A397">
        <v>1160</v>
      </c>
      <c r="B397">
        <v>12</v>
      </c>
      <c r="C397">
        <v>3</v>
      </c>
      <c r="D397">
        <v>3</v>
      </c>
      <c r="E397">
        <v>-35</v>
      </c>
      <c r="F397">
        <v>0</v>
      </c>
      <c r="G397">
        <v>15</v>
      </c>
      <c r="H397">
        <v>-3</v>
      </c>
      <c r="I397">
        <v>1</v>
      </c>
      <c r="J397">
        <v>-1</v>
      </c>
      <c r="K397">
        <v>2</v>
      </c>
      <c r="L397">
        <v>2</v>
      </c>
      <c r="M397">
        <v>2</v>
      </c>
      <c r="N397">
        <v>-1</v>
      </c>
      <c r="O397">
        <v>0.167254893084296</v>
      </c>
      <c r="P397">
        <v>3.3278150985974899</v>
      </c>
      <c r="Q397">
        <v>75.667421210063395</v>
      </c>
      <c r="R397">
        <v>-3</v>
      </c>
      <c r="S397">
        <v>-3.0342479999999998</v>
      </c>
      <c r="T397">
        <v>-3.2690929999999998</v>
      </c>
      <c r="U397">
        <v>-3.5456759999999998</v>
      </c>
      <c r="V397">
        <v>-3.7568329999999999</v>
      </c>
      <c r="W397">
        <v>-3.7474249999999998</v>
      </c>
      <c r="X397">
        <f t="shared" si="6"/>
        <v>0.75683299999999987</v>
      </c>
    </row>
    <row r="398" spans="1:24" x14ac:dyDescent="0.45">
      <c r="A398">
        <v>1160</v>
      </c>
      <c r="B398">
        <v>13</v>
      </c>
      <c r="C398">
        <v>1</v>
      </c>
      <c r="D398">
        <v>7</v>
      </c>
      <c r="E398">
        <v>-35</v>
      </c>
      <c r="F398">
        <v>0</v>
      </c>
      <c r="G398">
        <v>15</v>
      </c>
      <c r="H398">
        <v>3</v>
      </c>
      <c r="I398">
        <v>-2</v>
      </c>
      <c r="J398">
        <v>-1</v>
      </c>
      <c r="K398">
        <v>2</v>
      </c>
      <c r="L398">
        <v>-1</v>
      </c>
      <c r="M398">
        <v>-1</v>
      </c>
      <c r="N398">
        <v>1</v>
      </c>
      <c r="O398">
        <v>0.11967502921307301</v>
      </c>
      <c r="P398">
        <v>2.0372351505843098</v>
      </c>
      <c r="Q398">
        <v>77.514186822489194</v>
      </c>
      <c r="R398">
        <v>3</v>
      </c>
      <c r="S398">
        <v>2.8818429999999999</v>
      </c>
      <c r="T398">
        <v>2.4918779999999998</v>
      </c>
      <c r="U398">
        <v>2.7081439999999999</v>
      </c>
      <c r="V398">
        <v>3.0281980000000002</v>
      </c>
      <c r="W398">
        <v>3.2784960000000001</v>
      </c>
      <c r="X398">
        <f t="shared" si="6"/>
        <v>2.8198000000000167E-2</v>
      </c>
    </row>
    <row r="399" spans="1:24" x14ac:dyDescent="0.45">
      <c r="A399">
        <v>1160</v>
      </c>
      <c r="B399">
        <v>14</v>
      </c>
      <c r="C399">
        <v>3</v>
      </c>
      <c r="D399">
        <v>1</v>
      </c>
      <c r="E399">
        <v>-35</v>
      </c>
      <c r="F399">
        <v>0</v>
      </c>
      <c r="G399">
        <v>15</v>
      </c>
      <c r="H399">
        <v>0</v>
      </c>
      <c r="I399">
        <v>1</v>
      </c>
      <c r="J399">
        <v>-2</v>
      </c>
      <c r="K399">
        <v>1</v>
      </c>
      <c r="L399">
        <v>1</v>
      </c>
      <c r="M399">
        <v>1</v>
      </c>
      <c r="N399">
        <v>-1</v>
      </c>
      <c r="O399">
        <v>0.12915972595561301</v>
      </c>
      <c r="P399">
        <v>2.9499698951160398</v>
      </c>
      <c r="Q399">
        <v>76.230121054712995</v>
      </c>
      <c r="R399">
        <v>0</v>
      </c>
      <c r="S399">
        <v>0</v>
      </c>
      <c r="T399">
        <v>-1.3450660000000001</v>
      </c>
      <c r="U399">
        <v>-2.32341</v>
      </c>
      <c r="V399">
        <v>-3.271811</v>
      </c>
      <c r="W399">
        <v>-4.0604339999999999</v>
      </c>
      <c r="X399">
        <f t="shared" si="6"/>
        <v>3.271811</v>
      </c>
    </row>
    <row r="400" spans="1:24" x14ac:dyDescent="0.45">
      <c r="A400">
        <v>1160</v>
      </c>
      <c r="B400">
        <v>15</v>
      </c>
      <c r="C400">
        <v>2</v>
      </c>
      <c r="D400">
        <v>8</v>
      </c>
      <c r="E400">
        <v>-45</v>
      </c>
      <c r="F400">
        <v>0</v>
      </c>
      <c r="G400">
        <v>5</v>
      </c>
      <c r="H400">
        <v>-3</v>
      </c>
      <c r="I400">
        <v>1</v>
      </c>
      <c r="J400">
        <v>-1</v>
      </c>
      <c r="K400">
        <v>1</v>
      </c>
      <c r="L400">
        <v>-1</v>
      </c>
      <c r="M400">
        <v>-1</v>
      </c>
      <c r="N400">
        <v>-1</v>
      </c>
      <c r="O400">
        <v>0.13998489118764501</v>
      </c>
      <c r="P400">
        <v>2.6772254891288298</v>
      </c>
      <c r="Q400">
        <v>68.316603004838697</v>
      </c>
      <c r="R400">
        <v>-3</v>
      </c>
      <c r="S400">
        <v>-3.2007750000000001</v>
      </c>
      <c r="T400">
        <v>-2.3603170000000002</v>
      </c>
      <c r="U400">
        <v>-1.614679</v>
      </c>
      <c r="V400">
        <v>-0.67623080000000002</v>
      </c>
      <c r="W400">
        <v>0.76155079999999997</v>
      </c>
      <c r="X400">
        <f t="shared" si="6"/>
        <v>2.3237692000000001</v>
      </c>
    </row>
    <row r="401" spans="1:24" x14ac:dyDescent="0.45">
      <c r="A401">
        <v>1160</v>
      </c>
      <c r="B401">
        <v>16</v>
      </c>
      <c r="C401">
        <v>2</v>
      </c>
      <c r="D401">
        <v>3</v>
      </c>
      <c r="E401">
        <v>-35</v>
      </c>
      <c r="F401">
        <v>0</v>
      </c>
      <c r="G401">
        <v>15</v>
      </c>
      <c r="H401">
        <v>-3</v>
      </c>
      <c r="I401">
        <v>1</v>
      </c>
      <c r="J401">
        <v>-1</v>
      </c>
      <c r="K401">
        <v>1</v>
      </c>
      <c r="L401">
        <v>1</v>
      </c>
      <c r="M401">
        <v>2</v>
      </c>
      <c r="N401">
        <v>0</v>
      </c>
      <c r="O401">
        <v>0.14116817573031901</v>
      </c>
      <c r="P401">
        <v>2.8885198460709298</v>
      </c>
      <c r="Q401">
        <v>76.605844929703906</v>
      </c>
      <c r="R401">
        <v>-3</v>
      </c>
      <c r="S401">
        <v>-3.1871990000000001</v>
      </c>
      <c r="T401">
        <v>-3.399616</v>
      </c>
      <c r="U401">
        <v>-3.4934620000000001</v>
      </c>
      <c r="V401">
        <v>-3.6823670000000002</v>
      </c>
      <c r="W401">
        <v>-3.947594</v>
      </c>
      <c r="X401">
        <f t="shared" si="6"/>
        <v>0.68236700000000017</v>
      </c>
    </row>
    <row r="402" spans="1:24" x14ac:dyDescent="0.45">
      <c r="A402">
        <v>1160</v>
      </c>
      <c r="B402">
        <v>17</v>
      </c>
      <c r="C402">
        <v>3</v>
      </c>
      <c r="D402">
        <v>6</v>
      </c>
      <c r="E402">
        <v>-35</v>
      </c>
      <c r="F402">
        <v>3</v>
      </c>
      <c r="G402">
        <v>15</v>
      </c>
      <c r="H402">
        <v>3</v>
      </c>
      <c r="I402">
        <v>2</v>
      </c>
      <c r="J402">
        <v>1</v>
      </c>
      <c r="K402">
        <v>2</v>
      </c>
      <c r="L402">
        <v>2</v>
      </c>
      <c r="M402">
        <v>2</v>
      </c>
      <c r="N402">
        <v>2</v>
      </c>
      <c r="O402">
        <v>0.109509450764833</v>
      </c>
      <c r="P402">
        <v>2.0972301551961698</v>
      </c>
      <c r="Q402">
        <v>77.889627148204298</v>
      </c>
      <c r="R402">
        <v>0</v>
      </c>
      <c r="S402">
        <v>-0.22668440000000001</v>
      </c>
      <c r="T402">
        <v>0.1239058</v>
      </c>
      <c r="U402">
        <v>0.49565179999999998</v>
      </c>
      <c r="V402">
        <v>0.8900496</v>
      </c>
      <c r="W402">
        <v>1.257279</v>
      </c>
      <c r="X402">
        <f t="shared" si="6"/>
        <v>0.8900496</v>
      </c>
    </row>
    <row r="403" spans="1:24" x14ac:dyDescent="0.45">
      <c r="A403">
        <v>1160</v>
      </c>
      <c r="B403">
        <v>18</v>
      </c>
      <c r="C403">
        <v>1</v>
      </c>
      <c r="D403">
        <v>2</v>
      </c>
      <c r="E403">
        <v>-35</v>
      </c>
      <c r="F403">
        <v>-3</v>
      </c>
      <c r="G403">
        <v>15</v>
      </c>
      <c r="H403">
        <v>-3</v>
      </c>
      <c r="I403">
        <v>2</v>
      </c>
      <c r="J403">
        <v>2</v>
      </c>
      <c r="K403">
        <v>1</v>
      </c>
      <c r="L403">
        <v>2</v>
      </c>
      <c r="M403">
        <v>2</v>
      </c>
      <c r="N403">
        <v>2</v>
      </c>
      <c r="O403">
        <v>0.129775533429554</v>
      </c>
      <c r="P403">
        <v>3.2444167132078401</v>
      </c>
      <c r="Q403">
        <v>77.945767093033098</v>
      </c>
      <c r="R403">
        <v>-3</v>
      </c>
      <c r="S403">
        <v>-2.9516429999999998</v>
      </c>
      <c r="T403">
        <v>-2.5961940000000001</v>
      </c>
      <c r="U403">
        <v>-2.301212</v>
      </c>
      <c r="V403">
        <v>-1.436464</v>
      </c>
      <c r="W403">
        <v>-0.50601989999999997</v>
      </c>
      <c r="X403">
        <f t="shared" si="6"/>
        <v>1.563536</v>
      </c>
    </row>
    <row r="404" spans="1:24" x14ac:dyDescent="0.45">
      <c r="A404">
        <v>1160</v>
      </c>
      <c r="B404">
        <v>19</v>
      </c>
      <c r="C404">
        <v>2</v>
      </c>
      <c r="D404">
        <v>5</v>
      </c>
      <c r="E404">
        <v>-35</v>
      </c>
      <c r="F404">
        <v>0</v>
      </c>
      <c r="G404">
        <v>15</v>
      </c>
      <c r="H404">
        <v>0</v>
      </c>
      <c r="I404">
        <v>-1</v>
      </c>
      <c r="J404">
        <v>1</v>
      </c>
      <c r="K404">
        <v>-1</v>
      </c>
      <c r="L404">
        <v>1</v>
      </c>
      <c r="M404">
        <v>1</v>
      </c>
      <c r="N404">
        <v>-1</v>
      </c>
      <c r="O404">
        <v>0.1232983553622</v>
      </c>
      <c r="P404">
        <v>3.1979678085018399</v>
      </c>
      <c r="Q404">
        <v>78.488691984050504</v>
      </c>
      <c r="R404">
        <v>3</v>
      </c>
      <c r="S404">
        <v>2.497306</v>
      </c>
      <c r="T404">
        <v>1.430434</v>
      </c>
      <c r="U404">
        <v>8.7516099999999999E-2</v>
      </c>
      <c r="V404">
        <v>-1.1282669999999999</v>
      </c>
      <c r="W404">
        <v>-2.0378970000000001</v>
      </c>
      <c r="X404">
        <f t="shared" si="6"/>
        <v>4.1282670000000001</v>
      </c>
    </row>
    <row r="405" spans="1:24" x14ac:dyDescent="0.45">
      <c r="A405">
        <v>1160</v>
      </c>
      <c r="B405">
        <v>20</v>
      </c>
      <c r="C405">
        <v>3</v>
      </c>
      <c r="D405">
        <v>4</v>
      </c>
      <c r="E405">
        <v>-45</v>
      </c>
      <c r="F405">
        <v>0</v>
      </c>
      <c r="G405">
        <v>5</v>
      </c>
      <c r="H405">
        <v>3</v>
      </c>
      <c r="I405">
        <v>1</v>
      </c>
      <c r="J405">
        <v>-1</v>
      </c>
      <c r="K405">
        <v>1</v>
      </c>
      <c r="L405">
        <v>-1</v>
      </c>
      <c r="M405">
        <v>1</v>
      </c>
      <c r="N405">
        <v>0</v>
      </c>
      <c r="O405">
        <v>0.124336183466423</v>
      </c>
      <c r="P405">
        <v>2.0764884821310901</v>
      </c>
      <c r="Q405">
        <v>67.319794139224697</v>
      </c>
      <c r="R405">
        <v>3</v>
      </c>
      <c r="S405">
        <v>2.9937149999999999</v>
      </c>
      <c r="T405">
        <v>1.3703350000000001</v>
      </c>
      <c r="U405">
        <v>-0.34317510000000001</v>
      </c>
      <c r="V405">
        <v>-2.0556969999999999</v>
      </c>
      <c r="W405">
        <v>-3.6244179999999999</v>
      </c>
      <c r="X405">
        <f t="shared" si="6"/>
        <v>5.0556970000000003</v>
      </c>
    </row>
    <row r="406" spans="1:24" x14ac:dyDescent="0.45">
      <c r="A406">
        <v>1160</v>
      </c>
      <c r="B406">
        <v>21</v>
      </c>
      <c r="C406">
        <v>1</v>
      </c>
      <c r="D406">
        <v>6</v>
      </c>
      <c r="E406">
        <v>-35</v>
      </c>
      <c r="F406">
        <v>3</v>
      </c>
      <c r="G406">
        <v>15</v>
      </c>
      <c r="H406">
        <v>3</v>
      </c>
      <c r="I406">
        <v>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0.12394154631079</v>
      </c>
      <c r="P406">
        <v>2.50101992899909</v>
      </c>
      <c r="Q406">
        <v>77.745150395429306</v>
      </c>
      <c r="R406">
        <v>0</v>
      </c>
      <c r="S406">
        <v>-0.13549530000000001</v>
      </c>
      <c r="T406">
        <v>0.10384740000000001</v>
      </c>
      <c r="U406">
        <v>0.54986999999999997</v>
      </c>
      <c r="V406">
        <v>1.039126</v>
      </c>
      <c r="W406">
        <v>1.5227390000000001</v>
      </c>
      <c r="X406">
        <f t="shared" si="6"/>
        <v>1.039126</v>
      </c>
    </row>
    <row r="407" spans="1:24" x14ac:dyDescent="0.45">
      <c r="A407">
        <v>1160</v>
      </c>
      <c r="B407">
        <v>22</v>
      </c>
      <c r="C407">
        <v>1</v>
      </c>
      <c r="D407">
        <v>3</v>
      </c>
      <c r="E407">
        <v>-35</v>
      </c>
      <c r="F407">
        <v>0</v>
      </c>
      <c r="G407">
        <v>15</v>
      </c>
      <c r="H407">
        <v>-3</v>
      </c>
      <c r="I407">
        <v>-1</v>
      </c>
      <c r="J407">
        <v>1</v>
      </c>
      <c r="K407">
        <v>-1</v>
      </c>
      <c r="L407">
        <v>-1</v>
      </c>
      <c r="M407">
        <v>-1</v>
      </c>
      <c r="N407">
        <v>-1</v>
      </c>
      <c r="O407">
        <v>0.114710275126146</v>
      </c>
      <c r="P407">
        <v>1.79999114076084</v>
      </c>
      <c r="Q407">
        <v>77.531495734088196</v>
      </c>
      <c r="R407">
        <v>-3</v>
      </c>
      <c r="S407">
        <v>-3.3210999999999999</v>
      </c>
      <c r="T407">
        <v>-3.7634150000000002</v>
      </c>
      <c r="U407">
        <v>-3.9321630000000001</v>
      </c>
      <c r="V407">
        <v>-4.1330770000000001</v>
      </c>
      <c r="W407">
        <v>-4.2650899999999998</v>
      </c>
      <c r="X407">
        <f t="shared" si="6"/>
        <v>1.1330770000000001</v>
      </c>
    </row>
    <row r="408" spans="1:24" x14ac:dyDescent="0.45">
      <c r="A408">
        <v>1160</v>
      </c>
      <c r="B408">
        <v>23</v>
      </c>
      <c r="C408">
        <v>3</v>
      </c>
      <c r="D408">
        <v>8</v>
      </c>
      <c r="E408">
        <v>-45</v>
      </c>
      <c r="F408">
        <v>0</v>
      </c>
      <c r="G408">
        <v>5</v>
      </c>
      <c r="H408">
        <v>-3</v>
      </c>
      <c r="I408">
        <v>1</v>
      </c>
      <c r="J408">
        <v>-1</v>
      </c>
      <c r="K408">
        <v>2</v>
      </c>
      <c r="L408">
        <v>2</v>
      </c>
      <c r="M408">
        <v>2</v>
      </c>
      <c r="N408">
        <v>1</v>
      </c>
      <c r="O408">
        <v>0.118262157874011</v>
      </c>
      <c r="P408">
        <v>2.51227964706294</v>
      </c>
      <c r="Q408">
        <v>68.1744294375914</v>
      </c>
      <c r="R408">
        <v>-3</v>
      </c>
      <c r="S408">
        <v>-3.0510440000000001</v>
      </c>
      <c r="T408">
        <v>-2.2048890000000001</v>
      </c>
      <c r="U408">
        <v>-0.88455899999999998</v>
      </c>
      <c r="V408">
        <v>0.64681069999999996</v>
      </c>
      <c r="W408">
        <v>2.1042329999999998</v>
      </c>
      <c r="X408">
        <f t="shared" si="6"/>
        <v>3.6468107000000001</v>
      </c>
    </row>
    <row r="409" spans="1:24" x14ac:dyDescent="0.45">
      <c r="A409">
        <v>1160</v>
      </c>
      <c r="B409">
        <v>24</v>
      </c>
      <c r="C409">
        <v>2</v>
      </c>
      <c r="D409">
        <v>1</v>
      </c>
      <c r="E409">
        <v>-35</v>
      </c>
      <c r="F409">
        <v>0</v>
      </c>
      <c r="G409">
        <v>15</v>
      </c>
      <c r="H409">
        <v>0</v>
      </c>
      <c r="I409">
        <v>2</v>
      </c>
      <c r="J409">
        <v>-1</v>
      </c>
      <c r="K409">
        <v>2</v>
      </c>
      <c r="L409">
        <v>1</v>
      </c>
      <c r="M409">
        <v>2</v>
      </c>
      <c r="N409">
        <v>-1</v>
      </c>
      <c r="O409">
        <v>0.123258061867467</v>
      </c>
      <c r="P409">
        <v>2.15743767624723</v>
      </c>
      <c r="Q409">
        <v>76.667935430656797</v>
      </c>
      <c r="R409">
        <v>0</v>
      </c>
      <c r="S409">
        <v>-0.2938751</v>
      </c>
      <c r="T409">
        <v>-1.8407180000000001</v>
      </c>
      <c r="U409">
        <v>-3.263223</v>
      </c>
      <c r="V409">
        <v>-4.1603070000000004</v>
      </c>
      <c r="W409">
        <v>-4.4985160000000004</v>
      </c>
      <c r="X409">
        <f t="shared" si="6"/>
        <v>4.1603070000000004</v>
      </c>
    </row>
    <row r="410" spans="1:24" x14ac:dyDescent="0.45">
      <c r="A410">
        <v>1170</v>
      </c>
      <c r="B410">
        <v>1</v>
      </c>
      <c r="C410">
        <v>2</v>
      </c>
      <c r="D410">
        <v>1</v>
      </c>
      <c r="E410">
        <v>-35</v>
      </c>
      <c r="F410">
        <v>0</v>
      </c>
      <c r="G410">
        <v>15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1</v>
      </c>
      <c r="N410">
        <v>1</v>
      </c>
      <c r="O410">
        <v>0.19831330998194699</v>
      </c>
      <c r="P410">
        <v>4.3807531832889897</v>
      </c>
      <c r="Q410">
        <v>75.200320591264898</v>
      </c>
      <c r="R410">
        <v>0</v>
      </c>
      <c r="S410">
        <v>-3.2233159999999997E-2</v>
      </c>
      <c r="T410">
        <v>0.20236609999999999</v>
      </c>
      <c r="U410">
        <v>1.4380409999999999</v>
      </c>
      <c r="V410">
        <v>2.3269150000000001</v>
      </c>
      <c r="W410">
        <v>3.0204710000000001</v>
      </c>
      <c r="X410">
        <f t="shared" si="6"/>
        <v>2.3269150000000001</v>
      </c>
    </row>
    <row r="411" spans="1:24" x14ac:dyDescent="0.45">
      <c r="A411">
        <v>1170</v>
      </c>
      <c r="B411">
        <v>2</v>
      </c>
      <c r="C411">
        <v>3</v>
      </c>
      <c r="D411">
        <v>8</v>
      </c>
      <c r="E411">
        <v>-45</v>
      </c>
      <c r="F411">
        <v>0</v>
      </c>
      <c r="G411">
        <v>5</v>
      </c>
      <c r="H411">
        <v>-3</v>
      </c>
      <c r="I411">
        <v>1</v>
      </c>
      <c r="J411">
        <v>1</v>
      </c>
      <c r="K411">
        <v>1</v>
      </c>
      <c r="L411">
        <v>1</v>
      </c>
      <c r="M411">
        <v>2</v>
      </c>
      <c r="N411">
        <v>1</v>
      </c>
      <c r="O411">
        <v>0.23442321957881401</v>
      </c>
      <c r="P411">
        <v>11.7693305352607</v>
      </c>
      <c r="Q411">
        <v>68.013396808673605</v>
      </c>
      <c r="R411">
        <v>-3</v>
      </c>
      <c r="S411">
        <v>-2.6072950000000001</v>
      </c>
      <c r="T411">
        <v>-0.30313839999999997</v>
      </c>
      <c r="U411">
        <v>-0.88000460000000003</v>
      </c>
      <c r="V411">
        <v>0.8602824</v>
      </c>
      <c r="W411">
        <v>1.9855100000000001</v>
      </c>
      <c r="X411">
        <f t="shared" si="6"/>
        <v>3.8602824</v>
      </c>
    </row>
    <row r="412" spans="1:24" x14ac:dyDescent="0.45">
      <c r="A412">
        <v>1170</v>
      </c>
      <c r="B412">
        <v>3</v>
      </c>
      <c r="C412">
        <v>1</v>
      </c>
      <c r="D412">
        <v>3</v>
      </c>
      <c r="E412">
        <v>-35</v>
      </c>
      <c r="F412">
        <v>0</v>
      </c>
      <c r="G412">
        <v>15</v>
      </c>
      <c r="H412">
        <v>-3</v>
      </c>
      <c r="I412">
        <v>-1</v>
      </c>
      <c r="J412">
        <v>0</v>
      </c>
      <c r="K412">
        <v>-1</v>
      </c>
      <c r="L412">
        <v>-2</v>
      </c>
      <c r="M412">
        <v>0</v>
      </c>
      <c r="N412">
        <v>-2</v>
      </c>
      <c r="O412">
        <v>0.14387568733070699</v>
      </c>
      <c r="P412">
        <v>13.0485445891791</v>
      </c>
      <c r="Q412">
        <v>77.512553827211306</v>
      </c>
      <c r="R412">
        <v>-3</v>
      </c>
      <c r="S412">
        <v>-2.6513059999999999</v>
      </c>
      <c r="T412">
        <v>-1.354514</v>
      </c>
      <c r="U412">
        <v>-1.5170650000000001</v>
      </c>
      <c r="V412">
        <v>-0.92725259999999998</v>
      </c>
      <c r="W412">
        <v>-2.2633380000000001</v>
      </c>
      <c r="X412">
        <f t="shared" si="6"/>
        <v>2.0727473999999999</v>
      </c>
    </row>
    <row r="413" spans="1:24" x14ac:dyDescent="0.45">
      <c r="A413">
        <v>1170</v>
      </c>
      <c r="B413">
        <v>4</v>
      </c>
      <c r="C413">
        <v>1</v>
      </c>
      <c r="D413">
        <v>6</v>
      </c>
      <c r="E413">
        <v>-35</v>
      </c>
      <c r="F413">
        <v>3</v>
      </c>
      <c r="G413">
        <v>15</v>
      </c>
      <c r="H413">
        <v>3</v>
      </c>
      <c r="I413">
        <v>1</v>
      </c>
      <c r="J413">
        <v>0</v>
      </c>
      <c r="K413">
        <v>0</v>
      </c>
      <c r="L413">
        <v>-1</v>
      </c>
      <c r="M413">
        <v>-1</v>
      </c>
      <c r="N413">
        <v>-1</v>
      </c>
      <c r="O413">
        <v>0.12076036085946699</v>
      </c>
      <c r="P413">
        <v>3.5097259161285099</v>
      </c>
      <c r="Q413">
        <v>77.196202634424395</v>
      </c>
      <c r="R413">
        <v>0</v>
      </c>
      <c r="S413">
        <v>5.6818630000000002E-2</v>
      </c>
      <c r="T413">
        <v>0.59822960000000003</v>
      </c>
      <c r="U413">
        <v>1.6659170000000001</v>
      </c>
      <c r="V413">
        <v>2.2247270000000001</v>
      </c>
      <c r="W413">
        <v>2.7544970000000002</v>
      </c>
      <c r="X413">
        <f t="shared" si="6"/>
        <v>2.2247270000000001</v>
      </c>
    </row>
    <row r="414" spans="1:24" x14ac:dyDescent="0.45">
      <c r="A414">
        <v>1170</v>
      </c>
      <c r="B414">
        <v>5</v>
      </c>
      <c r="C414">
        <v>3</v>
      </c>
      <c r="D414">
        <v>4</v>
      </c>
      <c r="E414">
        <v>-45</v>
      </c>
      <c r="F414">
        <v>0</v>
      </c>
      <c r="G414">
        <v>5</v>
      </c>
      <c r="H414">
        <v>3</v>
      </c>
      <c r="I414">
        <v>2</v>
      </c>
      <c r="J414">
        <v>-1</v>
      </c>
      <c r="K414">
        <v>1</v>
      </c>
      <c r="L414">
        <v>1</v>
      </c>
      <c r="M414">
        <v>1</v>
      </c>
      <c r="N414">
        <v>1</v>
      </c>
      <c r="O414">
        <v>0.20423587700385401</v>
      </c>
      <c r="P414">
        <v>7.1358579186208404</v>
      </c>
      <c r="Q414">
        <v>66.210421856268894</v>
      </c>
      <c r="R414">
        <v>3</v>
      </c>
      <c r="S414">
        <v>2.308792</v>
      </c>
      <c r="T414">
        <v>0.61237439999999999</v>
      </c>
      <c r="U414">
        <v>0.64594810000000003</v>
      </c>
      <c r="V414">
        <v>1.147486</v>
      </c>
      <c r="W414">
        <v>1.7191540000000001</v>
      </c>
      <c r="X414">
        <f t="shared" si="6"/>
        <v>1.852514</v>
      </c>
    </row>
    <row r="415" spans="1:24" x14ac:dyDescent="0.45">
      <c r="A415">
        <v>1170</v>
      </c>
      <c r="B415">
        <v>6</v>
      </c>
      <c r="C415">
        <v>2</v>
      </c>
      <c r="D415">
        <v>5</v>
      </c>
      <c r="E415">
        <v>-35</v>
      </c>
      <c r="F415">
        <v>0</v>
      </c>
      <c r="G415">
        <v>15</v>
      </c>
      <c r="H415">
        <v>0</v>
      </c>
      <c r="I415">
        <v>0</v>
      </c>
      <c r="J415">
        <v>1</v>
      </c>
      <c r="K415">
        <v>-1</v>
      </c>
      <c r="L415">
        <v>0</v>
      </c>
      <c r="M415">
        <v>1</v>
      </c>
      <c r="N415">
        <v>0</v>
      </c>
      <c r="O415">
        <v>0.13397992656670901</v>
      </c>
      <c r="P415">
        <v>7.1099245271368501</v>
      </c>
      <c r="Q415">
        <v>77.954305872487694</v>
      </c>
      <c r="R415">
        <v>3</v>
      </c>
      <c r="S415">
        <v>2.3785069999999999</v>
      </c>
      <c r="T415">
        <v>0.62852390000000002</v>
      </c>
      <c r="U415">
        <v>-0.1405979</v>
      </c>
      <c r="V415">
        <v>-1.074538</v>
      </c>
      <c r="W415">
        <v>-1.1963189999999999</v>
      </c>
      <c r="X415">
        <f t="shared" si="6"/>
        <v>4.0745380000000004</v>
      </c>
    </row>
    <row r="416" spans="1:24" x14ac:dyDescent="0.45">
      <c r="A416">
        <v>1170</v>
      </c>
      <c r="B416">
        <v>7</v>
      </c>
      <c r="C416">
        <v>1</v>
      </c>
      <c r="D416">
        <v>2</v>
      </c>
      <c r="E416">
        <v>-35</v>
      </c>
      <c r="F416">
        <v>-3</v>
      </c>
      <c r="G416">
        <v>15</v>
      </c>
      <c r="H416">
        <v>-3</v>
      </c>
      <c r="I416">
        <v>-1</v>
      </c>
      <c r="J416">
        <v>0</v>
      </c>
      <c r="K416">
        <v>-1</v>
      </c>
      <c r="L416">
        <v>0</v>
      </c>
      <c r="M416">
        <v>1</v>
      </c>
      <c r="N416">
        <v>0</v>
      </c>
      <c r="O416">
        <v>0.142115783920782</v>
      </c>
      <c r="P416">
        <v>6.0863017596289204</v>
      </c>
      <c r="Q416">
        <v>77.022917205495901</v>
      </c>
      <c r="R416">
        <v>-3</v>
      </c>
      <c r="S416">
        <v>-2.6024769999999999</v>
      </c>
      <c r="T416">
        <v>-0.92801</v>
      </c>
      <c r="U416">
        <v>0.60408340000000005</v>
      </c>
      <c r="V416">
        <v>0.86602959999999995</v>
      </c>
      <c r="W416">
        <v>1.5924430000000001</v>
      </c>
      <c r="X416">
        <f t="shared" si="6"/>
        <v>3.8660296000000001</v>
      </c>
    </row>
    <row r="417" spans="1:24" x14ac:dyDescent="0.45">
      <c r="A417">
        <v>1170</v>
      </c>
      <c r="B417">
        <v>8</v>
      </c>
      <c r="C417">
        <v>3</v>
      </c>
      <c r="D417">
        <v>6</v>
      </c>
      <c r="E417">
        <v>-35</v>
      </c>
      <c r="F417">
        <v>3</v>
      </c>
      <c r="G417">
        <v>15</v>
      </c>
      <c r="H417">
        <v>3</v>
      </c>
      <c r="I417">
        <v>1</v>
      </c>
      <c r="J417">
        <v>2</v>
      </c>
      <c r="K417">
        <v>1</v>
      </c>
      <c r="L417">
        <v>0</v>
      </c>
      <c r="M417">
        <v>1</v>
      </c>
      <c r="N417">
        <v>1</v>
      </c>
      <c r="O417">
        <v>0.22115912975631</v>
      </c>
      <c r="P417">
        <v>8.5844883708020898</v>
      </c>
      <c r="Q417">
        <v>75.727528156838801</v>
      </c>
      <c r="R417">
        <v>0</v>
      </c>
      <c r="S417">
        <v>0</v>
      </c>
      <c r="T417">
        <v>-1.3722659999999999E-2</v>
      </c>
      <c r="U417">
        <v>0.55645690000000003</v>
      </c>
      <c r="V417">
        <v>-8.1504670000000001E-2</v>
      </c>
      <c r="W417">
        <v>-0.53872109999999995</v>
      </c>
      <c r="X417">
        <f t="shared" si="6"/>
        <v>8.1504670000000001E-2</v>
      </c>
    </row>
    <row r="418" spans="1:24" x14ac:dyDescent="0.45">
      <c r="A418">
        <v>1170</v>
      </c>
      <c r="B418">
        <v>9</v>
      </c>
      <c r="C418">
        <v>2</v>
      </c>
      <c r="D418">
        <v>3</v>
      </c>
      <c r="E418">
        <v>-35</v>
      </c>
      <c r="F418">
        <v>0</v>
      </c>
      <c r="G418">
        <v>15</v>
      </c>
      <c r="H418">
        <v>-3</v>
      </c>
      <c r="I418">
        <v>1</v>
      </c>
      <c r="J418">
        <v>-1</v>
      </c>
      <c r="K418">
        <v>1</v>
      </c>
      <c r="L418">
        <v>-1</v>
      </c>
      <c r="M418">
        <v>0</v>
      </c>
      <c r="N418">
        <v>0</v>
      </c>
      <c r="O418">
        <v>0.195015286912711</v>
      </c>
      <c r="P418">
        <v>4.5251178626552804</v>
      </c>
      <c r="Q418">
        <v>74.789839997932802</v>
      </c>
      <c r="R418">
        <v>-3</v>
      </c>
      <c r="S418">
        <v>-2.5708829999999998</v>
      </c>
      <c r="T418">
        <v>-1.157489</v>
      </c>
      <c r="U418">
        <v>-0.62244909999999998</v>
      </c>
      <c r="V418">
        <v>-1.884093</v>
      </c>
      <c r="W418">
        <v>-2.3677429999999999</v>
      </c>
      <c r="X418">
        <f t="shared" si="6"/>
        <v>1.115907</v>
      </c>
    </row>
    <row r="419" spans="1:24" x14ac:dyDescent="0.45">
      <c r="A419">
        <v>1170</v>
      </c>
      <c r="B419">
        <v>10</v>
      </c>
      <c r="C419">
        <v>2</v>
      </c>
      <c r="D419">
        <v>8</v>
      </c>
      <c r="E419">
        <v>-45</v>
      </c>
      <c r="F419">
        <v>0</v>
      </c>
      <c r="G419">
        <v>5</v>
      </c>
      <c r="H419">
        <v>-3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0.18912723058436201</v>
      </c>
      <c r="P419">
        <v>6.3086566066386798</v>
      </c>
      <c r="Q419">
        <v>66.630968162986704</v>
      </c>
      <c r="R419">
        <v>-3</v>
      </c>
      <c r="S419">
        <v>-2.5642010000000002</v>
      </c>
      <c r="T419">
        <v>-1.319034</v>
      </c>
      <c r="U419">
        <v>-0.64365799999999995</v>
      </c>
      <c r="V419">
        <v>0.1685171</v>
      </c>
      <c r="W419">
        <v>6.8337839999999997E-2</v>
      </c>
      <c r="X419">
        <f t="shared" si="6"/>
        <v>3.1685170999999999</v>
      </c>
    </row>
    <row r="420" spans="1:24" x14ac:dyDescent="0.45">
      <c r="A420">
        <v>1170</v>
      </c>
      <c r="B420">
        <v>11</v>
      </c>
      <c r="C420">
        <v>3</v>
      </c>
      <c r="D420">
        <v>1</v>
      </c>
      <c r="E420">
        <v>-35</v>
      </c>
      <c r="F420">
        <v>0</v>
      </c>
      <c r="G420">
        <v>15</v>
      </c>
      <c r="H420">
        <v>0</v>
      </c>
      <c r="I420">
        <v>1</v>
      </c>
      <c r="J420">
        <v>0</v>
      </c>
      <c r="K420">
        <v>1</v>
      </c>
      <c r="L420">
        <v>1</v>
      </c>
      <c r="M420">
        <v>1</v>
      </c>
      <c r="N420">
        <v>1</v>
      </c>
      <c r="O420">
        <v>0.18784429331254501</v>
      </c>
      <c r="P420">
        <v>3.48842402443944</v>
      </c>
      <c r="Q420">
        <v>75.326018751895106</v>
      </c>
      <c r="R420">
        <v>0</v>
      </c>
      <c r="S420">
        <v>0.2440145</v>
      </c>
      <c r="T420">
        <v>1.6409380000000001E-2</v>
      </c>
      <c r="U420">
        <v>-0.41123769999999998</v>
      </c>
      <c r="V420">
        <v>-1.374118</v>
      </c>
      <c r="W420">
        <v>-2.0092840000000001</v>
      </c>
      <c r="X420">
        <f t="shared" si="6"/>
        <v>1.374118</v>
      </c>
    </row>
    <row r="421" spans="1:24" x14ac:dyDescent="0.45">
      <c r="A421">
        <v>1170</v>
      </c>
      <c r="B421">
        <v>12</v>
      </c>
      <c r="C421">
        <v>1</v>
      </c>
      <c r="D421">
        <v>7</v>
      </c>
      <c r="E421">
        <v>-35</v>
      </c>
      <c r="F421">
        <v>0</v>
      </c>
      <c r="G421">
        <v>15</v>
      </c>
      <c r="H421">
        <v>3</v>
      </c>
      <c r="I421">
        <v>0</v>
      </c>
      <c r="J421">
        <v>1</v>
      </c>
      <c r="K421">
        <v>1</v>
      </c>
      <c r="L421">
        <v>-2</v>
      </c>
      <c r="M421">
        <v>-1</v>
      </c>
      <c r="N421">
        <v>-1</v>
      </c>
      <c r="O421">
        <v>0.174924399624792</v>
      </c>
      <c r="P421">
        <v>2.9985186165658599</v>
      </c>
      <c r="Q421">
        <v>75.453469122630693</v>
      </c>
      <c r="R421">
        <v>3</v>
      </c>
      <c r="S421">
        <v>2.640609</v>
      </c>
      <c r="T421">
        <v>1.4382410000000001</v>
      </c>
      <c r="U421">
        <v>1.4661249999999999</v>
      </c>
      <c r="V421">
        <v>1.698107</v>
      </c>
      <c r="W421">
        <v>1.8917520000000001</v>
      </c>
      <c r="X421">
        <f t="shared" si="6"/>
        <v>1.301893</v>
      </c>
    </row>
    <row r="422" spans="1:24" x14ac:dyDescent="0.45">
      <c r="A422">
        <v>1170</v>
      </c>
      <c r="B422">
        <v>13</v>
      </c>
      <c r="C422">
        <v>3</v>
      </c>
      <c r="D422">
        <v>3</v>
      </c>
      <c r="E422">
        <v>-35</v>
      </c>
      <c r="F422">
        <v>0</v>
      </c>
      <c r="G422">
        <v>15</v>
      </c>
      <c r="H422">
        <v>-3</v>
      </c>
      <c r="I422">
        <v>2</v>
      </c>
      <c r="J422">
        <v>-1</v>
      </c>
      <c r="K422">
        <v>2</v>
      </c>
      <c r="L422">
        <v>1</v>
      </c>
      <c r="M422">
        <v>1</v>
      </c>
      <c r="N422">
        <v>0</v>
      </c>
      <c r="O422">
        <v>0.14937840609560299</v>
      </c>
      <c r="P422">
        <v>2.3441819597181599</v>
      </c>
      <c r="Q422">
        <v>77.257420582609896</v>
      </c>
      <c r="R422">
        <v>-3</v>
      </c>
      <c r="S422">
        <v>-2.8538060000000001</v>
      </c>
      <c r="T422">
        <v>-2.474745</v>
      </c>
      <c r="U422">
        <v>-2.5754510000000002</v>
      </c>
      <c r="V422">
        <v>-2.5679409999999998</v>
      </c>
      <c r="W422">
        <v>-2.731169</v>
      </c>
      <c r="X422">
        <f t="shared" si="6"/>
        <v>0.43205900000000019</v>
      </c>
    </row>
    <row r="423" spans="1:24" x14ac:dyDescent="0.45">
      <c r="A423">
        <v>1170</v>
      </c>
      <c r="B423">
        <v>14</v>
      </c>
      <c r="C423">
        <v>3</v>
      </c>
      <c r="D423">
        <v>5</v>
      </c>
      <c r="E423">
        <v>-35</v>
      </c>
      <c r="F423">
        <v>0</v>
      </c>
      <c r="G423">
        <v>15</v>
      </c>
      <c r="H423">
        <v>0</v>
      </c>
      <c r="I423">
        <v>2</v>
      </c>
      <c r="J423">
        <v>-1</v>
      </c>
      <c r="K423">
        <v>0</v>
      </c>
      <c r="L423">
        <v>2</v>
      </c>
      <c r="M423">
        <v>1</v>
      </c>
      <c r="N423">
        <v>1</v>
      </c>
      <c r="O423">
        <v>0.17549809750352099</v>
      </c>
      <c r="P423">
        <v>5.4809865176509698</v>
      </c>
      <c r="Q423">
        <v>74.913935939807502</v>
      </c>
      <c r="R423">
        <v>3</v>
      </c>
      <c r="S423">
        <v>2.9996849999999999</v>
      </c>
      <c r="T423">
        <v>2.5992829999999998</v>
      </c>
      <c r="U423">
        <v>2.73828</v>
      </c>
      <c r="V423">
        <v>2.758508</v>
      </c>
      <c r="W423">
        <v>3.0675189999999999</v>
      </c>
      <c r="X423">
        <f t="shared" si="6"/>
        <v>0.24149200000000004</v>
      </c>
    </row>
    <row r="424" spans="1:24" x14ac:dyDescent="0.45">
      <c r="A424">
        <v>1170</v>
      </c>
      <c r="B424">
        <v>15</v>
      </c>
      <c r="C424">
        <v>1</v>
      </c>
      <c r="D424">
        <v>4</v>
      </c>
      <c r="E424">
        <v>-45</v>
      </c>
      <c r="F424">
        <v>0</v>
      </c>
      <c r="G424">
        <v>5</v>
      </c>
      <c r="H424">
        <v>3</v>
      </c>
      <c r="I424">
        <v>2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0.208800359495876</v>
      </c>
      <c r="P424">
        <v>3.95125285229377</v>
      </c>
      <c r="Q424">
        <v>66.690965239033702</v>
      </c>
      <c r="R424">
        <v>3</v>
      </c>
      <c r="S424">
        <v>2.8675320000000002</v>
      </c>
      <c r="T424">
        <v>1.8619859999999999</v>
      </c>
      <c r="U424">
        <v>1.564041</v>
      </c>
      <c r="V424">
        <v>1.058827</v>
      </c>
      <c r="W424">
        <v>1.6777299999999999</v>
      </c>
      <c r="X424">
        <f t="shared" si="6"/>
        <v>1.941173</v>
      </c>
    </row>
    <row r="425" spans="1:24" x14ac:dyDescent="0.45">
      <c r="A425">
        <v>1170</v>
      </c>
      <c r="B425">
        <v>16</v>
      </c>
      <c r="C425">
        <v>2</v>
      </c>
      <c r="D425">
        <v>7</v>
      </c>
      <c r="E425">
        <v>-35</v>
      </c>
      <c r="F425">
        <v>0</v>
      </c>
      <c r="G425">
        <v>15</v>
      </c>
      <c r="H425">
        <v>3</v>
      </c>
      <c r="I425">
        <v>2</v>
      </c>
      <c r="J425">
        <v>2</v>
      </c>
      <c r="K425">
        <v>1</v>
      </c>
      <c r="L425">
        <v>1</v>
      </c>
      <c r="M425">
        <v>2</v>
      </c>
      <c r="N425">
        <v>2</v>
      </c>
      <c r="O425">
        <v>0.118857383878196</v>
      </c>
      <c r="P425">
        <v>3.8848998661114198</v>
      </c>
      <c r="Q425">
        <v>76.893384040131807</v>
      </c>
      <c r="R425">
        <v>3</v>
      </c>
      <c r="S425">
        <v>2.8825829999999999</v>
      </c>
      <c r="T425">
        <v>1.9407730000000001</v>
      </c>
      <c r="U425">
        <v>1.4820359999999999</v>
      </c>
      <c r="V425">
        <v>1.306519</v>
      </c>
      <c r="W425">
        <v>2.3792680000000002</v>
      </c>
      <c r="X425">
        <f t="shared" si="6"/>
        <v>1.693481</v>
      </c>
    </row>
    <row r="426" spans="1:24" x14ac:dyDescent="0.45">
      <c r="A426">
        <v>1170</v>
      </c>
      <c r="B426">
        <v>17</v>
      </c>
      <c r="C426">
        <v>3</v>
      </c>
      <c r="D426">
        <v>2</v>
      </c>
      <c r="E426">
        <v>-35</v>
      </c>
      <c r="F426">
        <v>-3</v>
      </c>
      <c r="G426">
        <v>15</v>
      </c>
      <c r="H426">
        <v>-3</v>
      </c>
      <c r="I426">
        <v>-1</v>
      </c>
      <c r="J426">
        <v>1</v>
      </c>
      <c r="K426">
        <v>-1</v>
      </c>
      <c r="L426">
        <v>0</v>
      </c>
      <c r="M426">
        <v>1</v>
      </c>
      <c r="N426">
        <v>-1</v>
      </c>
      <c r="O426">
        <v>0.19572466614539399</v>
      </c>
      <c r="P426">
        <v>4.0749922575589599</v>
      </c>
      <c r="Q426">
        <v>77.680604879441901</v>
      </c>
      <c r="R426">
        <v>-3</v>
      </c>
      <c r="S426">
        <v>-2.440855</v>
      </c>
      <c r="T426">
        <v>-0.83282129999999999</v>
      </c>
      <c r="U426">
        <v>0.75769450000000005</v>
      </c>
      <c r="V426">
        <v>1.1841250000000001</v>
      </c>
      <c r="W426">
        <v>2.4942389999999999</v>
      </c>
      <c r="X426">
        <f t="shared" si="6"/>
        <v>4.1841249999999999</v>
      </c>
    </row>
    <row r="427" spans="1:24" x14ac:dyDescent="0.45">
      <c r="A427">
        <v>1170</v>
      </c>
      <c r="B427">
        <v>18</v>
      </c>
      <c r="C427">
        <v>2</v>
      </c>
      <c r="D427">
        <v>6</v>
      </c>
      <c r="E427">
        <v>-35</v>
      </c>
      <c r="F427">
        <v>3</v>
      </c>
      <c r="G427">
        <v>15</v>
      </c>
      <c r="H427">
        <v>3</v>
      </c>
      <c r="I427">
        <v>2</v>
      </c>
      <c r="J427">
        <v>0</v>
      </c>
      <c r="K427">
        <v>1</v>
      </c>
      <c r="L427">
        <v>0</v>
      </c>
      <c r="M427">
        <v>1</v>
      </c>
      <c r="N427">
        <v>2</v>
      </c>
      <c r="O427">
        <v>0.15370667060516899</v>
      </c>
      <c r="P427">
        <v>4.7519528479397604</v>
      </c>
      <c r="Q427">
        <v>76.897164948661498</v>
      </c>
      <c r="R427">
        <v>0</v>
      </c>
      <c r="S427">
        <v>0.1772531</v>
      </c>
      <c r="T427">
        <v>0.78910930000000001</v>
      </c>
      <c r="U427">
        <v>0.92007939999999999</v>
      </c>
      <c r="V427">
        <v>1.8355680000000001</v>
      </c>
      <c r="W427">
        <v>2.297952</v>
      </c>
      <c r="X427">
        <f t="shared" si="6"/>
        <v>1.8355680000000001</v>
      </c>
    </row>
    <row r="428" spans="1:24" x14ac:dyDescent="0.45">
      <c r="A428">
        <v>1170</v>
      </c>
      <c r="B428">
        <v>19</v>
      </c>
      <c r="C428">
        <v>1</v>
      </c>
      <c r="D428">
        <v>1</v>
      </c>
      <c r="E428">
        <v>-35</v>
      </c>
      <c r="F428">
        <v>0</v>
      </c>
      <c r="G428">
        <v>15</v>
      </c>
      <c r="H428">
        <v>0</v>
      </c>
      <c r="I428">
        <v>-1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0.185549090493353</v>
      </c>
      <c r="P428">
        <v>2.7396748323246198</v>
      </c>
      <c r="Q428">
        <v>74.494148262592702</v>
      </c>
      <c r="R428">
        <v>0</v>
      </c>
      <c r="S428">
        <v>-3.379361E-3</v>
      </c>
      <c r="T428">
        <v>-0.56637389999999999</v>
      </c>
      <c r="U428">
        <v>-0.74972150000000004</v>
      </c>
      <c r="V428">
        <v>-1.332284</v>
      </c>
      <c r="W428">
        <v>-1.915762</v>
      </c>
      <c r="X428">
        <f t="shared" si="6"/>
        <v>1.332284</v>
      </c>
    </row>
    <row r="429" spans="1:24" x14ac:dyDescent="0.45">
      <c r="A429">
        <v>1170</v>
      </c>
      <c r="B429">
        <v>20</v>
      </c>
      <c r="C429">
        <v>1</v>
      </c>
      <c r="D429">
        <v>8</v>
      </c>
      <c r="E429">
        <v>-45</v>
      </c>
      <c r="F429">
        <v>0</v>
      </c>
      <c r="G429">
        <v>5</v>
      </c>
      <c r="H429">
        <v>-3</v>
      </c>
      <c r="I429">
        <v>0</v>
      </c>
      <c r="J429">
        <v>1</v>
      </c>
      <c r="K429">
        <v>0</v>
      </c>
      <c r="L429">
        <v>-1</v>
      </c>
      <c r="M429">
        <v>1</v>
      </c>
      <c r="N429">
        <v>0</v>
      </c>
      <c r="O429">
        <v>0.125192556627646</v>
      </c>
      <c r="P429">
        <v>4.5245306866458002</v>
      </c>
      <c r="Q429">
        <v>69.322053802726302</v>
      </c>
      <c r="R429">
        <v>-3</v>
      </c>
      <c r="S429">
        <v>-3</v>
      </c>
      <c r="T429">
        <v>-1.942909</v>
      </c>
      <c r="U429">
        <v>-1.210151</v>
      </c>
      <c r="V429">
        <v>-0.68314889999999995</v>
      </c>
      <c r="W429">
        <v>-1.102468</v>
      </c>
      <c r="X429">
        <f t="shared" si="6"/>
        <v>2.3168511000000001</v>
      </c>
    </row>
    <row r="430" spans="1:24" x14ac:dyDescent="0.45">
      <c r="A430">
        <v>1170</v>
      </c>
      <c r="B430">
        <v>21</v>
      </c>
      <c r="C430">
        <v>2</v>
      </c>
      <c r="D430">
        <v>2</v>
      </c>
      <c r="E430">
        <v>-35</v>
      </c>
      <c r="F430">
        <v>-3</v>
      </c>
      <c r="G430">
        <v>15</v>
      </c>
      <c r="H430">
        <v>-3</v>
      </c>
      <c r="I430">
        <v>-1</v>
      </c>
      <c r="J430">
        <v>1</v>
      </c>
      <c r="K430">
        <v>-1</v>
      </c>
      <c r="L430">
        <v>0</v>
      </c>
      <c r="M430">
        <v>1</v>
      </c>
      <c r="N430">
        <v>-1</v>
      </c>
      <c r="O430">
        <v>0.15707149756210501</v>
      </c>
      <c r="P430">
        <v>3.7267969846829301</v>
      </c>
      <c r="Q430">
        <v>78.320459672769402</v>
      </c>
      <c r="R430">
        <v>-3</v>
      </c>
      <c r="S430">
        <v>-2.439187</v>
      </c>
      <c r="T430">
        <v>-1.004915</v>
      </c>
      <c r="U430">
        <v>0.53194859999999999</v>
      </c>
      <c r="V430">
        <v>1.825728</v>
      </c>
      <c r="W430">
        <v>2.4703560000000002</v>
      </c>
      <c r="X430">
        <f t="shared" si="6"/>
        <v>4.8257279999999998</v>
      </c>
    </row>
    <row r="431" spans="1:24" x14ac:dyDescent="0.45">
      <c r="A431">
        <v>1170</v>
      </c>
      <c r="B431">
        <v>22</v>
      </c>
      <c r="C431">
        <v>3</v>
      </c>
      <c r="D431">
        <v>7</v>
      </c>
      <c r="E431">
        <v>-35</v>
      </c>
      <c r="F431">
        <v>0</v>
      </c>
      <c r="G431">
        <v>15</v>
      </c>
      <c r="H431">
        <v>3</v>
      </c>
      <c r="I431">
        <v>1</v>
      </c>
      <c r="J431">
        <v>1</v>
      </c>
      <c r="K431">
        <v>1</v>
      </c>
      <c r="L431">
        <v>2</v>
      </c>
      <c r="M431">
        <v>1</v>
      </c>
      <c r="N431">
        <v>1</v>
      </c>
      <c r="O431">
        <v>0.119489805437876</v>
      </c>
      <c r="P431">
        <v>2.6778216274637399</v>
      </c>
      <c r="Q431">
        <v>76.952646074133099</v>
      </c>
      <c r="R431">
        <v>3</v>
      </c>
      <c r="S431">
        <v>3.3371849999999998</v>
      </c>
      <c r="T431">
        <v>3.1859730000000002</v>
      </c>
      <c r="U431">
        <v>3.2790750000000002</v>
      </c>
      <c r="V431">
        <v>3.5862210000000001</v>
      </c>
      <c r="W431">
        <v>3.7981799999999999</v>
      </c>
      <c r="X431">
        <f t="shared" si="6"/>
        <v>0.5862210000000001</v>
      </c>
    </row>
    <row r="432" spans="1:24" x14ac:dyDescent="0.45">
      <c r="A432">
        <v>1170</v>
      </c>
      <c r="B432">
        <v>23</v>
      </c>
      <c r="C432">
        <v>2</v>
      </c>
      <c r="D432">
        <v>4</v>
      </c>
      <c r="E432">
        <v>-45</v>
      </c>
      <c r="F432">
        <v>0</v>
      </c>
      <c r="G432">
        <v>5</v>
      </c>
      <c r="H432">
        <v>3</v>
      </c>
      <c r="I432">
        <v>2</v>
      </c>
      <c r="J432">
        <v>1</v>
      </c>
      <c r="K432">
        <v>2</v>
      </c>
      <c r="L432">
        <v>1</v>
      </c>
      <c r="M432">
        <v>1</v>
      </c>
      <c r="N432">
        <v>1</v>
      </c>
      <c r="O432">
        <v>0.17053906036849401</v>
      </c>
      <c r="P432">
        <v>2.75265715149719</v>
      </c>
      <c r="Q432">
        <v>66.759303253131606</v>
      </c>
      <c r="R432">
        <v>3</v>
      </c>
      <c r="S432">
        <v>2.9818440000000002</v>
      </c>
      <c r="T432">
        <v>2.5544150000000001</v>
      </c>
      <c r="U432">
        <v>2.5548829999999998</v>
      </c>
      <c r="V432">
        <v>2.552197</v>
      </c>
      <c r="W432">
        <v>2.894469</v>
      </c>
      <c r="X432">
        <f t="shared" si="6"/>
        <v>0.44780299999999995</v>
      </c>
    </row>
    <row r="433" spans="1:24" x14ac:dyDescent="0.45">
      <c r="A433">
        <v>1170</v>
      </c>
      <c r="B433">
        <v>24</v>
      </c>
      <c r="C433">
        <v>1</v>
      </c>
      <c r="D433">
        <v>5</v>
      </c>
      <c r="E433">
        <v>-35</v>
      </c>
      <c r="F433">
        <v>0</v>
      </c>
      <c r="G433">
        <v>15</v>
      </c>
      <c r="H433">
        <v>0</v>
      </c>
      <c r="I433">
        <v>1</v>
      </c>
      <c r="J433">
        <v>1</v>
      </c>
      <c r="K433">
        <v>1</v>
      </c>
      <c r="L433">
        <v>2</v>
      </c>
      <c r="M433">
        <v>1</v>
      </c>
      <c r="N433">
        <v>1</v>
      </c>
      <c r="O433">
        <v>0.13927875494467101</v>
      </c>
      <c r="P433">
        <v>3.4046867219372499</v>
      </c>
      <c r="Q433">
        <v>77.888031293139306</v>
      </c>
      <c r="R433">
        <v>3</v>
      </c>
      <c r="S433">
        <v>2.960985</v>
      </c>
      <c r="T433">
        <v>1.9157580000000001</v>
      </c>
      <c r="U433">
        <v>1.063061</v>
      </c>
      <c r="V433">
        <v>0.78756870000000001</v>
      </c>
      <c r="W433">
        <v>0.47828989999999999</v>
      </c>
      <c r="X433">
        <f t="shared" si="6"/>
        <v>2.2124313</v>
      </c>
    </row>
    <row r="434" spans="1:24" x14ac:dyDescent="0.45">
      <c r="A434">
        <v>1180</v>
      </c>
      <c r="B434">
        <v>1</v>
      </c>
      <c r="C434">
        <v>1</v>
      </c>
      <c r="D434">
        <v>5</v>
      </c>
      <c r="E434">
        <v>-35</v>
      </c>
      <c r="F434">
        <v>0</v>
      </c>
      <c r="G434">
        <v>15</v>
      </c>
      <c r="H434">
        <v>0</v>
      </c>
      <c r="I434">
        <v>-1</v>
      </c>
      <c r="J434">
        <v>-1</v>
      </c>
      <c r="K434">
        <v>-2</v>
      </c>
      <c r="L434">
        <v>-1</v>
      </c>
      <c r="M434">
        <v>-1</v>
      </c>
      <c r="N434">
        <v>-1</v>
      </c>
      <c r="O434">
        <v>0.16585973162016199</v>
      </c>
      <c r="P434">
        <v>2.11449190999463</v>
      </c>
      <c r="Q434">
        <v>76.548641212278596</v>
      </c>
      <c r="R434">
        <v>3</v>
      </c>
      <c r="S434">
        <v>3</v>
      </c>
      <c r="T434">
        <v>3</v>
      </c>
      <c r="U434">
        <v>3</v>
      </c>
      <c r="V434">
        <v>2.9912000000000001</v>
      </c>
      <c r="W434">
        <v>2.7959900000000002</v>
      </c>
      <c r="X434">
        <f t="shared" si="6"/>
        <v>8.799999999999919E-3</v>
      </c>
    </row>
    <row r="435" spans="1:24" x14ac:dyDescent="0.45">
      <c r="A435">
        <v>1180</v>
      </c>
      <c r="B435">
        <v>2</v>
      </c>
      <c r="C435">
        <v>2</v>
      </c>
      <c r="D435">
        <v>4</v>
      </c>
      <c r="E435">
        <v>-45</v>
      </c>
      <c r="F435">
        <v>0</v>
      </c>
      <c r="G435">
        <v>5</v>
      </c>
      <c r="H435">
        <v>3</v>
      </c>
      <c r="I435">
        <v>2</v>
      </c>
      <c r="J435">
        <v>-1</v>
      </c>
      <c r="K435">
        <v>2</v>
      </c>
      <c r="L435">
        <v>-1</v>
      </c>
      <c r="M435">
        <v>-1</v>
      </c>
      <c r="N435">
        <v>1</v>
      </c>
      <c r="O435">
        <v>0.17151243463661001</v>
      </c>
      <c r="P435">
        <v>0.94805061578852001</v>
      </c>
      <c r="Q435">
        <v>65.651214748543495</v>
      </c>
      <c r="R435">
        <v>3</v>
      </c>
      <c r="S435">
        <v>3</v>
      </c>
      <c r="T435">
        <v>3</v>
      </c>
      <c r="U435">
        <v>2.8541859999999999</v>
      </c>
      <c r="V435">
        <v>2.7203919999999999</v>
      </c>
      <c r="W435">
        <v>2.6416170000000001</v>
      </c>
      <c r="X435">
        <f t="shared" si="6"/>
        <v>0.27960800000000008</v>
      </c>
    </row>
    <row r="436" spans="1:24" x14ac:dyDescent="0.45">
      <c r="A436">
        <v>1180</v>
      </c>
      <c r="B436">
        <v>3</v>
      </c>
      <c r="C436">
        <v>3</v>
      </c>
      <c r="D436">
        <v>7</v>
      </c>
      <c r="E436">
        <v>-35</v>
      </c>
      <c r="F436">
        <v>0</v>
      </c>
      <c r="G436">
        <v>15</v>
      </c>
      <c r="H436">
        <v>3</v>
      </c>
      <c r="I436">
        <v>-1</v>
      </c>
      <c r="J436">
        <v>-2</v>
      </c>
      <c r="K436">
        <v>2</v>
      </c>
      <c r="L436">
        <v>-1</v>
      </c>
      <c r="M436">
        <v>-2</v>
      </c>
      <c r="N436">
        <v>-1</v>
      </c>
      <c r="O436">
        <v>0.137497410276122</v>
      </c>
      <c r="P436">
        <v>0.69873348372004396</v>
      </c>
      <c r="Q436">
        <v>75.390951415939597</v>
      </c>
      <c r="R436">
        <v>3</v>
      </c>
      <c r="S436">
        <v>3</v>
      </c>
      <c r="T436">
        <v>3.0469490000000001</v>
      </c>
      <c r="U436">
        <v>3.1444719999999999</v>
      </c>
      <c r="V436">
        <v>3.2060270000000002</v>
      </c>
      <c r="W436">
        <v>3.2182629999999999</v>
      </c>
      <c r="X436">
        <f t="shared" si="6"/>
        <v>0.20602700000000018</v>
      </c>
    </row>
    <row r="437" spans="1:24" x14ac:dyDescent="0.45">
      <c r="A437">
        <v>1180</v>
      </c>
      <c r="B437">
        <v>4</v>
      </c>
      <c r="C437">
        <v>2</v>
      </c>
      <c r="D437">
        <v>2</v>
      </c>
      <c r="E437">
        <v>-35</v>
      </c>
      <c r="F437">
        <v>-3</v>
      </c>
      <c r="G437">
        <v>15</v>
      </c>
      <c r="H437">
        <v>-3</v>
      </c>
      <c r="I437">
        <v>1</v>
      </c>
      <c r="J437">
        <v>-1</v>
      </c>
      <c r="K437">
        <v>2</v>
      </c>
      <c r="L437">
        <v>-2</v>
      </c>
      <c r="M437">
        <v>-2</v>
      </c>
      <c r="N437">
        <v>-1</v>
      </c>
      <c r="O437">
        <v>0.18562772322507901</v>
      </c>
      <c r="P437">
        <v>3.8480414758727601</v>
      </c>
      <c r="Q437">
        <v>76.196067086858505</v>
      </c>
      <c r="R437">
        <v>-3</v>
      </c>
      <c r="S437">
        <v>-3</v>
      </c>
      <c r="T437">
        <v>-2.9704619999999999</v>
      </c>
      <c r="U437">
        <v>-2.5661510000000001</v>
      </c>
      <c r="V437">
        <v>-1.509671</v>
      </c>
      <c r="W437">
        <v>-0.4735277</v>
      </c>
      <c r="X437">
        <f t="shared" si="6"/>
        <v>1.490329</v>
      </c>
    </row>
    <row r="438" spans="1:24" x14ac:dyDescent="0.45">
      <c r="A438">
        <v>1180</v>
      </c>
      <c r="B438">
        <v>5</v>
      </c>
      <c r="C438">
        <v>1</v>
      </c>
      <c r="D438">
        <v>8</v>
      </c>
      <c r="E438">
        <v>-45</v>
      </c>
      <c r="F438">
        <v>0</v>
      </c>
      <c r="G438">
        <v>5</v>
      </c>
      <c r="H438">
        <v>-3</v>
      </c>
      <c r="I438">
        <v>-2</v>
      </c>
      <c r="J438">
        <v>-2</v>
      </c>
      <c r="K438">
        <v>-1</v>
      </c>
      <c r="L438">
        <v>-2</v>
      </c>
      <c r="M438">
        <v>-1</v>
      </c>
      <c r="N438">
        <v>-2</v>
      </c>
      <c r="O438">
        <v>0.149112388103012</v>
      </c>
      <c r="P438">
        <v>1.92730770768009</v>
      </c>
      <c r="Q438">
        <v>66.341941729543507</v>
      </c>
      <c r="R438">
        <v>-3</v>
      </c>
      <c r="S438">
        <v>-3</v>
      </c>
      <c r="T438">
        <v>-3</v>
      </c>
      <c r="U438">
        <v>-3.1574330000000002</v>
      </c>
      <c r="V438">
        <v>-3.8086929999999999</v>
      </c>
      <c r="W438">
        <v>-4.2267270000000003</v>
      </c>
      <c r="X438">
        <f t="shared" si="6"/>
        <v>0.80869299999999988</v>
      </c>
    </row>
    <row r="439" spans="1:24" x14ac:dyDescent="0.45">
      <c r="A439">
        <v>1180</v>
      </c>
      <c r="B439">
        <v>6</v>
      </c>
      <c r="C439">
        <v>1</v>
      </c>
      <c r="D439">
        <v>1</v>
      </c>
      <c r="E439">
        <v>-35</v>
      </c>
      <c r="F439">
        <v>0</v>
      </c>
      <c r="G439">
        <v>15</v>
      </c>
      <c r="H439">
        <v>0</v>
      </c>
      <c r="I439">
        <v>-2</v>
      </c>
      <c r="J439">
        <v>-2</v>
      </c>
      <c r="K439">
        <v>-2</v>
      </c>
      <c r="L439">
        <v>-2</v>
      </c>
      <c r="M439">
        <v>-1</v>
      </c>
      <c r="N439">
        <v>-2</v>
      </c>
      <c r="O439">
        <v>0.17559890722218799</v>
      </c>
      <c r="P439">
        <v>1.3529697265602301</v>
      </c>
      <c r="Q439">
        <v>75.158547297098195</v>
      </c>
      <c r="R439">
        <v>0</v>
      </c>
      <c r="S439">
        <v>0</v>
      </c>
      <c r="T439">
        <v>0</v>
      </c>
      <c r="U439">
        <v>-0.3238492</v>
      </c>
      <c r="V439">
        <v>-1.803571</v>
      </c>
      <c r="W439">
        <v>-3.0765989999999999</v>
      </c>
      <c r="X439">
        <f t="shared" si="6"/>
        <v>1.803571</v>
      </c>
    </row>
    <row r="440" spans="1:24" x14ac:dyDescent="0.45">
      <c r="A440">
        <v>1180</v>
      </c>
      <c r="B440">
        <v>7</v>
      </c>
      <c r="C440">
        <v>2</v>
      </c>
      <c r="D440">
        <v>6</v>
      </c>
      <c r="E440">
        <v>-35</v>
      </c>
      <c r="F440">
        <v>3</v>
      </c>
      <c r="G440">
        <v>15</v>
      </c>
      <c r="H440">
        <v>3</v>
      </c>
      <c r="I440">
        <v>-2</v>
      </c>
      <c r="J440">
        <v>-2</v>
      </c>
      <c r="K440">
        <v>1</v>
      </c>
      <c r="L440">
        <v>-2</v>
      </c>
      <c r="M440">
        <v>-2</v>
      </c>
      <c r="N440">
        <v>-2</v>
      </c>
      <c r="O440">
        <v>0.18305209528609301</v>
      </c>
      <c r="P440">
        <v>8.4102429420534701</v>
      </c>
      <c r="Q440">
        <v>77.204280286401598</v>
      </c>
      <c r="R440">
        <v>0</v>
      </c>
      <c r="S440">
        <v>0</v>
      </c>
      <c r="T440">
        <v>0</v>
      </c>
      <c r="U440">
        <v>1.429103</v>
      </c>
      <c r="V440">
        <v>2.5112549999999998</v>
      </c>
      <c r="W440">
        <v>3.1361490000000001</v>
      </c>
      <c r="X440">
        <f t="shared" si="6"/>
        <v>2.5112549999999998</v>
      </c>
    </row>
    <row r="441" spans="1:24" x14ac:dyDescent="0.45">
      <c r="A441">
        <v>1180</v>
      </c>
      <c r="B441">
        <v>8</v>
      </c>
      <c r="C441">
        <v>3</v>
      </c>
      <c r="D441">
        <v>2</v>
      </c>
      <c r="E441">
        <v>-35</v>
      </c>
      <c r="F441">
        <v>-3</v>
      </c>
      <c r="G441">
        <v>15</v>
      </c>
      <c r="H441">
        <v>-3</v>
      </c>
      <c r="I441">
        <v>-2</v>
      </c>
      <c r="J441">
        <v>-2</v>
      </c>
      <c r="K441">
        <v>1</v>
      </c>
      <c r="L441">
        <v>-2</v>
      </c>
      <c r="M441">
        <v>-2</v>
      </c>
      <c r="N441">
        <v>-2</v>
      </c>
      <c r="O441">
        <v>0.128485016541147</v>
      </c>
      <c r="P441">
        <v>3.5337154206549801</v>
      </c>
      <c r="Q441">
        <v>77.040915441341099</v>
      </c>
      <c r="R441">
        <v>-3</v>
      </c>
      <c r="S441">
        <v>-3</v>
      </c>
      <c r="T441">
        <v>-3</v>
      </c>
      <c r="U441">
        <v>-1.847502</v>
      </c>
      <c r="V441">
        <v>-0.68217329999999998</v>
      </c>
      <c r="W441">
        <v>0.2127636</v>
      </c>
      <c r="X441">
        <f t="shared" si="6"/>
        <v>2.3178266999999999</v>
      </c>
    </row>
    <row r="442" spans="1:24" x14ac:dyDescent="0.45">
      <c r="A442">
        <v>1180</v>
      </c>
      <c r="B442">
        <v>9</v>
      </c>
      <c r="C442">
        <v>2</v>
      </c>
      <c r="D442">
        <v>7</v>
      </c>
      <c r="E442">
        <v>-35</v>
      </c>
      <c r="F442">
        <v>0</v>
      </c>
      <c r="G442">
        <v>15</v>
      </c>
      <c r="H442">
        <v>3</v>
      </c>
      <c r="I442">
        <v>2</v>
      </c>
      <c r="J442">
        <v>1</v>
      </c>
      <c r="K442">
        <v>2</v>
      </c>
      <c r="L442">
        <v>2</v>
      </c>
      <c r="M442">
        <v>1</v>
      </c>
      <c r="N442">
        <v>2</v>
      </c>
      <c r="O442">
        <v>0.18464989482659</v>
      </c>
      <c r="P442">
        <v>1.8536444634331399</v>
      </c>
      <c r="Q442">
        <v>75.370527789510305</v>
      </c>
      <c r="R442">
        <v>3</v>
      </c>
      <c r="S442">
        <v>3</v>
      </c>
      <c r="T442">
        <v>2.7154099999999999</v>
      </c>
      <c r="U442">
        <v>2.718439</v>
      </c>
      <c r="V442">
        <v>2.829583</v>
      </c>
      <c r="W442">
        <v>3.3302489999999998</v>
      </c>
      <c r="X442">
        <f t="shared" si="6"/>
        <v>0.17041700000000004</v>
      </c>
    </row>
    <row r="443" spans="1:24" x14ac:dyDescent="0.45">
      <c r="A443">
        <v>1180</v>
      </c>
      <c r="B443">
        <v>10</v>
      </c>
      <c r="C443">
        <v>1</v>
      </c>
      <c r="D443">
        <v>4</v>
      </c>
      <c r="E443">
        <v>-45</v>
      </c>
      <c r="F443">
        <v>0</v>
      </c>
      <c r="G443">
        <v>5</v>
      </c>
      <c r="H443">
        <v>3</v>
      </c>
      <c r="I443">
        <v>-1</v>
      </c>
      <c r="J443">
        <v>0</v>
      </c>
      <c r="K443">
        <v>-1</v>
      </c>
      <c r="L443">
        <v>-1</v>
      </c>
      <c r="M443">
        <v>-1</v>
      </c>
      <c r="N443">
        <v>-1</v>
      </c>
      <c r="O443">
        <v>0.12697102513919201</v>
      </c>
      <c r="P443">
        <v>2.2728665595770399</v>
      </c>
      <c r="Q443">
        <v>67.933013903512105</v>
      </c>
      <c r="R443">
        <v>3</v>
      </c>
      <c r="S443">
        <v>3</v>
      </c>
      <c r="T443">
        <v>2.8123960000000001</v>
      </c>
      <c r="U443">
        <v>2.4507349999999999</v>
      </c>
      <c r="V443">
        <v>2.719652</v>
      </c>
      <c r="W443">
        <v>3.3491879999999998</v>
      </c>
      <c r="X443">
        <f t="shared" si="6"/>
        <v>0.28034800000000004</v>
      </c>
    </row>
    <row r="444" spans="1:24" x14ac:dyDescent="0.45">
      <c r="A444">
        <v>1180</v>
      </c>
      <c r="B444">
        <v>11</v>
      </c>
      <c r="C444">
        <v>3</v>
      </c>
      <c r="D444">
        <v>5</v>
      </c>
      <c r="E444">
        <v>-35</v>
      </c>
      <c r="F444">
        <v>0</v>
      </c>
      <c r="G444">
        <v>15</v>
      </c>
      <c r="H444">
        <v>0</v>
      </c>
      <c r="I444">
        <v>-1</v>
      </c>
      <c r="J444">
        <v>-2</v>
      </c>
      <c r="K444">
        <v>-1</v>
      </c>
      <c r="L444">
        <v>-1</v>
      </c>
      <c r="M444">
        <v>-2</v>
      </c>
      <c r="N444">
        <v>-1</v>
      </c>
      <c r="O444">
        <v>0.13574188960382599</v>
      </c>
      <c r="P444">
        <v>2.39732802887533</v>
      </c>
      <c r="Q444">
        <v>76.438961623046595</v>
      </c>
      <c r="R444">
        <v>3</v>
      </c>
      <c r="S444">
        <v>3</v>
      </c>
      <c r="T444">
        <v>1.4240759999999999</v>
      </c>
      <c r="U444">
        <v>0.53392150000000005</v>
      </c>
      <c r="V444">
        <v>-0.24041290000000001</v>
      </c>
      <c r="W444">
        <v>-0.76399740000000005</v>
      </c>
      <c r="X444">
        <f t="shared" si="6"/>
        <v>3.2404128999999999</v>
      </c>
    </row>
    <row r="445" spans="1:24" x14ac:dyDescent="0.45">
      <c r="A445">
        <v>1180</v>
      </c>
      <c r="B445">
        <v>12</v>
      </c>
      <c r="C445">
        <v>3</v>
      </c>
      <c r="D445">
        <v>3</v>
      </c>
      <c r="E445">
        <v>-35</v>
      </c>
      <c r="F445">
        <v>0</v>
      </c>
      <c r="G445">
        <v>15</v>
      </c>
      <c r="H445">
        <v>-3</v>
      </c>
      <c r="I445">
        <v>2</v>
      </c>
      <c r="J445">
        <v>-1</v>
      </c>
      <c r="K445">
        <v>2</v>
      </c>
      <c r="L445">
        <v>1</v>
      </c>
      <c r="M445">
        <v>-1</v>
      </c>
      <c r="N445">
        <v>1</v>
      </c>
      <c r="O445">
        <v>0.16179875109552799</v>
      </c>
      <c r="P445">
        <v>0.56381669242408206</v>
      </c>
      <c r="Q445">
        <v>74.001936365497102</v>
      </c>
      <c r="R445">
        <v>-3</v>
      </c>
      <c r="S445">
        <v>-3</v>
      </c>
      <c r="T445">
        <v>-3</v>
      </c>
      <c r="U445">
        <v>-3.4497330000000002</v>
      </c>
      <c r="V445">
        <v>-3.9022100000000002</v>
      </c>
      <c r="W445">
        <v>-4.1633769999999997</v>
      </c>
      <c r="X445">
        <f t="shared" si="6"/>
        <v>0.90221000000000018</v>
      </c>
    </row>
    <row r="446" spans="1:24" x14ac:dyDescent="0.45">
      <c r="A446">
        <v>1180</v>
      </c>
      <c r="B446">
        <v>13</v>
      </c>
      <c r="C446">
        <v>1</v>
      </c>
      <c r="D446">
        <v>7</v>
      </c>
      <c r="E446">
        <v>-35</v>
      </c>
      <c r="F446">
        <v>0</v>
      </c>
      <c r="G446">
        <v>15</v>
      </c>
      <c r="H446">
        <v>3</v>
      </c>
      <c r="I446">
        <v>-2</v>
      </c>
      <c r="J446">
        <v>-1</v>
      </c>
      <c r="K446">
        <v>-1</v>
      </c>
      <c r="L446">
        <v>-2</v>
      </c>
      <c r="M446">
        <v>-2</v>
      </c>
      <c r="N446">
        <v>-2</v>
      </c>
      <c r="O446">
        <v>0.188904001458538</v>
      </c>
      <c r="P446">
        <v>1.4658048611908301</v>
      </c>
      <c r="Q446">
        <v>38.166062835247097</v>
      </c>
      <c r="R446">
        <v>3</v>
      </c>
      <c r="S446">
        <v>3</v>
      </c>
      <c r="T446">
        <v>3.2184550000000001</v>
      </c>
      <c r="U446">
        <v>3.2944270000000002</v>
      </c>
      <c r="V446">
        <v>3.298918</v>
      </c>
      <c r="W446">
        <v>3.3127309999999999</v>
      </c>
      <c r="X446">
        <f t="shared" si="6"/>
        <v>0.29891800000000002</v>
      </c>
    </row>
    <row r="447" spans="1:24" x14ac:dyDescent="0.45">
      <c r="A447">
        <v>1180</v>
      </c>
      <c r="B447">
        <v>14</v>
      </c>
      <c r="C447">
        <v>3</v>
      </c>
      <c r="D447">
        <v>1</v>
      </c>
      <c r="E447">
        <v>-35</v>
      </c>
      <c r="F447">
        <v>0</v>
      </c>
      <c r="G447">
        <v>15</v>
      </c>
      <c r="H447">
        <v>0</v>
      </c>
      <c r="I447">
        <v>2</v>
      </c>
      <c r="J447">
        <v>1</v>
      </c>
      <c r="K447">
        <v>2</v>
      </c>
      <c r="L447">
        <v>1</v>
      </c>
      <c r="M447">
        <v>0</v>
      </c>
      <c r="N447">
        <v>1</v>
      </c>
      <c r="O447">
        <v>0.14235911719028799</v>
      </c>
      <c r="P447">
        <v>3.2550368090391602</v>
      </c>
      <c r="Q447">
        <v>76.1877513499023</v>
      </c>
      <c r="R447">
        <v>0</v>
      </c>
      <c r="S447">
        <v>0</v>
      </c>
      <c r="T447">
        <v>-5.7723940000000001E-2</v>
      </c>
      <c r="U447">
        <v>-0.63156380000000001</v>
      </c>
      <c r="V447">
        <v>-0.96583039999999998</v>
      </c>
      <c r="W447">
        <v>-1.2365950000000001</v>
      </c>
      <c r="X447">
        <f t="shared" si="6"/>
        <v>0.96583039999999998</v>
      </c>
    </row>
    <row r="448" spans="1:24" x14ac:dyDescent="0.45">
      <c r="A448">
        <v>1180</v>
      </c>
      <c r="B448">
        <v>15</v>
      </c>
      <c r="C448">
        <v>2</v>
      </c>
      <c r="D448">
        <v>8</v>
      </c>
      <c r="E448">
        <v>-45</v>
      </c>
      <c r="F448">
        <v>0</v>
      </c>
      <c r="G448">
        <v>5</v>
      </c>
      <c r="H448">
        <v>-3</v>
      </c>
      <c r="I448">
        <v>1</v>
      </c>
      <c r="J448">
        <v>2</v>
      </c>
      <c r="K448">
        <v>2</v>
      </c>
      <c r="L448">
        <v>1</v>
      </c>
      <c r="M448">
        <v>2</v>
      </c>
      <c r="N448">
        <v>1</v>
      </c>
      <c r="O448">
        <v>0.180154528418599</v>
      </c>
      <c r="P448">
        <v>3.41384336427185</v>
      </c>
      <c r="Q448">
        <v>66.725693081762003</v>
      </c>
      <c r="R448">
        <v>-3</v>
      </c>
      <c r="S448">
        <v>-3</v>
      </c>
      <c r="T448">
        <v>-3.3569049999999998</v>
      </c>
      <c r="U448">
        <v>-2.5757370000000002</v>
      </c>
      <c r="V448">
        <v>-2.2006670000000002</v>
      </c>
      <c r="W448">
        <v>-2.8616199999999998</v>
      </c>
      <c r="X448">
        <f t="shared" si="6"/>
        <v>0.79933299999999985</v>
      </c>
    </row>
    <row r="449" spans="1:24" x14ac:dyDescent="0.45">
      <c r="A449">
        <v>1180</v>
      </c>
      <c r="B449">
        <v>16</v>
      </c>
      <c r="C449">
        <v>2</v>
      </c>
      <c r="D449">
        <v>3</v>
      </c>
      <c r="E449">
        <v>-35</v>
      </c>
      <c r="F449">
        <v>0</v>
      </c>
      <c r="G449">
        <v>15</v>
      </c>
      <c r="H449">
        <v>-3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0.162688449791211</v>
      </c>
      <c r="P449">
        <v>1.70635366947817</v>
      </c>
      <c r="Q449">
        <v>75.504281930598196</v>
      </c>
      <c r="R449">
        <v>-3</v>
      </c>
      <c r="S449">
        <v>-3.043803</v>
      </c>
      <c r="T449">
        <v>-3.547186</v>
      </c>
      <c r="U449">
        <v>-3.7412570000000001</v>
      </c>
      <c r="V449">
        <v>-3.9450599999999998</v>
      </c>
      <c r="W449">
        <v>-4.1739129999999998</v>
      </c>
      <c r="X449">
        <f t="shared" si="6"/>
        <v>0.94505999999999979</v>
      </c>
    </row>
    <row r="450" spans="1:24" x14ac:dyDescent="0.45">
      <c r="A450">
        <v>1180</v>
      </c>
      <c r="B450">
        <v>17</v>
      </c>
      <c r="C450">
        <v>3</v>
      </c>
      <c r="D450">
        <v>6</v>
      </c>
      <c r="E450">
        <v>-35</v>
      </c>
      <c r="F450">
        <v>3</v>
      </c>
      <c r="G450">
        <v>15</v>
      </c>
      <c r="H450">
        <v>3</v>
      </c>
      <c r="I450">
        <v>2</v>
      </c>
      <c r="J450">
        <v>1</v>
      </c>
      <c r="K450">
        <v>2</v>
      </c>
      <c r="L450">
        <v>2</v>
      </c>
      <c r="M450">
        <v>1</v>
      </c>
      <c r="N450">
        <v>2</v>
      </c>
      <c r="O450">
        <v>0.15081884461120401</v>
      </c>
      <c r="P450">
        <v>1.0813833444562699</v>
      </c>
      <c r="Q450">
        <v>75.573252814274397</v>
      </c>
      <c r="R450">
        <v>0</v>
      </c>
      <c r="S450">
        <v>8.7920260000000003E-4</v>
      </c>
      <c r="T450">
        <v>0.5155286</v>
      </c>
      <c r="U450">
        <v>1.0804739999999999</v>
      </c>
      <c r="V450">
        <v>1.800044</v>
      </c>
      <c r="W450">
        <v>2.4637760000000002</v>
      </c>
      <c r="X450">
        <f t="shared" si="6"/>
        <v>1.800044</v>
      </c>
    </row>
    <row r="451" spans="1:24" x14ac:dyDescent="0.45">
      <c r="A451">
        <v>1180</v>
      </c>
      <c r="B451">
        <v>18</v>
      </c>
      <c r="C451">
        <v>1</v>
      </c>
      <c r="D451">
        <v>2</v>
      </c>
      <c r="E451">
        <v>-35</v>
      </c>
      <c r="F451">
        <v>-3</v>
      </c>
      <c r="G451">
        <v>15</v>
      </c>
      <c r="H451">
        <v>-3</v>
      </c>
      <c r="I451">
        <v>-2</v>
      </c>
      <c r="J451">
        <v>-2</v>
      </c>
      <c r="K451">
        <v>-2</v>
      </c>
      <c r="L451">
        <v>-2</v>
      </c>
      <c r="M451">
        <v>-2</v>
      </c>
      <c r="N451">
        <v>-2</v>
      </c>
      <c r="O451">
        <v>0.15110685911806301</v>
      </c>
      <c r="P451">
        <v>1.9732887301853199</v>
      </c>
      <c r="Q451">
        <v>75.562165261790796</v>
      </c>
      <c r="R451">
        <v>-3</v>
      </c>
      <c r="S451">
        <v>-3</v>
      </c>
      <c r="T451">
        <v>-2.6037400000000002</v>
      </c>
      <c r="U451">
        <v>-2.6463760000000001</v>
      </c>
      <c r="V451">
        <v>-2.152641</v>
      </c>
      <c r="W451">
        <v>-1.254456</v>
      </c>
      <c r="X451">
        <f t="shared" ref="X451:X514" si="7">ABS(V451-R451)</f>
        <v>0.84735899999999997</v>
      </c>
    </row>
    <row r="452" spans="1:24" x14ac:dyDescent="0.45">
      <c r="A452">
        <v>1180</v>
      </c>
      <c r="B452">
        <v>19</v>
      </c>
      <c r="C452">
        <v>2</v>
      </c>
      <c r="D452">
        <v>5</v>
      </c>
      <c r="E452">
        <v>-35</v>
      </c>
      <c r="F452">
        <v>0</v>
      </c>
      <c r="G452">
        <v>15</v>
      </c>
      <c r="H452">
        <v>0</v>
      </c>
      <c r="I452">
        <v>-1</v>
      </c>
      <c r="J452">
        <v>-2</v>
      </c>
      <c r="K452">
        <v>0</v>
      </c>
      <c r="L452">
        <v>-2</v>
      </c>
      <c r="M452">
        <v>-2</v>
      </c>
      <c r="N452">
        <v>-2</v>
      </c>
      <c r="O452">
        <v>0.112338568241936</v>
      </c>
      <c r="P452">
        <v>3.1848383650753398</v>
      </c>
      <c r="Q452">
        <v>77.264739399930093</v>
      </c>
      <c r="R452">
        <v>3</v>
      </c>
      <c r="S452">
        <v>2.981223</v>
      </c>
      <c r="T452">
        <v>2.6346790000000002</v>
      </c>
      <c r="U452">
        <v>2.215217</v>
      </c>
      <c r="V452">
        <v>1.6482749999999999</v>
      </c>
      <c r="W452">
        <v>1.025946</v>
      </c>
      <c r="X452">
        <f t="shared" si="7"/>
        <v>1.3517250000000001</v>
      </c>
    </row>
    <row r="453" spans="1:24" x14ac:dyDescent="0.45">
      <c r="A453">
        <v>1180</v>
      </c>
      <c r="B453">
        <v>20</v>
      </c>
      <c r="C453">
        <v>3</v>
      </c>
      <c r="D453">
        <v>4</v>
      </c>
      <c r="E453">
        <v>-45</v>
      </c>
      <c r="F453">
        <v>0</v>
      </c>
      <c r="G453">
        <v>5</v>
      </c>
      <c r="H453">
        <v>3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0.17927941957205801</v>
      </c>
      <c r="P453">
        <v>1.75393402817806</v>
      </c>
      <c r="Q453">
        <v>66.366277179793002</v>
      </c>
      <c r="R453">
        <v>3</v>
      </c>
      <c r="S453">
        <v>2.9560360000000001</v>
      </c>
      <c r="T453">
        <v>2.5225219999999999</v>
      </c>
      <c r="U453">
        <v>2.1553429999999998</v>
      </c>
      <c r="V453">
        <v>2.0476369999999999</v>
      </c>
      <c r="W453">
        <v>2.4449450000000001</v>
      </c>
      <c r="X453">
        <f t="shared" si="7"/>
        <v>0.95236300000000007</v>
      </c>
    </row>
    <row r="454" spans="1:24" x14ac:dyDescent="0.45">
      <c r="A454">
        <v>1180</v>
      </c>
      <c r="B454">
        <v>21</v>
      </c>
      <c r="C454">
        <v>1</v>
      </c>
      <c r="D454">
        <v>6</v>
      </c>
      <c r="E454">
        <v>-35</v>
      </c>
      <c r="F454">
        <v>3</v>
      </c>
      <c r="G454">
        <v>15</v>
      </c>
      <c r="H454">
        <v>3</v>
      </c>
      <c r="I454">
        <v>-2</v>
      </c>
      <c r="J454">
        <v>-2</v>
      </c>
      <c r="K454">
        <v>-2</v>
      </c>
      <c r="L454">
        <v>-1</v>
      </c>
      <c r="M454">
        <v>-2</v>
      </c>
      <c r="N454">
        <v>-1</v>
      </c>
      <c r="O454">
        <v>0.181019650845199</v>
      </c>
      <c r="P454">
        <v>3.2419817244743299</v>
      </c>
      <c r="Q454">
        <v>38.332861587525201</v>
      </c>
      <c r="R454">
        <v>0</v>
      </c>
      <c r="S454">
        <v>0</v>
      </c>
      <c r="T454">
        <v>0.21362439999999999</v>
      </c>
      <c r="U454">
        <v>0.43818020000000002</v>
      </c>
      <c r="V454">
        <v>0.70833460000000004</v>
      </c>
      <c r="W454">
        <v>1.3658360000000001</v>
      </c>
      <c r="X454">
        <f t="shared" si="7"/>
        <v>0.70833460000000004</v>
      </c>
    </row>
    <row r="455" spans="1:24" x14ac:dyDescent="0.45">
      <c r="A455">
        <v>1180</v>
      </c>
      <c r="B455">
        <v>22</v>
      </c>
      <c r="C455">
        <v>1</v>
      </c>
      <c r="D455">
        <v>3</v>
      </c>
      <c r="E455">
        <v>-35</v>
      </c>
      <c r="F455">
        <v>0</v>
      </c>
      <c r="G455">
        <v>15</v>
      </c>
      <c r="H455">
        <v>-3</v>
      </c>
      <c r="I455">
        <v>-1</v>
      </c>
      <c r="J455">
        <v>1</v>
      </c>
      <c r="K455">
        <v>-1</v>
      </c>
      <c r="L455">
        <v>0</v>
      </c>
      <c r="M455">
        <v>1</v>
      </c>
      <c r="N455">
        <v>1</v>
      </c>
      <c r="O455">
        <v>0.16365877730293199</v>
      </c>
      <c r="P455">
        <v>0.74616992661704995</v>
      </c>
      <c r="Q455">
        <v>74.806935402257295</v>
      </c>
      <c r="R455">
        <v>-3</v>
      </c>
      <c r="S455">
        <v>-3.014373</v>
      </c>
      <c r="T455">
        <v>-3.275725</v>
      </c>
      <c r="U455">
        <v>-3.4570530000000002</v>
      </c>
      <c r="V455">
        <v>-3.5316399999999999</v>
      </c>
      <c r="W455">
        <v>-3.6024720000000001</v>
      </c>
      <c r="X455">
        <f t="shared" si="7"/>
        <v>0.53163999999999989</v>
      </c>
    </row>
    <row r="456" spans="1:24" x14ac:dyDescent="0.45">
      <c r="A456">
        <v>1180</v>
      </c>
      <c r="B456">
        <v>23</v>
      </c>
      <c r="C456">
        <v>3</v>
      </c>
      <c r="D456">
        <v>8</v>
      </c>
      <c r="E456">
        <v>-45</v>
      </c>
      <c r="F456">
        <v>0</v>
      </c>
      <c r="G456">
        <v>5</v>
      </c>
      <c r="H456">
        <v>-3</v>
      </c>
      <c r="I456">
        <v>2</v>
      </c>
      <c r="J456">
        <v>1</v>
      </c>
      <c r="K456">
        <v>2</v>
      </c>
      <c r="L456">
        <v>2</v>
      </c>
      <c r="M456">
        <v>2</v>
      </c>
      <c r="N456">
        <v>2</v>
      </c>
      <c r="O456">
        <v>0.13089406166092299</v>
      </c>
      <c r="P456">
        <v>1.29626049951864</v>
      </c>
      <c r="Q456">
        <v>66.824061765166405</v>
      </c>
      <c r="R456">
        <v>-3</v>
      </c>
      <c r="S456">
        <v>-3.001385</v>
      </c>
      <c r="T456">
        <v>-2.9274830000000001</v>
      </c>
      <c r="U456">
        <v>-2.9302809999999999</v>
      </c>
      <c r="V456">
        <v>-3.1223230000000002</v>
      </c>
      <c r="W456">
        <v>-3.2082950000000001</v>
      </c>
      <c r="X456">
        <f t="shared" si="7"/>
        <v>0.12232300000000018</v>
      </c>
    </row>
    <row r="457" spans="1:24" x14ac:dyDescent="0.45">
      <c r="A457">
        <v>1180</v>
      </c>
      <c r="B457">
        <v>24</v>
      </c>
      <c r="C457">
        <v>2</v>
      </c>
      <c r="D457">
        <v>1</v>
      </c>
      <c r="E457">
        <v>-35</v>
      </c>
      <c r="F457">
        <v>0</v>
      </c>
      <c r="G457">
        <v>15</v>
      </c>
      <c r="H457">
        <v>0</v>
      </c>
      <c r="I457">
        <v>2</v>
      </c>
      <c r="J457">
        <v>2</v>
      </c>
      <c r="K457">
        <v>2</v>
      </c>
      <c r="L457">
        <v>2</v>
      </c>
      <c r="M457">
        <v>1</v>
      </c>
      <c r="N457">
        <v>2</v>
      </c>
      <c r="O457">
        <v>0.18511445407924099</v>
      </c>
      <c r="P457">
        <v>1.0730808296391501</v>
      </c>
      <c r="Q457">
        <v>74.885239247002204</v>
      </c>
      <c r="R457">
        <v>0</v>
      </c>
      <c r="S457">
        <v>-4.1804059999999997E-2</v>
      </c>
      <c r="T457">
        <v>-0.93117419999999995</v>
      </c>
      <c r="U457">
        <v>-1.8155129999999999</v>
      </c>
      <c r="V457">
        <v>-2.6912929999999999</v>
      </c>
      <c r="W457">
        <v>-3.449891</v>
      </c>
      <c r="X457">
        <f t="shared" si="7"/>
        <v>2.6912929999999999</v>
      </c>
    </row>
    <row r="458" spans="1:24" x14ac:dyDescent="0.45">
      <c r="A458">
        <v>1190</v>
      </c>
      <c r="B458">
        <v>1</v>
      </c>
      <c r="C458">
        <v>2</v>
      </c>
      <c r="D458">
        <v>1</v>
      </c>
      <c r="E458">
        <v>-35</v>
      </c>
      <c r="F458">
        <v>0</v>
      </c>
      <c r="G458">
        <v>15</v>
      </c>
      <c r="H458">
        <v>0</v>
      </c>
      <c r="I458">
        <v>-1</v>
      </c>
      <c r="J458">
        <v>-2</v>
      </c>
      <c r="K458">
        <v>1</v>
      </c>
      <c r="L458">
        <v>-1</v>
      </c>
      <c r="M458">
        <v>-1</v>
      </c>
      <c r="N458">
        <v>-1</v>
      </c>
      <c r="O458">
        <v>0.23950014855972199</v>
      </c>
      <c r="P458">
        <v>9.32619803712387</v>
      </c>
      <c r="Q458">
        <v>80.605160893519596</v>
      </c>
      <c r="R458">
        <v>0</v>
      </c>
      <c r="S458">
        <v>-4.3961059999999998E-8</v>
      </c>
      <c r="T458">
        <v>-5.1802439999999995E-7</v>
      </c>
      <c r="U458">
        <v>-9.9693509999999999E-7</v>
      </c>
      <c r="V458">
        <v>-1.484495E-6</v>
      </c>
      <c r="W458">
        <v>-1.964378E-6</v>
      </c>
      <c r="X458">
        <f t="shared" si="7"/>
        <v>1.484495E-6</v>
      </c>
    </row>
    <row r="459" spans="1:24" x14ac:dyDescent="0.45">
      <c r="A459">
        <v>1190</v>
      </c>
      <c r="B459">
        <v>2</v>
      </c>
      <c r="C459">
        <v>3</v>
      </c>
      <c r="D459">
        <v>8</v>
      </c>
      <c r="E459">
        <v>-45</v>
      </c>
      <c r="F459">
        <v>0</v>
      </c>
      <c r="G459">
        <v>5</v>
      </c>
      <c r="H459">
        <v>-3</v>
      </c>
      <c r="I459">
        <v>-1</v>
      </c>
      <c r="J459">
        <v>1</v>
      </c>
      <c r="K459">
        <v>2</v>
      </c>
      <c r="L459">
        <v>1</v>
      </c>
      <c r="M459">
        <v>-1</v>
      </c>
      <c r="N459">
        <v>-2</v>
      </c>
      <c r="O459">
        <v>0.16535730045375599</v>
      </c>
      <c r="P459">
        <v>16.7520221434233</v>
      </c>
      <c r="Q459">
        <v>83.972681447350595</v>
      </c>
      <c r="R459">
        <v>-3</v>
      </c>
      <c r="S459">
        <v>-3</v>
      </c>
      <c r="T459">
        <v>-2.7630309999999998</v>
      </c>
      <c r="U459">
        <v>-0.1981077</v>
      </c>
      <c r="V459">
        <v>-0.45139610000000002</v>
      </c>
      <c r="W459">
        <v>0.78263700000000003</v>
      </c>
      <c r="X459">
        <f t="shared" si="7"/>
        <v>2.5486038999999998</v>
      </c>
    </row>
    <row r="460" spans="1:24" x14ac:dyDescent="0.45">
      <c r="A460">
        <v>1190</v>
      </c>
      <c r="B460">
        <v>3</v>
      </c>
      <c r="C460">
        <v>1</v>
      </c>
      <c r="D460">
        <v>3</v>
      </c>
      <c r="E460">
        <v>-35</v>
      </c>
      <c r="F460">
        <v>0</v>
      </c>
      <c r="G460">
        <v>15</v>
      </c>
      <c r="H460">
        <v>-3</v>
      </c>
      <c r="I460">
        <v>-1</v>
      </c>
      <c r="J460">
        <v>-2</v>
      </c>
      <c r="K460">
        <v>-2</v>
      </c>
      <c r="L460">
        <v>-2</v>
      </c>
      <c r="M460">
        <v>-2</v>
      </c>
      <c r="N460">
        <v>-2</v>
      </c>
      <c r="O460">
        <v>0.35394397747499001</v>
      </c>
      <c r="P460">
        <v>21.201541282784699</v>
      </c>
      <c r="Q460">
        <v>74.848602789048797</v>
      </c>
      <c r="R460">
        <v>-3</v>
      </c>
      <c r="S460">
        <v>-3.0113479999999999</v>
      </c>
      <c r="T460">
        <v>-2.0091760000000001</v>
      </c>
      <c r="U460">
        <v>-0.27059</v>
      </c>
      <c r="V460">
        <v>-0.31959969999999999</v>
      </c>
      <c r="W460">
        <v>-0.3694964</v>
      </c>
      <c r="X460">
        <f t="shared" si="7"/>
        <v>2.6804003000000001</v>
      </c>
    </row>
    <row r="461" spans="1:24" x14ac:dyDescent="0.45">
      <c r="A461">
        <v>1190</v>
      </c>
      <c r="B461">
        <v>4</v>
      </c>
      <c r="C461">
        <v>1</v>
      </c>
      <c r="D461">
        <v>6</v>
      </c>
      <c r="E461">
        <v>-35</v>
      </c>
      <c r="F461">
        <v>3</v>
      </c>
      <c r="G461">
        <v>15</v>
      </c>
      <c r="H461">
        <v>3</v>
      </c>
      <c r="I461">
        <v>1</v>
      </c>
      <c r="J461">
        <v>1</v>
      </c>
      <c r="K461">
        <v>1</v>
      </c>
      <c r="L461">
        <v>-1</v>
      </c>
      <c r="M461">
        <v>-2</v>
      </c>
      <c r="N461">
        <v>1</v>
      </c>
      <c r="O461">
        <v>0.30707571455323301</v>
      </c>
      <c r="P461">
        <v>18.1673699992146</v>
      </c>
      <c r="Q461">
        <v>37.307914369203203</v>
      </c>
      <c r="R461">
        <v>0</v>
      </c>
      <c r="S461">
        <v>8.7393700000000005E-2</v>
      </c>
      <c r="T461">
        <v>0.20169110000000001</v>
      </c>
      <c r="U461">
        <v>0.3269048</v>
      </c>
      <c r="V461">
        <v>0.45148909999999998</v>
      </c>
      <c r="W461">
        <v>0.50819060000000005</v>
      </c>
      <c r="X461">
        <f t="shared" si="7"/>
        <v>0.45148909999999998</v>
      </c>
    </row>
    <row r="462" spans="1:24" x14ac:dyDescent="0.45">
      <c r="A462">
        <v>1190</v>
      </c>
      <c r="B462">
        <v>5</v>
      </c>
      <c r="C462">
        <v>3</v>
      </c>
      <c r="D462">
        <v>4</v>
      </c>
      <c r="E462">
        <v>-45</v>
      </c>
      <c r="F462">
        <v>0</v>
      </c>
      <c r="G462">
        <v>5</v>
      </c>
      <c r="H462">
        <v>3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6.6001969054226395E-2</v>
      </c>
      <c r="P462">
        <v>1.57149182207419</v>
      </c>
      <c r="Q462">
        <v>78.664615875015599</v>
      </c>
      <c r="R462">
        <v>3</v>
      </c>
      <c r="S462">
        <v>3</v>
      </c>
      <c r="T462">
        <v>3.0044170000000001</v>
      </c>
      <c r="U462">
        <v>2.8414549999999998</v>
      </c>
      <c r="V462">
        <v>2.7183769999999998</v>
      </c>
      <c r="W462">
        <v>2.4104239999999999</v>
      </c>
      <c r="X462">
        <f t="shared" si="7"/>
        <v>0.28162300000000018</v>
      </c>
    </row>
    <row r="463" spans="1:24" x14ac:dyDescent="0.45">
      <c r="A463">
        <v>1190</v>
      </c>
      <c r="B463">
        <v>6</v>
      </c>
      <c r="C463">
        <v>2</v>
      </c>
      <c r="D463">
        <v>5</v>
      </c>
      <c r="E463">
        <v>-35</v>
      </c>
      <c r="F463">
        <v>0</v>
      </c>
      <c r="G463">
        <v>15</v>
      </c>
      <c r="H463">
        <v>0</v>
      </c>
      <c r="I463">
        <v>-1</v>
      </c>
      <c r="J463">
        <v>-1</v>
      </c>
      <c r="K463">
        <v>1</v>
      </c>
      <c r="L463">
        <v>-1</v>
      </c>
      <c r="M463">
        <v>-1</v>
      </c>
      <c r="N463">
        <v>-1</v>
      </c>
      <c r="O463">
        <v>9.1515007801145798E-2</v>
      </c>
      <c r="P463">
        <v>5.44680964484564</v>
      </c>
      <c r="Q463">
        <v>82.308073509247805</v>
      </c>
      <c r="R463">
        <v>3</v>
      </c>
      <c r="S463">
        <v>3</v>
      </c>
      <c r="T463">
        <v>2.9846349999999999</v>
      </c>
      <c r="U463">
        <v>2.9579909999999998</v>
      </c>
      <c r="V463">
        <v>2.9279470000000001</v>
      </c>
      <c r="W463">
        <v>0.135683</v>
      </c>
      <c r="X463">
        <f t="shared" si="7"/>
        <v>7.2052999999999923E-2</v>
      </c>
    </row>
    <row r="464" spans="1:24" x14ac:dyDescent="0.45">
      <c r="A464">
        <v>1190</v>
      </c>
      <c r="B464">
        <v>7</v>
      </c>
      <c r="C464">
        <v>1</v>
      </c>
      <c r="D464">
        <v>2</v>
      </c>
      <c r="E464">
        <v>-35</v>
      </c>
      <c r="F464">
        <v>-3</v>
      </c>
      <c r="G464">
        <v>15</v>
      </c>
      <c r="H464">
        <v>-3</v>
      </c>
      <c r="I464">
        <v>-2</v>
      </c>
      <c r="J464">
        <v>-2</v>
      </c>
      <c r="K464">
        <v>-2</v>
      </c>
      <c r="L464">
        <v>-1</v>
      </c>
      <c r="M464">
        <v>1</v>
      </c>
      <c r="N464">
        <v>0</v>
      </c>
      <c r="O464">
        <v>0.107659153422522</v>
      </c>
      <c r="P464">
        <v>4.2906773443646804</v>
      </c>
      <c r="Q464">
        <v>77.772878886808599</v>
      </c>
      <c r="R464">
        <v>-3</v>
      </c>
      <c r="S464">
        <v>-3</v>
      </c>
      <c r="T464">
        <v>-2.944045</v>
      </c>
      <c r="U464">
        <v>-2.8536790000000001</v>
      </c>
      <c r="V464">
        <v>-2.74579</v>
      </c>
      <c r="W464">
        <v>0.34028170000000002</v>
      </c>
      <c r="X464">
        <f t="shared" si="7"/>
        <v>0.25421000000000005</v>
      </c>
    </row>
    <row r="465" spans="1:24" x14ac:dyDescent="0.45">
      <c r="A465">
        <v>1190</v>
      </c>
      <c r="B465">
        <v>8</v>
      </c>
      <c r="C465">
        <v>3</v>
      </c>
      <c r="D465">
        <v>6</v>
      </c>
      <c r="E465">
        <v>-35</v>
      </c>
      <c r="F465">
        <v>3</v>
      </c>
      <c r="G465">
        <v>15</v>
      </c>
      <c r="H465">
        <v>3</v>
      </c>
      <c r="I465">
        <v>-1</v>
      </c>
      <c r="J465">
        <v>-1</v>
      </c>
      <c r="K465">
        <v>2</v>
      </c>
      <c r="L465">
        <v>-2</v>
      </c>
      <c r="M465">
        <v>-2</v>
      </c>
      <c r="N465">
        <v>-2</v>
      </c>
      <c r="O465">
        <v>0.15544705290347599</v>
      </c>
      <c r="P465">
        <v>6.58907037166954</v>
      </c>
      <c r="Q465">
        <v>79.663558290965895</v>
      </c>
      <c r="R465">
        <v>0</v>
      </c>
      <c r="S465">
        <v>0</v>
      </c>
      <c r="T465">
        <v>-0.12560189999999999</v>
      </c>
      <c r="U465">
        <v>-0.30431330000000001</v>
      </c>
      <c r="V465">
        <v>-0.4698986</v>
      </c>
      <c r="W465">
        <v>-0.62532580000000004</v>
      </c>
      <c r="X465">
        <f t="shared" si="7"/>
        <v>0.4698986</v>
      </c>
    </row>
    <row r="466" spans="1:24" x14ac:dyDescent="0.45">
      <c r="A466">
        <v>1190</v>
      </c>
      <c r="B466">
        <v>9</v>
      </c>
      <c r="C466">
        <v>2</v>
      </c>
      <c r="D466">
        <v>3</v>
      </c>
      <c r="E466">
        <v>-35</v>
      </c>
      <c r="F466">
        <v>0</v>
      </c>
      <c r="G466">
        <v>15</v>
      </c>
      <c r="H466">
        <v>-3</v>
      </c>
      <c r="I466">
        <v>-2</v>
      </c>
      <c r="J466">
        <v>-2</v>
      </c>
      <c r="K466">
        <v>2</v>
      </c>
      <c r="L466">
        <v>-2</v>
      </c>
      <c r="M466">
        <v>-2</v>
      </c>
      <c r="N466">
        <v>-1</v>
      </c>
      <c r="O466">
        <v>0.16215356146030199</v>
      </c>
      <c r="P466">
        <v>5.3877184318023703</v>
      </c>
      <c r="Q466">
        <v>83.820838600700299</v>
      </c>
      <c r="R466">
        <v>-3</v>
      </c>
      <c r="S466">
        <v>-3.13964</v>
      </c>
      <c r="T466">
        <v>-3.2949109999999999</v>
      </c>
      <c r="U466">
        <v>-3.4627870000000001</v>
      </c>
      <c r="V466">
        <v>-3.631453</v>
      </c>
      <c r="W466">
        <v>-3.8002910000000001</v>
      </c>
      <c r="X466">
        <f t="shared" si="7"/>
        <v>0.63145300000000004</v>
      </c>
    </row>
    <row r="467" spans="1:24" x14ac:dyDescent="0.45">
      <c r="A467">
        <v>1190</v>
      </c>
      <c r="B467">
        <v>10</v>
      </c>
      <c r="C467">
        <v>2</v>
      </c>
      <c r="D467">
        <v>8</v>
      </c>
      <c r="E467">
        <v>-45</v>
      </c>
      <c r="F467">
        <v>0</v>
      </c>
      <c r="G467">
        <v>5</v>
      </c>
      <c r="H467">
        <v>-3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0.19344775082902099</v>
      </c>
      <c r="P467">
        <v>12.9347894307561</v>
      </c>
      <c r="Q467">
        <v>84.955159067276696</v>
      </c>
      <c r="R467">
        <v>-3</v>
      </c>
      <c r="S467">
        <v>-3.000381</v>
      </c>
      <c r="T467">
        <v>-3.2953139999999999</v>
      </c>
      <c r="U467">
        <v>-3.6130399999999998</v>
      </c>
      <c r="V467">
        <v>-3.783744</v>
      </c>
      <c r="W467">
        <v>-4.0640830000000001</v>
      </c>
      <c r="X467">
        <f t="shared" si="7"/>
        <v>0.783744</v>
      </c>
    </row>
    <row r="468" spans="1:24" x14ac:dyDescent="0.45">
      <c r="A468">
        <v>1190</v>
      </c>
      <c r="B468">
        <v>11</v>
      </c>
      <c r="C468">
        <v>3</v>
      </c>
      <c r="D468">
        <v>1</v>
      </c>
      <c r="E468">
        <v>-35</v>
      </c>
      <c r="F468">
        <v>0</v>
      </c>
      <c r="G468">
        <v>15</v>
      </c>
      <c r="H468">
        <v>0</v>
      </c>
      <c r="I468">
        <v>-1</v>
      </c>
      <c r="J468">
        <v>1</v>
      </c>
      <c r="K468">
        <v>1</v>
      </c>
      <c r="L468">
        <v>-1</v>
      </c>
      <c r="M468">
        <v>-1</v>
      </c>
      <c r="N468">
        <v>-1</v>
      </c>
      <c r="O468">
        <v>0.15691054133323701</v>
      </c>
      <c r="P468">
        <v>9.74317852288282</v>
      </c>
      <c r="Q468">
        <v>80.881546344693604</v>
      </c>
      <c r="R468">
        <v>0</v>
      </c>
      <c r="S468">
        <v>-1.751401E-2</v>
      </c>
      <c r="T468">
        <v>3.6269849999999999E-2</v>
      </c>
      <c r="U468">
        <v>0.12550910000000001</v>
      </c>
      <c r="V468">
        <v>1.023957</v>
      </c>
      <c r="W468">
        <v>1.5298130000000001</v>
      </c>
      <c r="X468">
        <f t="shared" si="7"/>
        <v>1.023957</v>
      </c>
    </row>
    <row r="469" spans="1:24" x14ac:dyDescent="0.45">
      <c r="A469">
        <v>1190</v>
      </c>
      <c r="B469">
        <v>12</v>
      </c>
      <c r="C469">
        <v>1</v>
      </c>
      <c r="D469">
        <v>7</v>
      </c>
      <c r="E469">
        <v>-35</v>
      </c>
      <c r="F469">
        <v>0</v>
      </c>
      <c r="G469">
        <v>15</v>
      </c>
      <c r="H469">
        <v>3</v>
      </c>
      <c r="I469">
        <v>-1</v>
      </c>
      <c r="J469">
        <v>1</v>
      </c>
      <c r="K469">
        <v>2</v>
      </c>
      <c r="L469">
        <v>-1</v>
      </c>
      <c r="M469">
        <v>-1</v>
      </c>
      <c r="N469">
        <v>-1</v>
      </c>
      <c r="O469">
        <v>0.23364486463234799</v>
      </c>
      <c r="P469">
        <v>11.4934454143803</v>
      </c>
      <c r="Q469">
        <v>85.5564605932571</v>
      </c>
      <c r="R469">
        <v>3</v>
      </c>
      <c r="S469">
        <v>2.9831949999999998</v>
      </c>
      <c r="T469">
        <v>0.37537130000000002</v>
      </c>
      <c r="U469">
        <v>0.34006760000000003</v>
      </c>
      <c r="V469">
        <v>0.30488779999999999</v>
      </c>
      <c r="W469">
        <v>0.1589585</v>
      </c>
      <c r="X469">
        <f t="shared" si="7"/>
        <v>2.6951122000000001</v>
      </c>
    </row>
    <row r="470" spans="1:24" x14ac:dyDescent="0.45">
      <c r="A470">
        <v>1190</v>
      </c>
      <c r="B470">
        <v>13</v>
      </c>
      <c r="C470">
        <v>3</v>
      </c>
      <c r="D470">
        <v>3</v>
      </c>
      <c r="E470">
        <v>-35</v>
      </c>
      <c r="F470">
        <v>0</v>
      </c>
      <c r="G470">
        <v>15</v>
      </c>
      <c r="H470">
        <v>-3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8.8186004719580505E-2</v>
      </c>
      <c r="P470">
        <v>3.9330513134182601</v>
      </c>
      <c r="Q470">
        <v>78.139623497412103</v>
      </c>
      <c r="R470">
        <v>-3</v>
      </c>
      <c r="S470">
        <v>-3.1110890000000002</v>
      </c>
      <c r="T470">
        <v>-3.3484050000000001</v>
      </c>
      <c r="U470">
        <v>-3.0184839999999999</v>
      </c>
      <c r="V470">
        <v>-3.254759</v>
      </c>
      <c r="W470">
        <v>-3.4927600000000001</v>
      </c>
      <c r="X470">
        <f t="shared" si="7"/>
        <v>0.25475899999999996</v>
      </c>
    </row>
    <row r="471" spans="1:24" x14ac:dyDescent="0.45">
      <c r="A471">
        <v>1190</v>
      </c>
      <c r="B471">
        <v>14</v>
      </c>
      <c r="C471">
        <v>3</v>
      </c>
      <c r="D471">
        <v>5</v>
      </c>
      <c r="E471">
        <v>-35</v>
      </c>
      <c r="F471">
        <v>0</v>
      </c>
      <c r="G471">
        <v>15</v>
      </c>
      <c r="H471">
        <v>0</v>
      </c>
      <c r="I471">
        <v>2</v>
      </c>
      <c r="J471">
        <v>2</v>
      </c>
      <c r="K471">
        <v>1</v>
      </c>
      <c r="L471">
        <v>1</v>
      </c>
      <c r="M471">
        <v>-1</v>
      </c>
      <c r="N471">
        <v>0</v>
      </c>
      <c r="O471">
        <v>0.19833729089062399</v>
      </c>
      <c r="P471">
        <v>6.0584907284095904</v>
      </c>
      <c r="Q471">
        <v>77.275834683838895</v>
      </c>
      <c r="R471">
        <v>3</v>
      </c>
      <c r="S471">
        <v>2.9669590000000001</v>
      </c>
      <c r="T471">
        <v>2.764475</v>
      </c>
      <c r="U471">
        <v>2.5473560000000002</v>
      </c>
      <c r="V471">
        <v>2.3320319999999999</v>
      </c>
      <c r="W471">
        <v>2.2942779999999998</v>
      </c>
      <c r="X471">
        <f t="shared" si="7"/>
        <v>0.66796800000000012</v>
      </c>
    </row>
    <row r="472" spans="1:24" x14ac:dyDescent="0.45">
      <c r="A472">
        <v>1190</v>
      </c>
      <c r="B472">
        <v>15</v>
      </c>
      <c r="C472">
        <v>1</v>
      </c>
      <c r="D472">
        <v>4</v>
      </c>
      <c r="E472">
        <v>-45</v>
      </c>
      <c r="F472">
        <v>0</v>
      </c>
      <c r="G472">
        <v>5</v>
      </c>
      <c r="H472">
        <v>3</v>
      </c>
      <c r="I472">
        <v>-1</v>
      </c>
      <c r="J472">
        <v>-2</v>
      </c>
      <c r="K472">
        <v>-1</v>
      </c>
      <c r="L472">
        <v>-1</v>
      </c>
      <c r="M472">
        <v>-2</v>
      </c>
      <c r="N472">
        <v>-1</v>
      </c>
      <c r="O472">
        <v>0.19360371200531601</v>
      </c>
      <c r="P472">
        <v>5.3784674757886002</v>
      </c>
      <c r="Q472">
        <v>78.137262850516393</v>
      </c>
      <c r="R472">
        <v>3</v>
      </c>
      <c r="S472">
        <v>2.8481719999999999</v>
      </c>
      <c r="T472">
        <v>2.6835019999999998</v>
      </c>
      <c r="U472">
        <v>2.5190579999999998</v>
      </c>
      <c r="V472">
        <v>2.3552810000000002</v>
      </c>
      <c r="W472">
        <v>2.6329220000000002</v>
      </c>
      <c r="X472">
        <f t="shared" si="7"/>
        <v>0.64471899999999982</v>
      </c>
    </row>
    <row r="473" spans="1:24" x14ac:dyDescent="0.45">
      <c r="A473">
        <v>1190</v>
      </c>
      <c r="B473">
        <v>16</v>
      </c>
      <c r="C473">
        <v>2</v>
      </c>
      <c r="D473">
        <v>7</v>
      </c>
      <c r="E473">
        <v>-35</v>
      </c>
      <c r="F473">
        <v>0</v>
      </c>
      <c r="G473">
        <v>15</v>
      </c>
      <c r="H473">
        <v>3</v>
      </c>
      <c r="I473">
        <v>2</v>
      </c>
      <c r="J473">
        <v>1</v>
      </c>
      <c r="K473">
        <v>1</v>
      </c>
      <c r="L473">
        <v>1</v>
      </c>
      <c r="M473">
        <v>2</v>
      </c>
      <c r="N473">
        <v>1</v>
      </c>
      <c r="O473">
        <v>4.8318568819175102E-2</v>
      </c>
      <c r="P473">
        <v>1.3075531646157501</v>
      </c>
      <c r="Q473">
        <v>77.812083356584296</v>
      </c>
      <c r="R473">
        <v>3</v>
      </c>
      <c r="S473">
        <v>3</v>
      </c>
      <c r="T473">
        <v>2.9999989999999999</v>
      </c>
      <c r="U473">
        <v>2.9999989999999999</v>
      </c>
      <c r="V473">
        <v>2.9990420000000002</v>
      </c>
      <c r="W473">
        <v>2.9954990000000001</v>
      </c>
      <c r="X473">
        <f t="shared" si="7"/>
        <v>9.5799999999979235E-4</v>
      </c>
    </row>
    <row r="474" spans="1:24" x14ac:dyDescent="0.45">
      <c r="A474">
        <v>1190</v>
      </c>
      <c r="B474">
        <v>17</v>
      </c>
      <c r="C474">
        <v>3</v>
      </c>
      <c r="D474">
        <v>2</v>
      </c>
      <c r="E474">
        <v>-35</v>
      </c>
      <c r="F474">
        <v>-3</v>
      </c>
      <c r="G474">
        <v>15</v>
      </c>
      <c r="H474">
        <v>-3</v>
      </c>
      <c r="I474">
        <v>-1</v>
      </c>
      <c r="J474">
        <v>-1</v>
      </c>
      <c r="K474">
        <v>1</v>
      </c>
      <c r="L474">
        <v>-1</v>
      </c>
      <c r="M474">
        <v>-1</v>
      </c>
      <c r="N474">
        <v>1</v>
      </c>
      <c r="O474">
        <v>0.14882784823900699</v>
      </c>
      <c r="P474">
        <v>14.458859062805701</v>
      </c>
      <c r="Q474">
        <v>84.094508024238607</v>
      </c>
      <c r="R474">
        <v>-3</v>
      </c>
      <c r="S474">
        <v>-3.0156830000000001</v>
      </c>
      <c r="T474">
        <v>-3.0575109999999999</v>
      </c>
      <c r="U474">
        <v>-3.1052110000000002</v>
      </c>
      <c r="V474">
        <v>-2.8079580000000002</v>
      </c>
      <c r="W474">
        <v>1.1086100000000001</v>
      </c>
      <c r="X474">
        <f t="shared" si="7"/>
        <v>0.19204199999999982</v>
      </c>
    </row>
    <row r="475" spans="1:24" x14ac:dyDescent="0.45">
      <c r="A475">
        <v>1190</v>
      </c>
      <c r="B475">
        <v>18</v>
      </c>
      <c r="C475">
        <v>2</v>
      </c>
      <c r="D475">
        <v>6</v>
      </c>
      <c r="E475">
        <v>-35</v>
      </c>
      <c r="F475">
        <v>3</v>
      </c>
      <c r="G475">
        <v>15</v>
      </c>
      <c r="H475">
        <v>3</v>
      </c>
      <c r="I475">
        <v>-1</v>
      </c>
      <c r="J475">
        <v>1</v>
      </c>
      <c r="K475">
        <v>-1</v>
      </c>
      <c r="L475">
        <v>-1</v>
      </c>
      <c r="M475">
        <v>-1</v>
      </c>
      <c r="N475">
        <v>-1</v>
      </c>
      <c r="O475">
        <v>0.131787520792429</v>
      </c>
      <c r="P475">
        <v>17.90397345037</v>
      </c>
      <c r="Q475">
        <v>87.185856960581205</v>
      </c>
      <c r="R475">
        <v>0</v>
      </c>
      <c r="S475">
        <v>-0.21801570000000001</v>
      </c>
      <c r="T475">
        <v>-2.714143</v>
      </c>
      <c r="U475">
        <v>-2.8545690000000001</v>
      </c>
      <c r="V475">
        <v>-3.041328</v>
      </c>
      <c r="W475">
        <v>-3.244964</v>
      </c>
      <c r="X475">
        <f t="shared" si="7"/>
        <v>3.041328</v>
      </c>
    </row>
    <row r="476" spans="1:24" x14ac:dyDescent="0.45">
      <c r="A476">
        <v>1190</v>
      </c>
      <c r="B476">
        <v>19</v>
      </c>
      <c r="C476">
        <v>1</v>
      </c>
      <c r="D476">
        <v>1</v>
      </c>
      <c r="E476">
        <v>-35</v>
      </c>
      <c r="F476">
        <v>0</v>
      </c>
      <c r="G476">
        <v>15</v>
      </c>
      <c r="H476">
        <v>0</v>
      </c>
      <c r="I476">
        <v>-1</v>
      </c>
      <c r="J476">
        <v>1</v>
      </c>
      <c r="K476">
        <v>1</v>
      </c>
      <c r="L476">
        <v>-1</v>
      </c>
      <c r="M476">
        <v>1</v>
      </c>
      <c r="N476">
        <v>1</v>
      </c>
      <c r="O476">
        <v>0.15132665841536999</v>
      </c>
      <c r="P476">
        <v>13.4239261585146</v>
      </c>
      <c r="Q476">
        <v>81.641970715349203</v>
      </c>
      <c r="R476">
        <v>0</v>
      </c>
      <c r="S476">
        <v>-1.504196E-2</v>
      </c>
      <c r="T476">
        <v>-6.5650810000000004E-2</v>
      </c>
      <c r="U476">
        <v>-0.2379338</v>
      </c>
      <c r="V476">
        <v>-0.41932970000000003</v>
      </c>
      <c r="W476">
        <v>-3.0510079999999999</v>
      </c>
      <c r="X476">
        <f t="shared" si="7"/>
        <v>0.41932970000000003</v>
      </c>
    </row>
    <row r="477" spans="1:24" x14ac:dyDescent="0.45">
      <c r="A477">
        <v>1190</v>
      </c>
      <c r="B477">
        <v>20</v>
      </c>
      <c r="C477">
        <v>1</v>
      </c>
      <c r="D477">
        <v>8</v>
      </c>
      <c r="E477">
        <v>-45</v>
      </c>
      <c r="F477">
        <v>0</v>
      </c>
      <c r="G477">
        <v>5</v>
      </c>
      <c r="H477">
        <v>-3</v>
      </c>
      <c r="I477">
        <v>-1</v>
      </c>
      <c r="J477">
        <v>-1</v>
      </c>
      <c r="K477">
        <v>1</v>
      </c>
      <c r="L477">
        <v>2</v>
      </c>
      <c r="M477">
        <v>1</v>
      </c>
      <c r="N477">
        <v>1</v>
      </c>
      <c r="O477">
        <v>0.118348644695975</v>
      </c>
      <c r="P477">
        <v>3.6150443275024799</v>
      </c>
      <c r="Q477">
        <v>77.498575298911405</v>
      </c>
      <c r="R477">
        <v>-3</v>
      </c>
      <c r="S477">
        <v>-3.0295079999999999</v>
      </c>
      <c r="T477">
        <v>-3.0780479999999999</v>
      </c>
      <c r="U477">
        <v>-3.2409379999999999</v>
      </c>
      <c r="V477">
        <v>-3.4027099999999999</v>
      </c>
      <c r="W477">
        <v>-3.5644550000000002</v>
      </c>
      <c r="X477">
        <f t="shared" si="7"/>
        <v>0.4027099999999999</v>
      </c>
    </row>
    <row r="478" spans="1:24" x14ac:dyDescent="0.45">
      <c r="A478">
        <v>1190</v>
      </c>
      <c r="B478">
        <v>21</v>
      </c>
      <c r="C478">
        <v>2</v>
      </c>
      <c r="D478">
        <v>2</v>
      </c>
      <c r="E478">
        <v>-35</v>
      </c>
      <c r="F478">
        <v>-3</v>
      </c>
      <c r="G478">
        <v>15</v>
      </c>
      <c r="H478">
        <v>-3</v>
      </c>
      <c r="I478">
        <v>1</v>
      </c>
      <c r="J478">
        <v>1</v>
      </c>
      <c r="K478">
        <v>2</v>
      </c>
      <c r="L478">
        <v>1</v>
      </c>
      <c r="M478">
        <v>1</v>
      </c>
      <c r="N478">
        <v>1</v>
      </c>
      <c r="O478">
        <v>0.13963698572498001</v>
      </c>
      <c r="P478">
        <v>6.5815260749247102</v>
      </c>
      <c r="Q478">
        <v>81.427878776042206</v>
      </c>
      <c r="R478">
        <v>-3</v>
      </c>
      <c r="S478">
        <v>-1.1790119999999999</v>
      </c>
      <c r="T478">
        <v>2.0271379999999999</v>
      </c>
      <c r="U478">
        <v>2.5280109999999998</v>
      </c>
      <c r="V478">
        <v>2.3897080000000002</v>
      </c>
      <c r="W478">
        <v>2.2371120000000002</v>
      </c>
      <c r="X478">
        <f t="shared" si="7"/>
        <v>5.3897080000000006</v>
      </c>
    </row>
    <row r="479" spans="1:24" x14ac:dyDescent="0.45">
      <c r="A479">
        <v>1190</v>
      </c>
      <c r="B479">
        <v>22</v>
      </c>
      <c r="C479">
        <v>3</v>
      </c>
      <c r="D479">
        <v>7</v>
      </c>
      <c r="E479">
        <v>-35</v>
      </c>
      <c r="F479">
        <v>0</v>
      </c>
      <c r="G479">
        <v>15</v>
      </c>
      <c r="H479">
        <v>3</v>
      </c>
      <c r="I479">
        <v>2</v>
      </c>
      <c r="J479">
        <v>2</v>
      </c>
      <c r="K479">
        <v>1</v>
      </c>
      <c r="L479">
        <v>2</v>
      </c>
      <c r="M479">
        <v>1</v>
      </c>
      <c r="N479">
        <v>2</v>
      </c>
      <c r="O479">
        <v>4.2302482049158402E-2</v>
      </c>
      <c r="P479">
        <v>3.84390305438765</v>
      </c>
      <c r="Q479">
        <v>78.489316872527993</v>
      </c>
      <c r="R479">
        <v>3</v>
      </c>
      <c r="S479">
        <v>3.004969</v>
      </c>
      <c r="T479">
        <v>3.0102929999999999</v>
      </c>
      <c r="U479">
        <v>3.0156399999999999</v>
      </c>
      <c r="V479">
        <v>3.0209860000000002</v>
      </c>
      <c r="W479">
        <v>3.026275</v>
      </c>
      <c r="X479">
        <f t="shared" si="7"/>
        <v>2.0986000000000171E-2</v>
      </c>
    </row>
    <row r="480" spans="1:24" x14ac:dyDescent="0.45">
      <c r="A480">
        <v>1190</v>
      </c>
      <c r="B480">
        <v>23</v>
      </c>
      <c r="C480">
        <v>2</v>
      </c>
      <c r="D480">
        <v>4</v>
      </c>
      <c r="E480">
        <v>-45</v>
      </c>
      <c r="F480">
        <v>0</v>
      </c>
      <c r="G480">
        <v>5</v>
      </c>
      <c r="H480">
        <v>3</v>
      </c>
      <c r="I480">
        <v>-1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0.15989699106374899</v>
      </c>
      <c r="P480">
        <v>12.6809101258276</v>
      </c>
      <c r="Q480">
        <v>85.675857422738105</v>
      </c>
      <c r="R480">
        <v>3</v>
      </c>
      <c r="S480">
        <v>2.9573510000000001</v>
      </c>
      <c r="T480">
        <v>2.8238560000000001</v>
      </c>
      <c r="U480">
        <v>3.2600229999999999</v>
      </c>
      <c r="V480">
        <v>3.1418309999999998</v>
      </c>
      <c r="W480">
        <v>3.041404</v>
      </c>
      <c r="X480">
        <f t="shared" si="7"/>
        <v>0.14183099999999982</v>
      </c>
    </row>
    <row r="481" spans="1:24" x14ac:dyDescent="0.45">
      <c r="A481">
        <v>1190</v>
      </c>
      <c r="B481">
        <v>24</v>
      </c>
      <c r="C481">
        <v>1</v>
      </c>
      <c r="D481">
        <v>5</v>
      </c>
      <c r="E481">
        <v>-35</v>
      </c>
      <c r="F481">
        <v>0</v>
      </c>
      <c r="G481">
        <v>15</v>
      </c>
      <c r="H481">
        <v>0</v>
      </c>
      <c r="I481">
        <v>1</v>
      </c>
      <c r="J481">
        <v>1</v>
      </c>
      <c r="K481">
        <v>-1</v>
      </c>
      <c r="L481">
        <v>1</v>
      </c>
      <c r="M481">
        <v>1</v>
      </c>
      <c r="N481">
        <v>1</v>
      </c>
      <c r="O481">
        <v>8.3654093163543594E-2</v>
      </c>
      <c r="P481">
        <v>8.5361568507553898</v>
      </c>
      <c r="Q481">
        <v>83.5638348289243</v>
      </c>
      <c r="R481">
        <v>3</v>
      </c>
      <c r="S481">
        <v>2.9963649999999999</v>
      </c>
      <c r="T481">
        <v>2.9320499999999998</v>
      </c>
      <c r="U481">
        <v>2.843912</v>
      </c>
      <c r="V481">
        <v>0.26674429999999999</v>
      </c>
      <c r="W481">
        <v>-2.80714</v>
      </c>
      <c r="X481">
        <f t="shared" si="7"/>
        <v>2.7332557</v>
      </c>
    </row>
    <row r="482" spans="1:24" x14ac:dyDescent="0.45">
      <c r="A482">
        <v>1200</v>
      </c>
      <c r="B482">
        <v>1</v>
      </c>
      <c r="C482">
        <v>1</v>
      </c>
      <c r="D482">
        <v>5</v>
      </c>
      <c r="E482">
        <v>-35</v>
      </c>
      <c r="F482">
        <v>0</v>
      </c>
      <c r="G482">
        <v>15</v>
      </c>
      <c r="H482">
        <v>0</v>
      </c>
      <c r="I482">
        <v>-2</v>
      </c>
      <c r="J482">
        <v>2</v>
      </c>
      <c r="K482">
        <v>-1</v>
      </c>
      <c r="L482">
        <v>2</v>
      </c>
      <c r="M482">
        <v>2</v>
      </c>
      <c r="N482">
        <v>2</v>
      </c>
      <c r="O482">
        <v>8.2868614531040496E-2</v>
      </c>
      <c r="P482">
        <v>5.5877129109066797</v>
      </c>
      <c r="Q482">
        <v>81.078662916572696</v>
      </c>
      <c r="R482">
        <v>3</v>
      </c>
      <c r="S482">
        <v>3</v>
      </c>
      <c r="T482">
        <v>1.1821459999999999</v>
      </c>
      <c r="U482">
        <v>0.1703797</v>
      </c>
      <c r="V482">
        <v>-0.1829596</v>
      </c>
      <c r="W482">
        <v>-0.53288919999999995</v>
      </c>
      <c r="X482">
        <f t="shared" si="7"/>
        <v>3.1829596000000002</v>
      </c>
    </row>
    <row r="483" spans="1:24" x14ac:dyDescent="0.45">
      <c r="A483">
        <v>1200</v>
      </c>
      <c r="B483">
        <v>2</v>
      </c>
      <c r="C483">
        <v>2</v>
      </c>
      <c r="D483">
        <v>4</v>
      </c>
      <c r="E483">
        <v>-45</v>
      </c>
      <c r="F483">
        <v>0</v>
      </c>
      <c r="G483">
        <v>5</v>
      </c>
      <c r="H483">
        <v>3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9.5884022908041197E-2</v>
      </c>
      <c r="P483">
        <v>1.34153385137349</v>
      </c>
      <c r="Q483">
        <v>77.521317180144493</v>
      </c>
      <c r="R483">
        <v>3</v>
      </c>
      <c r="S483">
        <v>3</v>
      </c>
      <c r="T483">
        <v>3</v>
      </c>
      <c r="U483">
        <v>3</v>
      </c>
      <c r="V483">
        <v>3.0026570000000001</v>
      </c>
      <c r="W483">
        <v>3.0185870000000001</v>
      </c>
      <c r="X483">
        <f t="shared" si="7"/>
        <v>2.6570000000001315E-3</v>
      </c>
    </row>
    <row r="484" spans="1:24" x14ac:dyDescent="0.45">
      <c r="A484">
        <v>1200</v>
      </c>
      <c r="B484">
        <v>3</v>
      </c>
      <c r="C484">
        <v>3</v>
      </c>
      <c r="D484">
        <v>7</v>
      </c>
      <c r="E484">
        <v>-35</v>
      </c>
      <c r="F484">
        <v>0</v>
      </c>
      <c r="G484">
        <v>15</v>
      </c>
      <c r="H484">
        <v>3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7.3992115359858099E-2</v>
      </c>
      <c r="P484">
        <v>1.0142931779086</v>
      </c>
      <c r="Q484">
        <v>77.653379461400803</v>
      </c>
      <c r="R484">
        <v>3</v>
      </c>
      <c r="S484">
        <v>3</v>
      </c>
      <c r="T484">
        <v>3</v>
      </c>
      <c r="U484">
        <v>2.814689</v>
      </c>
      <c r="V484">
        <v>2.6321500000000002</v>
      </c>
      <c r="W484">
        <v>2.4439869999999999</v>
      </c>
      <c r="X484">
        <f t="shared" si="7"/>
        <v>0.36784999999999979</v>
      </c>
    </row>
    <row r="485" spans="1:24" x14ac:dyDescent="0.45">
      <c r="A485">
        <v>1200</v>
      </c>
      <c r="B485">
        <v>4</v>
      </c>
      <c r="C485">
        <v>2</v>
      </c>
      <c r="D485">
        <v>2</v>
      </c>
      <c r="E485">
        <v>-35</v>
      </c>
      <c r="F485">
        <v>-3</v>
      </c>
      <c r="G485">
        <v>15</v>
      </c>
      <c r="H485">
        <v>-3</v>
      </c>
      <c r="I485">
        <v>-2</v>
      </c>
      <c r="J485">
        <v>2</v>
      </c>
      <c r="K485">
        <v>-1</v>
      </c>
      <c r="L485">
        <v>-2</v>
      </c>
      <c r="M485">
        <v>-2</v>
      </c>
      <c r="N485">
        <v>-2</v>
      </c>
      <c r="O485">
        <v>0.14275934118491301</v>
      </c>
      <c r="P485">
        <v>9.2960657680479599</v>
      </c>
      <c r="Q485">
        <v>36.657786938718601</v>
      </c>
      <c r="R485">
        <v>-3</v>
      </c>
      <c r="S485">
        <v>-2.83223</v>
      </c>
      <c r="T485">
        <v>0.92578199999999999</v>
      </c>
      <c r="U485">
        <v>1.6023579999999999</v>
      </c>
      <c r="V485">
        <v>1.0852539999999999</v>
      </c>
      <c r="W485">
        <v>0.61226400000000003</v>
      </c>
      <c r="X485">
        <f t="shared" si="7"/>
        <v>4.0852539999999999</v>
      </c>
    </row>
    <row r="486" spans="1:24" x14ac:dyDescent="0.45">
      <c r="A486">
        <v>1200</v>
      </c>
      <c r="B486">
        <v>5</v>
      </c>
      <c r="C486">
        <v>1</v>
      </c>
      <c r="D486">
        <v>8</v>
      </c>
      <c r="E486">
        <v>-45</v>
      </c>
      <c r="F486">
        <v>0</v>
      </c>
      <c r="G486">
        <v>5</v>
      </c>
      <c r="H486">
        <v>-3</v>
      </c>
      <c r="I486">
        <v>-1</v>
      </c>
      <c r="J486">
        <v>-1</v>
      </c>
      <c r="K486">
        <v>-2</v>
      </c>
      <c r="L486">
        <v>-2</v>
      </c>
      <c r="M486">
        <v>-2</v>
      </c>
      <c r="N486">
        <v>-2</v>
      </c>
      <c r="O486">
        <v>0.13322737306694499</v>
      </c>
      <c r="P486">
        <v>4.6930849475624896</v>
      </c>
      <c r="Q486">
        <v>77.949085767650899</v>
      </c>
      <c r="R486">
        <v>-3</v>
      </c>
      <c r="S486">
        <v>-3</v>
      </c>
      <c r="T486">
        <v>-2.9900829999999998</v>
      </c>
      <c r="U486">
        <v>-2.9703840000000001</v>
      </c>
      <c r="V486">
        <v>-2.979333</v>
      </c>
      <c r="W486">
        <v>-2.9889939999999999</v>
      </c>
      <c r="X486">
        <f t="shared" si="7"/>
        <v>2.0666999999999991E-2</v>
      </c>
    </row>
    <row r="487" spans="1:24" x14ac:dyDescent="0.45">
      <c r="A487">
        <v>1200</v>
      </c>
      <c r="B487">
        <v>6</v>
      </c>
      <c r="C487">
        <v>1</v>
      </c>
      <c r="D487">
        <v>1</v>
      </c>
      <c r="E487">
        <v>-35</v>
      </c>
      <c r="F487">
        <v>0</v>
      </c>
      <c r="G487">
        <v>15</v>
      </c>
      <c r="H487">
        <v>0</v>
      </c>
      <c r="I487">
        <v>-1</v>
      </c>
      <c r="J487">
        <v>-1</v>
      </c>
      <c r="K487">
        <v>-1</v>
      </c>
      <c r="L487">
        <v>-1</v>
      </c>
      <c r="M487">
        <v>0</v>
      </c>
      <c r="N487">
        <v>0</v>
      </c>
      <c r="O487">
        <v>0.174241744507135</v>
      </c>
      <c r="P487">
        <v>17.333577890112899</v>
      </c>
      <c r="Q487">
        <v>78.577395904794102</v>
      </c>
      <c r="R487">
        <v>0</v>
      </c>
      <c r="S487">
        <v>0</v>
      </c>
      <c r="T487">
        <v>-0.33082859999999997</v>
      </c>
      <c r="U487">
        <v>-2.7474370000000001</v>
      </c>
      <c r="V487">
        <v>-3.883508</v>
      </c>
      <c r="W487">
        <v>-4.4990230000000002</v>
      </c>
      <c r="X487">
        <f t="shared" si="7"/>
        <v>3.883508</v>
      </c>
    </row>
    <row r="488" spans="1:24" x14ac:dyDescent="0.45">
      <c r="A488">
        <v>1200</v>
      </c>
      <c r="B488">
        <v>7</v>
      </c>
      <c r="C488">
        <v>2</v>
      </c>
      <c r="D488">
        <v>6</v>
      </c>
      <c r="E488">
        <v>-35</v>
      </c>
      <c r="F488">
        <v>3</v>
      </c>
      <c r="G488">
        <v>15</v>
      </c>
      <c r="H488">
        <v>3</v>
      </c>
      <c r="I488">
        <v>-1</v>
      </c>
      <c r="J488">
        <v>-1</v>
      </c>
      <c r="K488">
        <v>1</v>
      </c>
      <c r="L488">
        <v>-1</v>
      </c>
      <c r="M488">
        <v>-1</v>
      </c>
      <c r="N488">
        <v>-1</v>
      </c>
      <c r="O488">
        <v>8.9546578526686696E-2</v>
      </c>
      <c r="P488">
        <v>6.8803153413758196</v>
      </c>
      <c r="Q488">
        <v>79.945850779140997</v>
      </c>
      <c r="R488">
        <v>0</v>
      </c>
      <c r="S488">
        <v>0.52054129999999998</v>
      </c>
      <c r="T488">
        <v>4.0909849999999999</v>
      </c>
      <c r="U488">
        <v>3.8698260000000002</v>
      </c>
      <c r="V488">
        <v>3.6474630000000001</v>
      </c>
      <c r="W488">
        <v>3.4250349999999998</v>
      </c>
      <c r="X488">
        <f t="shared" si="7"/>
        <v>3.6474630000000001</v>
      </c>
    </row>
    <row r="489" spans="1:24" x14ac:dyDescent="0.45">
      <c r="A489">
        <v>1200</v>
      </c>
      <c r="B489">
        <v>8</v>
      </c>
      <c r="C489">
        <v>3</v>
      </c>
      <c r="D489">
        <v>2</v>
      </c>
      <c r="E489">
        <v>-35</v>
      </c>
      <c r="F489">
        <v>-3</v>
      </c>
      <c r="G489">
        <v>15</v>
      </c>
      <c r="H489">
        <v>-3</v>
      </c>
      <c r="I489">
        <v>-2</v>
      </c>
      <c r="J489">
        <v>2</v>
      </c>
      <c r="K489">
        <v>2</v>
      </c>
      <c r="L489">
        <v>-2</v>
      </c>
      <c r="M489">
        <v>1</v>
      </c>
      <c r="N489">
        <v>-1</v>
      </c>
      <c r="O489">
        <v>0.14985394550450401</v>
      </c>
      <c r="P489">
        <v>9.4193356967120092</v>
      </c>
      <c r="Q489">
        <v>82.838671248797397</v>
      </c>
      <c r="R489">
        <v>-3</v>
      </c>
      <c r="S489">
        <v>-3</v>
      </c>
      <c r="T489">
        <v>-3</v>
      </c>
      <c r="U489">
        <v>-0.89377899999999999</v>
      </c>
      <c r="V489">
        <v>2.1673360000000002</v>
      </c>
      <c r="W489">
        <v>1.9661850000000001</v>
      </c>
      <c r="X489">
        <f t="shared" si="7"/>
        <v>5.1673360000000006</v>
      </c>
    </row>
    <row r="490" spans="1:24" x14ac:dyDescent="0.45">
      <c r="A490">
        <v>1200</v>
      </c>
      <c r="B490">
        <v>9</v>
      </c>
      <c r="C490">
        <v>2</v>
      </c>
      <c r="D490">
        <v>7</v>
      </c>
      <c r="E490">
        <v>-35</v>
      </c>
      <c r="F490">
        <v>0</v>
      </c>
      <c r="G490">
        <v>15</v>
      </c>
      <c r="H490">
        <v>3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0.103996507429682</v>
      </c>
      <c r="P490">
        <v>2.68838066008114</v>
      </c>
      <c r="Q490">
        <v>78.2690625816698</v>
      </c>
      <c r="R490">
        <v>3</v>
      </c>
      <c r="S490">
        <v>3</v>
      </c>
      <c r="T490">
        <v>2.9790999999999999</v>
      </c>
      <c r="U490">
        <v>3.9359440000000001</v>
      </c>
      <c r="V490">
        <v>3.9091019999999999</v>
      </c>
      <c r="W490">
        <v>3.8818489999999999</v>
      </c>
      <c r="X490">
        <f t="shared" si="7"/>
        <v>0.90910199999999985</v>
      </c>
    </row>
    <row r="491" spans="1:24" x14ac:dyDescent="0.45">
      <c r="A491">
        <v>1200</v>
      </c>
      <c r="B491">
        <v>10</v>
      </c>
      <c r="C491">
        <v>1</v>
      </c>
      <c r="D491">
        <v>4</v>
      </c>
      <c r="E491">
        <v>-45</v>
      </c>
      <c r="F491">
        <v>0</v>
      </c>
      <c r="G491">
        <v>5</v>
      </c>
      <c r="H491">
        <v>3</v>
      </c>
      <c r="I491">
        <v>-2</v>
      </c>
      <c r="J491">
        <v>2</v>
      </c>
      <c r="K491">
        <v>-2</v>
      </c>
      <c r="L491">
        <v>2</v>
      </c>
      <c r="M491">
        <v>2</v>
      </c>
      <c r="N491">
        <v>2</v>
      </c>
      <c r="O491">
        <v>0.11855625433056199</v>
      </c>
      <c r="P491">
        <v>5.5354572552811696</v>
      </c>
      <c r="Q491">
        <v>78.691438595446499</v>
      </c>
      <c r="R491">
        <v>3</v>
      </c>
      <c r="S491">
        <v>3</v>
      </c>
      <c r="T491">
        <v>2.8862920000000001</v>
      </c>
      <c r="U491">
        <v>2.9323480000000002</v>
      </c>
      <c r="V491">
        <v>4.0798209999999999</v>
      </c>
      <c r="W491">
        <v>3.8495949999999999</v>
      </c>
      <c r="X491">
        <f t="shared" si="7"/>
        <v>1.0798209999999999</v>
      </c>
    </row>
    <row r="492" spans="1:24" x14ac:dyDescent="0.45">
      <c r="A492">
        <v>1200</v>
      </c>
      <c r="B492">
        <v>11</v>
      </c>
      <c r="C492">
        <v>3</v>
      </c>
      <c r="D492">
        <v>5</v>
      </c>
      <c r="E492">
        <v>-35</v>
      </c>
      <c r="F492">
        <v>0</v>
      </c>
      <c r="G492">
        <v>15</v>
      </c>
      <c r="H492">
        <v>0</v>
      </c>
      <c r="I492">
        <v>-2</v>
      </c>
      <c r="J492">
        <v>2</v>
      </c>
      <c r="K492">
        <v>-1</v>
      </c>
      <c r="L492">
        <v>2</v>
      </c>
      <c r="M492">
        <v>2</v>
      </c>
      <c r="N492">
        <v>0</v>
      </c>
      <c r="O492">
        <v>0.16790514641431101</v>
      </c>
      <c r="P492">
        <v>10.3563577478436</v>
      </c>
      <c r="Q492">
        <v>82.557789028194406</v>
      </c>
      <c r="R492">
        <v>3</v>
      </c>
      <c r="S492">
        <v>2.7350539999999999</v>
      </c>
      <c r="T492">
        <v>-1.1774070000000001</v>
      </c>
      <c r="U492">
        <v>-1.1774070000000001</v>
      </c>
      <c r="V492">
        <v>-2.9199199999999998</v>
      </c>
      <c r="W492">
        <v>-2.9086569999999998</v>
      </c>
      <c r="X492">
        <f t="shared" si="7"/>
        <v>5.9199199999999994</v>
      </c>
    </row>
    <row r="493" spans="1:24" x14ac:dyDescent="0.45">
      <c r="A493">
        <v>1200</v>
      </c>
      <c r="B493">
        <v>12</v>
      </c>
      <c r="C493">
        <v>3</v>
      </c>
      <c r="D493">
        <v>3</v>
      </c>
      <c r="E493">
        <v>-35</v>
      </c>
      <c r="F493">
        <v>0</v>
      </c>
      <c r="G493">
        <v>15</v>
      </c>
      <c r="H493">
        <v>-3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0.133699058245703</v>
      </c>
      <c r="P493">
        <v>5.8919447042928796</v>
      </c>
      <c r="Q493">
        <v>76.373843383532204</v>
      </c>
      <c r="R493">
        <v>-3</v>
      </c>
      <c r="S493">
        <v>-3</v>
      </c>
      <c r="T493">
        <v>-3.5464410000000002</v>
      </c>
      <c r="U493">
        <v>-4.0217859999999996</v>
      </c>
      <c r="V493">
        <v>-4.4831050000000001</v>
      </c>
      <c r="W493">
        <v>-4.4795559999999996</v>
      </c>
      <c r="X493">
        <f t="shared" si="7"/>
        <v>1.4831050000000001</v>
      </c>
    </row>
    <row r="494" spans="1:24" x14ac:dyDescent="0.45">
      <c r="A494">
        <v>1200</v>
      </c>
      <c r="B494">
        <v>13</v>
      </c>
      <c r="C494">
        <v>1</v>
      </c>
      <c r="D494">
        <v>7</v>
      </c>
      <c r="E494">
        <v>-35</v>
      </c>
      <c r="F494">
        <v>0</v>
      </c>
      <c r="G494">
        <v>15</v>
      </c>
      <c r="H494">
        <v>3</v>
      </c>
      <c r="I494">
        <v>-2</v>
      </c>
      <c r="J494">
        <v>2</v>
      </c>
      <c r="K494">
        <v>-1</v>
      </c>
      <c r="L494">
        <v>1</v>
      </c>
      <c r="M494">
        <v>2</v>
      </c>
      <c r="N494">
        <v>1</v>
      </c>
      <c r="O494">
        <v>0.119407736629116</v>
      </c>
      <c r="P494">
        <v>4.7603879057524896</v>
      </c>
      <c r="Q494">
        <v>75.191529371928894</v>
      </c>
      <c r="R494">
        <v>3</v>
      </c>
      <c r="S494">
        <v>3</v>
      </c>
      <c r="T494">
        <v>3.621496</v>
      </c>
      <c r="U494">
        <v>3.8329179999999998</v>
      </c>
      <c r="V494">
        <v>4.0460609999999999</v>
      </c>
      <c r="W494">
        <v>4.2582300000000002</v>
      </c>
      <c r="X494">
        <f t="shared" si="7"/>
        <v>1.0460609999999999</v>
      </c>
    </row>
    <row r="495" spans="1:24" x14ac:dyDescent="0.45">
      <c r="A495">
        <v>1200</v>
      </c>
      <c r="B495">
        <v>14</v>
      </c>
      <c r="C495">
        <v>3</v>
      </c>
      <c r="D495">
        <v>1</v>
      </c>
      <c r="E495">
        <v>-35</v>
      </c>
      <c r="F495">
        <v>0</v>
      </c>
      <c r="G495">
        <v>15</v>
      </c>
      <c r="H495">
        <v>0</v>
      </c>
      <c r="I495">
        <v>2</v>
      </c>
      <c r="J495">
        <v>0</v>
      </c>
      <c r="K495">
        <v>2</v>
      </c>
      <c r="L495">
        <v>2</v>
      </c>
      <c r="M495">
        <v>2</v>
      </c>
      <c r="N495">
        <v>2</v>
      </c>
      <c r="O495">
        <v>9.6711202661828394E-2</v>
      </c>
      <c r="P495">
        <v>4.6452245590808703</v>
      </c>
      <c r="Q495">
        <v>79.885005055975</v>
      </c>
      <c r="R495">
        <v>0</v>
      </c>
      <c r="S495">
        <v>0</v>
      </c>
      <c r="T495">
        <v>-1.878843</v>
      </c>
      <c r="U495">
        <v>-4.0959190000000003</v>
      </c>
      <c r="V495">
        <v>-4.3226310000000003</v>
      </c>
      <c r="W495">
        <v>-4.4989980000000003</v>
      </c>
      <c r="X495">
        <f t="shared" si="7"/>
        <v>4.3226310000000003</v>
      </c>
    </row>
    <row r="496" spans="1:24" x14ac:dyDescent="0.45">
      <c r="A496">
        <v>1200</v>
      </c>
      <c r="B496">
        <v>15</v>
      </c>
      <c r="C496">
        <v>2</v>
      </c>
      <c r="D496">
        <v>8</v>
      </c>
      <c r="E496">
        <v>-45</v>
      </c>
      <c r="F496">
        <v>0</v>
      </c>
      <c r="G496">
        <v>5</v>
      </c>
      <c r="H496">
        <v>-3</v>
      </c>
      <c r="I496">
        <v>-2</v>
      </c>
      <c r="J496">
        <v>0</v>
      </c>
      <c r="K496">
        <v>2</v>
      </c>
      <c r="L496">
        <v>-2</v>
      </c>
      <c r="M496">
        <v>-2</v>
      </c>
      <c r="N496">
        <v>-2</v>
      </c>
      <c r="O496">
        <v>0.157382527127821</v>
      </c>
      <c r="P496">
        <v>8.4650927712837998</v>
      </c>
      <c r="Q496">
        <v>79.603138401359502</v>
      </c>
      <c r="R496">
        <v>-3</v>
      </c>
      <c r="S496">
        <v>-3</v>
      </c>
      <c r="T496">
        <v>-2.9846529999999998</v>
      </c>
      <c r="U496">
        <v>-2.9784359999999999</v>
      </c>
      <c r="V496">
        <v>-3.001096</v>
      </c>
      <c r="W496">
        <v>-3.09605</v>
      </c>
      <c r="X496">
        <f t="shared" si="7"/>
        <v>1.0959999999999859E-3</v>
      </c>
    </row>
    <row r="497" spans="1:24" x14ac:dyDescent="0.45">
      <c r="A497">
        <v>1200</v>
      </c>
      <c r="B497">
        <v>16</v>
      </c>
      <c r="C497">
        <v>2</v>
      </c>
      <c r="D497">
        <v>3</v>
      </c>
      <c r="E497">
        <v>-35</v>
      </c>
      <c r="F497">
        <v>0</v>
      </c>
      <c r="G497">
        <v>15</v>
      </c>
      <c r="H497">
        <v>-3</v>
      </c>
      <c r="I497">
        <v>1</v>
      </c>
      <c r="J497">
        <v>1</v>
      </c>
      <c r="K497">
        <v>2</v>
      </c>
      <c r="L497">
        <v>-1</v>
      </c>
      <c r="M497">
        <v>-1</v>
      </c>
      <c r="N497">
        <v>-1</v>
      </c>
      <c r="O497">
        <v>9.4886197255758795E-2</v>
      </c>
      <c r="P497">
        <v>4.3858942182382297</v>
      </c>
      <c r="Q497">
        <v>76.542540784726796</v>
      </c>
      <c r="R497">
        <v>-3</v>
      </c>
      <c r="S497">
        <v>-3</v>
      </c>
      <c r="T497">
        <v>-4.4014740000000003</v>
      </c>
      <c r="U497">
        <v>-4.4991719999999997</v>
      </c>
      <c r="V497">
        <v>-4.4992450000000002</v>
      </c>
      <c r="W497">
        <v>-4.4992479999999997</v>
      </c>
      <c r="X497">
        <f t="shared" si="7"/>
        <v>1.4992450000000002</v>
      </c>
    </row>
    <row r="498" spans="1:24" x14ac:dyDescent="0.45">
      <c r="A498">
        <v>1200</v>
      </c>
      <c r="B498">
        <v>17</v>
      </c>
      <c r="C498">
        <v>3</v>
      </c>
      <c r="D498">
        <v>6</v>
      </c>
      <c r="E498">
        <v>-35</v>
      </c>
      <c r="F498">
        <v>3</v>
      </c>
      <c r="G498">
        <v>15</v>
      </c>
      <c r="H498">
        <v>3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0.106596619698357</v>
      </c>
      <c r="P498">
        <v>8.7639641583332804</v>
      </c>
      <c r="Q498">
        <v>79.986091820154897</v>
      </c>
      <c r="R498">
        <v>0</v>
      </c>
      <c r="S498">
        <v>0</v>
      </c>
      <c r="T498">
        <v>1.373712</v>
      </c>
      <c r="U498">
        <v>3.2430370000000002</v>
      </c>
      <c r="V498">
        <v>3.2888299999999999</v>
      </c>
      <c r="W498">
        <v>3.3348529999999998</v>
      </c>
      <c r="X498">
        <f t="shared" si="7"/>
        <v>3.2888299999999999</v>
      </c>
    </row>
    <row r="499" spans="1:24" x14ac:dyDescent="0.45">
      <c r="A499">
        <v>1200</v>
      </c>
      <c r="B499">
        <v>18</v>
      </c>
      <c r="C499">
        <v>1</v>
      </c>
      <c r="D499">
        <v>2</v>
      </c>
      <c r="E499">
        <v>-35</v>
      </c>
      <c r="F499">
        <v>-3</v>
      </c>
      <c r="G499">
        <v>15</v>
      </c>
      <c r="H499">
        <v>-3</v>
      </c>
      <c r="I499">
        <v>-2</v>
      </c>
      <c r="J499">
        <v>-2</v>
      </c>
      <c r="K499">
        <v>-2</v>
      </c>
      <c r="L499">
        <v>2</v>
      </c>
      <c r="M499">
        <v>2</v>
      </c>
      <c r="N499">
        <v>2</v>
      </c>
      <c r="O499">
        <v>0.15464301575046999</v>
      </c>
      <c r="P499">
        <v>19.314005257290699</v>
      </c>
      <c r="Q499">
        <v>81.698509777078002</v>
      </c>
      <c r="R499">
        <v>-3</v>
      </c>
      <c r="S499">
        <v>-2.1592669999999998</v>
      </c>
      <c r="T499">
        <v>-0.4835855</v>
      </c>
      <c r="U499">
        <v>-0.5602201</v>
      </c>
      <c r="V499">
        <v>-0.63728019999999996</v>
      </c>
      <c r="W499">
        <v>1.498272</v>
      </c>
      <c r="X499">
        <f t="shared" si="7"/>
        <v>2.3627197999999998</v>
      </c>
    </row>
    <row r="500" spans="1:24" x14ac:dyDescent="0.45">
      <c r="A500">
        <v>1200</v>
      </c>
      <c r="B500">
        <v>19</v>
      </c>
      <c r="C500">
        <v>2</v>
      </c>
      <c r="D500">
        <v>5</v>
      </c>
      <c r="E500">
        <v>-35</v>
      </c>
      <c r="F500">
        <v>0</v>
      </c>
      <c r="G500">
        <v>15</v>
      </c>
      <c r="H500">
        <v>0</v>
      </c>
      <c r="I500">
        <v>-2</v>
      </c>
      <c r="J500">
        <v>0</v>
      </c>
      <c r="K500">
        <v>-2</v>
      </c>
      <c r="L500">
        <v>0</v>
      </c>
      <c r="M500">
        <v>2</v>
      </c>
      <c r="N500">
        <v>1</v>
      </c>
      <c r="O500">
        <v>0.16326950038587901</v>
      </c>
      <c r="P500">
        <v>9.6158522911244901</v>
      </c>
      <c r="Q500">
        <v>81.477152191987798</v>
      </c>
      <c r="R500">
        <v>3</v>
      </c>
      <c r="S500">
        <v>3</v>
      </c>
      <c r="T500">
        <v>0.47283579999999997</v>
      </c>
      <c r="U500">
        <v>-0.71725300000000003</v>
      </c>
      <c r="V500">
        <v>-1.9538530000000001</v>
      </c>
      <c r="W500">
        <v>-2.0666199999999999</v>
      </c>
      <c r="X500">
        <f t="shared" si="7"/>
        <v>4.9538530000000005</v>
      </c>
    </row>
    <row r="501" spans="1:24" x14ac:dyDescent="0.45">
      <c r="A501">
        <v>1200</v>
      </c>
      <c r="B501">
        <v>20</v>
      </c>
      <c r="C501">
        <v>3</v>
      </c>
      <c r="D501">
        <v>4</v>
      </c>
      <c r="E501">
        <v>-45</v>
      </c>
      <c r="F501">
        <v>0</v>
      </c>
      <c r="G501">
        <v>5</v>
      </c>
      <c r="H501">
        <v>3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0.128307338280128</v>
      </c>
      <c r="P501">
        <v>7.2611993668250001</v>
      </c>
      <c r="Q501">
        <v>78.451130484414904</v>
      </c>
      <c r="R501">
        <v>3</v>
      </c>
      <c r="S501">
        <v>3</v>
      </c>
      <c r="T501">
        <v>3.0237599999999998</v>
      </c>
      <c r="U501">
        <v>3.0615480000000002</v>
      </c>
      <c r="V501">
        <v>3.0995020000000002</v>
      </c>
      <c r="W501">
        <v>4.499816</v>
      </c>
      <c r="X501">
        <f t="shared" si="7"/>
        <v>9.9502000000000201E-2</v>
      </c>
    </row>
    <row r="502" spans="1:24" x14ac:dyDescent="0.45">
      <c r="A502">
        <v>1200</v>
      </c>
      <c r="B502">
        <v>21</v>
      </c>
      <c r="C502">
        <v>1</v>
      </c>
      <c r="D502">
        <v>6</v>
      </c>
      <c r="E502">
        <v>-35</v>
      </c>
      <c r="F502">
        <v>3</v>
      </c>
      <c r="G502">
        <v>15</v>
      </c>
      <c r="H502">
        <v>3</v>
      </c>
      <c r="I502">
        <v>-2</v>
      </c>
      <c r="J502">
        <v>-1</v>
      </c>
      <c r="K502">
        <v>-2</v>
      </c>
      <c r="L502">
        <v>2</v>
      </c>
      <c r="M502">
        <v>2</v>
      </c>
      <c r="N502">
        <v>2</v>
      </c>
      <c r="O502">
        <v>0.14636302488491301</v>
      </c>
      <c r="P502">
        <v>9.4453260253691393</v>
      </c>
      <c r="Q502">
        <v>79.058692924069206</v>
      </c>
      <c r="R502">
        <v>0</v>
      </c>
      <c r="S502">
        <v>0.59689219999999998</v>
      </c>
      <c r="T502">
        <v>3.0902910000000001</v>
      </c>
      <c r="U502">
        <v>3.0435829999999999</v>
      </c>
      <c r="V502">
        <v>2.9972880000000002</v>
      </c>
      <c r="W502">
        <v>4.2748489999999997</v>
      </c>
      <c r="X502">
        <f t="shared" si="7"/>
        <v>2.9972880000000002</v>
      </c>
    </row>
    <row r="503" spans="1:24" x14ac:dyDescent="0.45">
      <c r="A503">
        <v>1200</v>
      </c>
      <c r="B503">
        <v>22</v>
      </c>
      <c r="C503">
        <v>1</v>
      </c>
      <c r="D503">
        <v>3</v>
      </c>
      <c r="E503">
        <v>-35</v>
      </c>
      <c r="F503">
        <v>0</v>
      </c>
      <c r="G503">
        <v>15</v>
      </c>
      <c r="H503">
        <v>-3</v>
      </c>
      <c r="I503">
        <v>-2</v>
      </c>
      <c r="J503">
        <v>-1</v>
      </c>
      <c r="K503">
        <v>-2</v>
      </c>
      <c r="L503">
        <v>-1</v>
      </c>
      <c r="M503">
        <v>2</v>
      </c>
      <c r="N503">
        <v>-1</v>
      </c>
      <c r="O503">
        <v>0.17031862445793899</v>
      </c>
      <c r="P503">
        <v>3.0574261202933801</v>
      </c>
      <c r="Q503">
        <v>74.761177557926402</v>
      </c>
      <c r="R503">
        <v>-3</v>
      </c>
      <c r="S503">
        <v>-3</v>
      </c>
      <c r="T503">
        <v>-3</v>
      </c>
      <c r="U503">
        <v>-3.0000010000000001</v>
      </c>
      <c r="V503">
        <v>-4.1705019999999999</v>
      </c>
      <c r="W503">
        <v>-4.1842740000000003</v>
      </c>
      <c r="X503">
        <f t="shared" si="7"/>
        <v>1.1705019999999999</v>
      </c>
    </row>
    <row r="504" spans="1:24" x14ac:dyDescent="0.45">
      <c r="A504">
        <v>1200</v>
      </c>
      <c r="B504">
        <v>23</v>
      </c>
      <c r="C504">
        <v>3</v>
      </c>
      <c r="D504">
        <v>8</v>
      </c>
      <c r="E504">
        <v>-45</v>
      </c>
      <c r="F504">
        <v>0</v>
      </c>
      <c r="G504">
        <v>5</v>
      </c>
      <c r="H504">
        <v>-3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0.16135535566676701</v>
      </c>
      <c r="P504">
        <v>7.7662563443342396</v>
      </c>
      <c r="Q504">
        <v>79.945657189181901</v>
      </c>
      <c r="R504">
        <v>-3</v>
      </c>
      <c r="S504">
        <v>-3</v>
      </c>
      <c r="T504">
        <v>-3</v>
      </c>
      <c r="U504">
        <v>-3.1776450000000001</v>
      </c>
      <c r="V504">
        <v>-3.412471</v>
      </c>
      <c r="W504">
        <v>-3.646312</v>
      </c>
      <c r="X504">
        <f t="shared" si="7"/>
        <v>0.41247100000000003</v>
      </c>
    </row>
    <row r="505" spans="1:24" x14ac:dyDescent="0.45">
      <c r="A505">
        <v>1200</v>
      </c>
      <c r="B505">
        <v>24</v>
      </c>
      <c r="C505">
        <v>2</v>
      </c>
      <c r="D505">
        <v>1</v>
      </c>
      <c r="E505">
        <v>-35</v>
      </c>
      <c r="F505">
        <v>0</v>
      </c>
      <c r="G505">
        <v>15</v>
      </c>
      <c r="H505">
        <v>0</v>
      </c>
      <c r="I505">
        <v>2</v>
      </c>
      <c r="J505">
        <v>2</v>
      </c>
      <c r="K505">
        <v>2</v>
      </c>
      <c r="L505">
        <v>1</v>
      </c>
      <c r="M505">
        <v>1</v>
      </c>
      <c r="N505">
        <v>2</v>
      </c>
      <c r="O505">
        <v>9.8019952621947903E-2</v>
      </c>
      <c r="P505">
        <v>4.7930646467643498</v>
      </c>
      <c r="Q505">
        <v>79.189030331425698</v>
      </c>
      <c r="R505">
        <v>0</v>
      </c>
      <c r="S505">
        <v>0</v>
      </c>
      <c r="T505">
        <v>-3.3909880000000001</v>
      </c>
      <c r="U505">
        <v>-4.125267</v>
      </c>
      <c r="V505">
        <v>-4.2838779999999996</v>
      </c>
      <c r="W505">
        <v>-4.4988570000000001</v>
      </c>
      <c r="X505">
        <f t="shared" si="7"/>
        <v>4.2838779999999996</v>
      </c>
    </row>
    <row r="506" spans="1:24" x14ac:dyDescent="0.45">
      <c r="A506">
        <v>20230111175024</v>
      </c>
      <c r="B506">
        <v>1</v>
      </c>
      <c r="C506">
        <v>1</v>
      </c>
      <c r="D506">
        <v>5</v>
      </c>
      <c r="E506">
        <v>-35</v>
      </c>
      <c r="F506">
        <v>0</v>
      </c>
      <c r="G506">
        <v>15</v>
      </c>
      <c r="H506">
        <v>0</v>
      </c>
      <c r="I506">
        <v>-2</v>
      </c>
      <c r="J506">
        <v>1</v>
      </c>
      <c r="K506">
        <v>-2</v>
      </c>
      <c r="L506">
        <v>1</v>
      </c>
      <c r="M506">
        <v>1</v>
      </c>
      <c r="N506">
        <v>-2</v>
      </c>
      <c r="X506">
        <f t="shared" si="7"/>
        <v>0</v>
      </c>
    </row>
    <row r="507" spans="1:24" x14ac:dyDescent="0.45">
      <c r="A507">
        <v>20230111175024</v>
      </c>
      <c r="B507">
        <v>2</v>
      </c>
      <c r="C507">
        <v>2</v>
      </c>
      <c r="D507">
        <v>4</v>
      </c>
      <c r="E507">
        <v>-45</v>
      </c>
      <c r="F507">
        <v>0</v>
      </c>
      <c r="G507">
        <v>5</v>
      </c>
      <c r="H507">
        <v>3</v>
      </c>
      <c r="I507">
        <v>2</v>
      </c>
      <c r="J507">
        <v>1</v>
      </c>
      <c r="K507">
        <v>2</v>
      </c>
      <c r="L507">
        <v>2</v>
      </c>
      <c r="M507">
        <v>2</v>
      </c>
      <c r="N507">
        <v>1</v>
      </c>
      <c r="X507">
        <f t="shared" si="7"/>
        <v>0</v>
      </c>
    </row>
    <row r="508" spans="1:24" x14ac:dyDescent="0.45">
      <c r="A508">
        <v>20230111175024</v>
      </c>
      <c r="B508">
        <v>3</v>
      </c>
      <c r="C508">
        <v>3</v>
      </c>
      <c r="D508">
        <v>7</v>
      </c>
      <c r="E508">
        <v>-35</v>
      </c>
      <c r="F508">
        <v>0</v>
      </c>
      <c r="G508">
        <v>15</v>
      </c>
      <c r="H508">
        <v>3</v>
      </c>
      <c r="I508">
        <v>2</v>
      </c>
      <c r="J508">
        <v>1</v>
      </c>
      <c r="K508">
        <v>2</v>
      </c>
      <c r="L508">
        <v>2</v>
      </c>
      <c r="M508">
        <v>2</v>
      </c>
      <c r="N508">
        <v>2</v>
      </c>
      <c r="X508">
        <f t="shared" si="7"/>
        <v>0</v>
      </c>
    </row>
    <row r="509" spans="1:24" x14ac:dyDescent="0.45">
      <c r="A509">
        <v>20230111175024</v>
      </c>
      <c r="B509">
        <v>4</v>
      </c>
      <c r="C509">
        <v>2</v>
      </c>
      <c r="D509">
        <v>2</v>
      </c>
      <c r="E509">
        <v>-35</v>
      </c>
      <c r="F509">
        <v>-3</v>
      </c>
      <c r="G509">
        <v>15</v>
      </c>
      <c r="H509">
        <v>-3</v>
      </c>
      <c r="I509">
        <v>-2</v>
      </c>
      <c r="J509">
        <v>1</v>
      </c>
      <c r="K509">
        <v>-2</v>
      </c>
      <c r="L509">
        <v>1</v>
      </c>
      <c r="M509">
        <v>0</v>
      </c>
      <c r="N509">
        <v>-1</v>
      </c>
      <c r="X509">
        <f t="shared" si="7"/>
        <v>0</v>
      </c>
    </row>
    <row r="510" spans="1:24" x14ac:dyDescent="0.45">
      <c r="A510">
        <v>20230111175024</v>
      </c>
      <c r="B510">
        <v>5</v>
      </c>
      <c r="C510">
        <v>1</v>
      </c>
      <c r="D510">
        <v>8</v>
      </c>
      <c r="E510">
        <v>-45</v>
      </c>
      <c r="F510">
        <v>0</v>
      </c>
      <c r="G510">
        <v>5</v>
      </c>
      <c r="H510">
        <v>-3</v>
      </c>
      <c r="I510">
        <v>0</v>
      </c>
      <c r="J510">
        <v>-1</v>
      </c>
      <c r="K510">
        <v>1</v>
      </c>
      <c r="L510">
        <v>-1</v>
      </c>
      <c r="M510">
        <v>-1</v>
      </c>
      <c r="N510">
        <v>-1</v>
      </c>
      <c r="X510">
        <f t="shared" si="7"/>
        <v>0</v>
      </c>
    </row>
    <row r="511" spans="1:24" x14ac:dyDescent="0.45">
      <c r="A511">
        <v>20230111175024</v>
      </c>
      <c r="B511">
        <v>6</v>
      </c>
      <c r="C511">
        <v>1</v>
      </c>
      <c r="D511">
        <v>1</v>
      </c>
      <c r="E511">
        <v>-35</v>
      </c>
      <c r="F511">
        <v>0</v>
      </c>
      <c r="G511">
        <v>15</v>
      </c>
      <c r="H511">
        <v>0</v>
      </c>
      <c r="I511">
        <v>1</v>
      </c>
      <c r="J511">
        <v>-1</v>
      </c>
      <c r="K511">
        <v>2</v>
      </c>
      <c r="L511">
        <v>-1</v>
      </c>
      <c r="M511">
        <v>2</v>
      </c>
      <c r="N511">
        <v>0</v>
      </c>
      <c r="X511">
        <f t="shared" si="7"/>
        <v>0</v>
      </c>
    </row>
    <row r="512" spans="1:24" x14ac:dyDescent="0.45">
      <c r="A512">
        <v>20230111175024</v>
      </c>
      <c r="B512">
        <v>7</v>
      </c>
      <c r="C512">
        <v>2</v>
      </c>
      <c r="D512">
        <v>6</v>
      </c>
      <c r="E512">
        <v>-35</v>
      </c>
      <c r="F512">
        <v>3</v>
      </c>
      <c r="G512">
        <v>15</v>
      </c>
      <c r="H512">
        <v>3</v>
      </c>
      <c r="I512">
        <v>-2</v>
      </c>
      <c r="J512">
        <v>-2</v>
      </c>
      <c r="K512">
        <v>2</v>
      </c>
      <c r="L512">
        <v>-2</v>
      </c>
      <c r="M512">
        <v>-2</v>
      </c>
      <c r="N512">
        <v>-2</v>
      </c>
      <c r="X512">
        <f t="shared" si="7"/>
        <v>0</v>
      </c>
    </row>
    <row r="513" spans="1:24" x14ac:dyDescent="0.45">
      <c r="A513">
        <v>20230111175024</v>
      </c>
      <c r="B513">
        <v>8</v>
      </c>
      <c r="C513">
        <v>3</v>
      </c>
      <c r="D513">
        <v>2</v>
      </c>
      <c r="E513">
        <v>-35</v>
      </c>
      <c r="F513">
        <v>-3</v>
      </c>
      <c r="G513">
        <v>15</v>
      </c>
      <c r="H513">
        <v>-3</v>
      </c>
      <c r="I513">
        <v>2</v>
      </c>
      <c r="J513">
        <v>1</v>
      </c>
      <c r="K513">
        <v>2</v>
      </c>
      <c r="L513">
        <v>2</v>
      </c>
      <c r="M513">
        <v>1</v>
      </c>
      <c r="N513">
        <v>2</v>
      </c>
      <c r="X513">
        <f t="shared" si="7"/>
        <v>0</v>
      </c>
    </row>
    <row r="514" spans="1:24" x14ac:dyDescent="0.45">
      <c r="A514">
        <v>20230111175024</v>
      </c>
      <c r="B514">
        <v>9</v>
      </c>
      <c r="C514">
        <v>2</v>
      </c>
      <c r="D514">
        <v>7</v>
      </c>
      <c r="E514">
        <v>-35</v>
      </c>
      <c r="F514">
        <v>0</v>
      </c>
      <c r="G514">
        <v>15</v>
      </c>
      <c r="H514">
        <v>3</v>
      </c>
      <c r="I514">
        <v>1</v>
      </c>
      <c r="J514">
        <v>1</v>
      </c>
      <c r="K514">
        <v>2</v>
      </c>
      <c r="L514">
        <v>1</v>
      </c>
      <c r="M514">
        <v>2</v>
      </c>
      <c r="N514">
        <v>0</v>
      </c>
      <c r="X514">
        <f t="shared" si="7"/>
        <v>0</v>
      </c>
    </row>
    <row r="515" spans="1:24" x14ac:dyDescent="0.45">
      <c r="A515">
        <v>20230111175024</v>
      </c>
      <c r="B515">
        <v>10</v>
      </c>
      <c r="C515">
        <v>1</v>
      </c>
      <c r="D515">
        <v>4</v>
      </c>
      <c r="E515">
        <v>-45</v>
      </c>
      <c r="F515">
        <v>0</v>
      </c>
      <c r="G515">
        <v>5</v>
      </c>
      <c r="H515">
        <v>3</v>
      </c>
      <c r="I515">
        <v>-2</v>
      </c>
      <c r="J515">
        <v>1</v>
      </c>
      <c r="K515">
        <v>-2</v>
      </c>
      <c r="L515">
        <v>1</v>
      </c>
      <c r="M515">
        <v>1</v>
      </c>
      <c r="N515">
        <v>-1</v>
      </c>
      <c r="X515">
        <f t="shared" ref="X515:X553" si="8">ABS(V515-R515)</f>
        <v>0</v>
      </c>
    </row>
    <row r="516" spans="1:24" x14ac:dyDescent="0.45">
      <c r="A516">
        <v>20230111175024</v>
      </c>
      <c r="B516">
        <v>11</v>
      </c>
      <c r="C516">
        <v>3</v>
      </c>
      <c r="D516">
        <v>5</v>
      </c>
      <c r="E516">
        <v>-35</v>
      </c>
      <c r="F516">
        <v>0</v>
      </c>
      <c r="G516">
        <v>15</v>
      </c>
      <c r="H516">
        <v>0</v>
      </c>
      <c r="I516">
        <v>-2</v>
      </c>
      <c r="J516">
        <v>1</v>
      </c>
      <c r="K516">
        <v>-2</v>
      </c>
      <c r="L516">
        <v>1</v>
      </c>
      <c r="M516">
        <v>-1</v>
      </c>
      <c r="N516">
        <v>-1</v>
      </c>
      <c r="X516">
        <f t="shared" si="8"/>
        <v>0</v>
      </c>
    </row>
    <row r="517" spans="1:24" x14ac:dyDescent="0.45">
      <c r="A517">
        <v>20230111175024</v>
      </c>
      <c r="B517">
        <v>12</v>
      </c>
      <c r="C517">
        <v>3</v>
      </c>
      <c r="D517">
        <v>3</v>
      </c>
      <c r="E517">
        <v>-35</v>
      </c>
      <c r="F517">
        <v>0</v>
      </c>
      <c r="G517">
        <v>15</v>
      </c>
      <c r="H517">
        <v>-3</v>
      </c>
      <c r="I517">
        <v>2</v>
      </c>
      <c r="J517">
        <v>1</v>
      </c>
      <c r="K517">
        <v>2</v>
      </c>
      <c r="L517">
        <v>2</v>
      </c>
      <c r="M517">
        <v>2</v>
      </c>
      <c r="N517">
        <v>2</v>
      </c>
      <c r="X517">
        <f t="shared" si="8"/>
        <v>0</v>
      </c>
    </row>
    <row r="518" spans="1:24" x14ac:dyDescent="0.45">
      <c r="A518">
        <v>20230111175024</v>
      </c>
      <c r="B518">
        <v>13</v>
      </c>
      <c r="C518">
        <v>1</v>
      </c>
      <c r="D518">
        <v>7</v>
      </c>
      <c r="E518">
        <v>-35</v>
      </c>
      <c r="F518">
        <v>0</v>
      </c>
      <c r="G518">
        <v>15</v>
      </c>
      <c r="H518">
        <v>3</v>
      </c>
      <c r="I518">
        <v>1</v>
      </c>
      <c r="J518">
        <v>0</v>
      </c>
      <c r="K518">
        <v>2</v>
      </c>
      <c r="L518">
        <v>0</v>
      </c>
      <c r="M518">
        <v>2</v>
      </c>
      <c r="N518">
        <v>1</v>
      </c>
      <c r="X518">
        <f t="shared" si="8"/>
        <v>0</v>
      </c>
    </row>
    <row r="519" spans="1:24" x14ac:dyDescent="0.45">
      <c r="A519">
        <v>20230111175024</v>
      </c>
      <c r="B519">
        <v>14</v>
      </c>
      <c r="C519">
        <v>3</v>
      </c>
      <c r="D519">
        <v>1</v>
      </c>
      <c r="E519">
        <v>-35</v>
      </c>
      <c r="F519">
        <v>0</v>
      </c>
      <c r="G519">
        <v>15</v>
      </c>
      <c r="H519">
        <v>0</v>
      </c>
      <c r="I519">
        <v>2</v>
      </c>
      <c r="J519">
        <v>1</v>
      </c>
      <c r="K519">
        <v>2</v>
      </c>
      <c r="L519">
        <v>1</v>
      </c>
      <c r="M519">
        <v>2</v>
      </c>
      <c r="N519">
        <v>1</v>
      </c>
      <c r="X519">
        <f t="shared" si="8"/>
        <v>0</v>
      </c>
    </row>
    <row r="520" spans="1:24" x14ac:dyDescent="0.45">
      <c r="A520">
        <v>20230111175024</v>
      </c>
      <c r="B520">
        <v>15</v>
      </c>
      <c r="C520">
        <v>2</v>
      </c>
      <c r="D520">
        <v>8</v>
      </c>
      <c r="E520">
        <v>-45</v>
      </c>
      <c r="F520">
        <v>0</v>
      </c>
      <c r="G520">
        <v>5</v>
      </c>
      <c r="H520">
        <v>-3</v>
      </c>
      <c r="I520">
        <v>-2</v>
      </c>
      <c r="J520">
        <v>0</v>
      </c>
      <c r="K520">
        <v>1</v>
      </c>
      <c r="L520">
        <v>-2</v>
      </c>
      <c r="M520">
        <v>-2</v>
      </c>
      <c r="N520">
        <v>-1</v>
      </c>
      <c r="X520">
        <f t="shared" si="8"/>
        <v>0</v>
      </c>
    </row>
    <row r="521" spans="1:24" x14ac:dyDescent="0.45">
      <c r="A521">
        <v>20230111175024</v>
      </c>
      <c r="B521">
        <v>16</v>
      </c>
      <c r="C521">
        <v>2</v>
      </c>
      <c r="D521">
        <v>3</v>
      </c>
      <c r="E521">
        <v>-35</v>
      </c>
      <c r="F521">
        <v>0</v>
      </c>
      <c r="G521">
        <v>15</v>
      </c>
      <c r="H521">
        <v>-3</v>
      </c>
      <c r="I521">
        <v>2</v>
      </c>
      <c r="J521">
        <v>0</v>
      </c>
      <c r="K521">
        <v>2</v>
      </c>
      <c r="L521">
        <v>1</v>
      </c>
      <c r="M521">
        <v>2</v>
      </c>
      <c r="N521">
        <v>1</v>
      </c>
      <c r="X521">
        <f t="shared" si="8"/>
        <v>0</v>
      </c>
    </row>
    <row r="522" spans="1:24" x14ac:dyDescent="0.45">
      <c r="A522">
        <v>20230111175024</v>
      </c>
      <c r="B522">
        <v>17</v>
      </c>
      <c r="C522">
        <v>3</v>
      </c>
      <c r="D522">
        <v>6</v>
      </c>
      <c r="E522">
        <v>-35</v>
      </c>
      <c r="F522">
        <v>3</v>
      </c>
      <c r="G522">
        <v>15</v>
      </c>
      <c r="H522">
        <v>3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X522">
        <f t="shared" si="8"/>
        <v>0</v>
      </c>
    </row>
    <row r="523" spans="1:24" x14ac:dyDescent="0.45">
      <c r="A523">
        <v>20230111175024</v>
      </c>
      <c r="B523">
        <v>18</v>
      </c>
      <c r="C523">
        <v>1</v>
      </c>
      <c r="D523">
        <v>2</v>
      </c>
      <c r="E523">
        <v>-35</v>
      </c>
      <c r="F523">
        <v>-3</v>
      </c>
      <c r="G523">
        <v>15</v>
      </c>
      <c r="H523">
        <v>-3</v>
      </c>
      <c r="I523">
        <v>-2</v>
      </c>
      <c r="J523">
        <v>1</v>
      </c>
      <c r="K523">
        <v>-2</v>
      </c>
      <c r="L523">
        <v>1</v>
      </c>
      <c r="M523">
        <v>-2</v>
      </c>
      <c r="N523">
        <v>-1</v>
      </c>
      <c r="X523">
        <f t="shared" si="8"/>
        <v>0</v>
      </c>
    </row>
    <row r="524" spans="1:24" x14ac:dyDescent="0.45">
      <c r="A524">
        <v>20230111175024</v>
      </c>
      <c r="B524">
        <v>19</v>
      </c>
      <c r="C524">
        <v>2</v>
      </c>
      <c r="D524">
        <v>5</v>
      </c>
      <c r="E524">
        <v>-35</v>
      </c>
      <c r="F524">
        <v>0</v>
      </c>
      <c r="G524">
        <v>15</v>
      </c>
      <c r="H524">
        <v>0</v>
      </c>
      <c r="I524">
        <v>-2</v>
      </c>
      <c r="J524">
        <v>-2</v>
      </c>
      <c r="K524">
        <v>2</v>
      </c>
      <c r="L524">
        <v>-2</v>
      </c>
      <c r="M524">
        <v>-2</v>
      </c>
      <c r="N524">
        <v>-2</v>
      </c>
      <c r="X524">
        <f t="shared" si="8"/>
        <v>0</v>
      </c>
    </row>
    <row r="525" spans="1:24" x14ac:dyDescent="0.45">
      <c r="A525">
        <v>20230111175024</v>
      </c>
      <c r="B525">
        <v>20</v>
      </c>
      <c r="C525">
        <v>3</v>
      </c>
      <c r="D525">
        <v>4</v>
      </c>
      <c r="E525">
        <v>-45</v>
      </c>
      <c r="F525">
        <v>0</v>
      </c>
      <c r="G525">
        <v>5</v>
      </c>
      <c r="H525">
        <v>3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X525">
        <f t="shared" si="8"/>
        <v>0</v>
      </c>
    </row>
    <row r="526" spans="1:24" x14ac:dyDescent="0.45">
      <c r="A526">
        <v>20230111175024</v>
      </c>
      <c r="B526">
        <v>21</v>
      </c>
      <c r="C526">
        <v>1</v>
      </c>
      <c r="D526">
        <v>6</v>
      </c>
      <c r="E526">
        <v>-35</v>
      </c>
      <c r="F526">
        <v>3</v>
      </c>
      <c r="G526">
        <v>15</v>
      </c>
      <c r="H526">
        <v>3</v>
      </c>
      <c r="I526">
        <v>-1</v>
      </c>
      <c r="J526">
        <v>1</v>
      </c>
      <c r="K526">
        <v>-1</v>
      </c>
      <c r="L526">
        <v>1</v>
      </c>
      <c r="M526">
        <v>2</v>
      </c>
      <c r="N526">
        <v>0</v>
      </c>
      <c r="X526">
        <f t="shared" si="8"/>
        <v>0</v>
      </c>
    </row>
    <row r="527" spans="1:24" x14ac:dyDescent="0.45">
      <c r="A527">
        <v>20230111175024</v>
      </c>
      <c r="B527">
        <v>22</v>
      </c>
      <c r="C527">
        <v>1</v>
      </c>
      <c r="D527">
        <v>3</v>
      </c>
      <c r="E527">
        <v>-35</v>
      </c>
      <c r="F527">
        <v>0</v>
      </c>
      <c r="G527">
        <v>15</v>
      </c>
      <c r="H527">
        <v>-3</v>
      </c>
      <c r="I527">
        <v>-2</v>
      </c>
      <c r="J527">
        <v>1</v>
      </c>
      <c r="K527">
        <v>-2</v>
      </c>
      <c r="L527">
        <v>1</v>
      </c>
      <c r="M527">
        <v>2</v>
      </c>
      <c r="N527">
        <v>-1</v>
      </c>
      <c r="X527">
        <f t="shared" si="8"/>
        <v>0</v>
      </c>
    </row>
    <row r="528" spans="1:24" x14ac:dyDescent="0.45">
      <c r="A528">
        <v>20230111175024</v>
      </c>
      <c r="B528">
        <v>23</v>
      </c>
      <c r="C528">
        <v>3</v>
      </c>
      <c r="D528">
        <v>8</v>
      </c>
      <c r="E528">
        <v>-45</v>
      </c>
      <c r="F528">
        <v>0</v>
      </c>
      <c r="G528">
        <v>5</v>
      </c>
      <c r="H528">
        <v>-3</v>
      </c>
      <c r="I528">
        <v>2</v>
      </c>
      <c r="J528">
        <v>1</v>
      </c>
      <c r="K528">
        <v>2</v>
      </c>
      <c r="L528">
        <v>2</v>
      </c>
      <c r="M528">
        <v>2</v>
      </c>
      <c r="N528">
        <v>2</v>
      </c>
      <c r="X528">
        <f t="shared" si="8"/>
        <v>0</v>
      </c>
    </row>
    <row r="529" spans="1:24" x14ac:dyDescent="0.45">
      <c r="A529">
        <v>20230111175024</v>
      </c>
      <c r="B529">
        <v>24</v>
      </c>
      <c r="C529">
        <v>2</v>
      </c>
      <c r="D529">
        <v>1</v>
      </c>
      <c r="E529">
        <v>-35</v>
      </c>
      <c r="F529">
        <v>0</v>
      </c>
      <c r="G529">
        <v>15</v>
      </c>
      <c r="H529">
        <v>0</v>
      </c>
      <c r="I529">
        <v>2</v>
      </c>
      <c r="J529">
        <v>1</v>
      </c>
      <c r="K529">
        <v>2</v>
      </c>
      <c r="L529">
        <v>1</v>
      </c>
      <c r="M529">
        <v>2</v>
      </c>
      <c r="N529">
        <v>1</v>
      </c>
      <c r="X529">
        <f t="shared" si="8"/>
        <v>0</v>
      </c>
    </row>
    <row r="530" spans="1:24" x14ac:dyDescent="0.45">
      <c r="A530">
        <v>20230113194321</v>
      </c>
      <c r="B530">
        <v>1</v>
      </c>
      <c r="C530">
        <v>2</v>
      </c>
      <c r="D530">
        <v>1</v>
      </c>
      <c r="E530">
        <v>-35</v>
      </c>
      <c r="F530">
        <v>0</v>
      </c>
      <c r="G530">
        <v>15</v>
      </c>
      <c r="H530">
        <v>0</v>
      </c>
      <c r="I530">
        <v>1</v>
      </c>
      <c r="J530">
        <v>0</v>
      </c>
      <c r="K530">
        <v>2</v>
      </c>
      <c r="L530">
        <v>1</v>
      </c>
      <c r="M530">
        <v>-1</v>
      </c>
      <c r="N530">
        <v>-1</v>
      </c>
      <c r="X530">
        <f t="shared" si="8"/>
        <v>0</v>
      </c>
    </row>
    <row r="531" spans="1:24" x14ac:dyDescent="0.45">
      <c r="A531">
        <v>20230113194321</v>
      </c>
      <c r="B531">
        <v>2</v>
      </c>
      <c r="C531">
        <v>3</v>
      </c>
      <c r="D531">
        <v>8</v>
      </c>
      <c r="E531">
        <v>-45</v>
      </c>
      <c r="F531">
        <v>0</v>
      </c>
      <c r="G531">
        <v>5</v>
      </c>
      <c r="H531">
        <v>-3</v>
      </c>
      <c r="I531">
        <v>2</v>
      </c>
      <c r="J531">
        <v>2</v>
      </c>
      <c r="K531">
        <v>2</v>
      </c>
      <c r="L531">
        <v>1</v>
      </c>
      <c r="M531">
        <v>1</v>
      </c>
      <c r="N531">
        <v>2</v>
      </c>
      <c r="X531">
        <f t="shared" si="8"/>
        <v>0</v>
      </c>
    </row>
    <row r="532" spans="1:24" x14ac:dyDescent="0.45">
      <c r="A532">
        <v>20230113194321</v>
      </c>
      <c r="B532">
        <v>3</v>
      </c>
      <c r="C532">
        <v>1</v>
      </c>
      <c r="D532">
        <v>3</v>
      </c>
      <c r="E532">
        <v>-35</v>
      </c>
      <c r="F532">
        <v>0</v>
      </c>
      <c r="G532">
        <v>15</v>
      </c>
      <c r="H532">
        <v>-3</v>
      </c>
      <c r="I532">
        <v>-2</v>
      </c>
      <c r="J532">
        <v>2</v>
      </c>
      <c r="K532">
        <v>-2</v>
      </c>
      <c r="L532">
        <v>-2</v>
      </c>
      <c r="M532">
        <v>0</v>
      </c>
      <c r="N532">
        <v>-1</v>
      </c>
      <c r="X532">
        <f t="shared" si="8"/>
        <v>0</v>
      </c>
    </row>
    <row r="533" spans="1:24" x14ac:dyDescent="0.45">
      <c r="A533">
        <v>20230113194321</v>
      </c>
      <c r="B533">
        <v>4</v>
      </c>
      <c r="C533">
        <v>1</v>
      </c>
      <c r="D533">
        <v>6</v>
      </c>
      <c r="E533">
        <v>-35</v>
      </c>
      <c r="F533">
        <v>3</v>
      </c>
      <c r="G533">
        <v>15</v>
      </c>
      <c r="H533">
        <v>3</v>
      </c>
      <c r="I533">
        <v>-2</v>
      </c>
      <c r="J533">
        <v>2</v>
      </c>
      <c r="K533">
        <v>-2</v>
      </c>
      <c r="L533">
        <v>-2</v>
      </c>
      <c r="M533">
        <v>-1</v>
      </c>
      <c r="N533">
        <v>-1</v>
      </c>
      <c r="X533">
        <f t="shared" si="8"/>
        <v>0</v>
      </c>
    </row>
    <row r="534" spans="1:24" x14ac:dyDescent="0.45">
      <c r="A534">
        <v>20230113194321</v>
      </c>
      <c r="B534">
        <v>5</v>
      </c>
      <c r="C534">
        <v>3</v>
      </c>
      <c r="D534">
        <v>4</v>
      </c>
      <c r="E534">
        <v>-45</v>
      </c>
      <c r="F534">
        <v>0</v>
      </c>
      <c r="G534">
        <v>5</v>
      </c>
      <c r="H534">
        <v>3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X534">
        <f t="shared" si="8"/>
        <v>0</v>
      </c>
    </row>
    <row r="535" spans="1:24" x14ac:dyDescent="0.45">
      <c r="A535">
        <v>20230113194321</v>
      </c>
      <c r="B535">
        <v>6</v>
      </c>
      <c r="C535">
        <v>2</v>
      </c>
      <c r="D535">
        <v>5</v>
      </c>
      <c r="E535">
        <v>-35</v>
      </c>
      <c r="F535">
        <v>0</v>
      </c>
      <c r="G535">
        <v>15</v>
      </c>
      <c r="H535">
        <v>0</v>
      </c>
      <c r="I535">
        <v>-2</v>
      </c>
      <c r="J535">
        <v>2</v>
      </c>
      <c r="K535">
        <v>-2</v>
      </c>
      <c r="L535">
        <v>-1</v>
      </c>
      <c r="M535">
        <v>2</v>
      </c>
      <c r="N535">
        <v>0</v>
      </c>
      <c r="X535">
        <f t="shared" si="8"/>
        <v>0</v>
      </c>
    </row>
    <row r="536" spans="1:24" x14ac:dyDescent="0.45">
      <c r="A536">
        <v>20230113194321</v>
      </c>
      <c r="B536">
        <v>7</v>
      </c>
      <c r="C536">
        <v>1</v>
      </c>
      <c r="D536">
        <v>2</v>
      </c>
      <c r="E536">
        <v>-35</v>
      </c>
      <c r="F536">
        <v>-3</v>
      </c>
      <c r="G536">
        <v>15</v>
      </c>
      <c r="H536">
        <v>-3</v>
      </c>
      <c r="I536">
        <v>-2</v>
      </c>
      <c r="J536">
        <v>2</v>
      </c>
      <c r="K536">
        <v>1</v>
      </c>
      <c r="L536">
        <v>1</v>
      </c>
      <c r="M536">
        <v>-1</v>
      </c>
      <c r="N536">
        <v>-1</v>
      </c>
      <c r="X536">
        <f t="shared" si="8"/>
        <v>0</v>
      </c>
    </row>
    <row r="537" spans="1:24" x14ac:dyDescent="0.45">
      <c r="A537">
        <v>20230113194321</v>
      </c>
      <c r="B537">
        <v>8</v>
      </c>
      <c r="C537">
        <v>3</v>
      </c>
      <c r="D537">
        <v>6</v>
      </c>
      <c r="E537">
        <v>-35</v>
      </c>
      <c r="F537">
        <v>3</v>
      </c>
      <c r="G537">
        <v>15</v>
      </c>
      <c r="H537">
        <v>3</v>
      </c>
      <c r="I537">
        <v>2</v>
      </c>
      <c r="J537">
        <v>1</v>
      </c>
      <c r="K537">
        <v>2</v>
      </c>
      <c r="L537">
        <v>2</v>
      </c>
      <c r="M537">
        <v>1</v>
      </c>
      <c r="N537">
        <v>2</v>
      </c>
      <c r="X537">
        <f t="shared" si="8"/>
        <v>0</v>
      </c>
    </row>
    <row r="538" spans="1:24" x14ac:dyDescent="0.45">
      <c r="A538">
        <v>20230113194321</v>
      </c>
      <c r="B538">
        <v>9</v>
      </c>
      <c r="C538">
        <v>2</v>
      </c>
      <c r="D538">
        <v>3</v>
      </c>
      <c r="E538">
        <v>-35</v>
      </c>
      <c r="F538">
        <v>0</v>
      </c>
      <c r="G538">
        <v>15</v>
      </c>
      <c r="H538">
        <v>-3</v>
      </c>
      <c r="I538">
        <v>2</v>
      </c>
      <c r="J538">
        <v>2</v>
      </c>
      <c r="K538">
        <v>2</v>
      </c>
      <c r="L538">
        <v>2</v>
      </c>
      <c r="M538">
        <v>1</v>
      </c>
      <c r="N538">
        <v>2</v>
      </c>
      <c r="X538">
        <f t="shared" si="8"/>
        <v>0</v>
      </c>
    </row>
    <row r="539" spans="1:24" x14ac:dyDescent="0.45">
      <c r="A539">
        <v>20230113194321</v>
      </c>
      <c r="B539">
        <v>10</v>
      </c>
      <c r="C539">
        <v>2</v>
      </c>
      <c r="D539">
        <v>8</v>
      </c>
      <c r="E539">
        <v>-45</v>
      </c>
      <c r="F539">
        <v>0</v>
      </c>
      <c r="G539">
        <v>5</v>
      </c>
      <c r="H539">
        <v>-3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X539">
        <f t="shared" si="8"/>
        <v>0</v>
      </c>
    </row>
    <row r="540" spans="1:24" x14ac:dyDescent="0.45">
      <c r="A540">
        <v>20230113194321</v>
      </c>
      <c r="B540">
        <v>11</v>
      </c>
      <c r="C540">
        <v>3</v>
      </c>
      <c r="D540">
        <v>1</v>
      </c>
      <c r="E540">
        <v>-35</v>
      </c>
      <c r="F540">
        <v>0</v>
      </c>
      <c r="G540">
        <v>15</v>
      </c>
      <c r="H540">
        <v>0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X540">
        <f t="shared" si="8"/>
        <v>0</v>
      </c>
    </row>
    <row r="541" spans="1:24" x14ac:dyDescent="0.45">
      <c r="A541">
        <v>20230113194321</v>
      </c>
      <c r="B541">
        <v>12</v>
      </c>
      <c r="C541">
        <v>1</v>
      </c>
      <c r="D541">
        <v>7</v>
      </c>
      <c r="E541">
        <v>-35</v>
      </c>
      <c r="F541">
        <v>0</v>
      </c>
      <c r="G541">
        <v>15</v>
      </c>
      <c r="H541">
        <v>3</v>
      </c>
      <c r="I541">
        <v>-2</v>
      </c>
      <c r="J541">
        <v>2</v>
      </c>
      <c r="K541">
        <v>-2</v>
      </c>
      <c r="L541">
        <v>-2</v>
      </c>
      <c r="M541">
        <v>-2</v>
      </c>
      <c r="N541">
        <v>-2</v>
      </c>
      <c r="X541">
        <f t="shared" si="8"/>
        <v>0</v>
      </c>
    </row>
    <row r="542" spans="1:24" x14ac:dyDescent="0.45">
      <c r="A542">
        <v>20230113194321</v>
      </c>
      <c r="B542">
        <v>13</v>
      </c>
      <c r="C542">
        <v>3</v>
      </c>
      <c r="D542">
        <v>3</v>
      </c>
      <c r="E542">
        <v>-35</v>
      </c>
      <c r="F542">
        <v>0</v>
      </c>
      <c r="G542">
        <v>15</v>
      </c>
      <c r="H542">
        <v>-3</v>
      </c>
      <c r="I542">
        <v>1</v>
      </c>
      <c r="J542">
        <v>2</v>
      </c>
      <c r="K542">
        <v>2</v>
      </c>
      <c r="L542">
        <v>2</v>
      </c>
      <c r="M542">
        <v>1</v>
      </c>
      <c r="N542">
        <v>2</v>
      </c>
      <c r="X542">
        <f t="shared" si="8"/>
        <v>0</v>
      </c>
    </row>
    <row r="543" spans="1:24" x14ac:dyDescent="0.45">
      <c r="A543">
        <v>20230113194321</v>
      </c>
      <c r="B543">
        <v>14</v>
      </c>
      <c r="C543">
        <v>3</v>
      </c>
      <c r="D543">
        <v>5</v>
      </c>
      <c r="E543">
        <v>-35</v>
      </c>
      <c r="F543">
        <v>0</v>
      </c>
      <c r="G543">
        <v>15</v>
      </c>
      <c r="H543">
        <v>0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X543">
        <f t="shared" si="8"/>
        <v>0</v>
      </c>
    </row>
    <row r="544" spans="1:24" x14ac:dyDescent="0.45">
      <c r="A544">
        <v>20230113194321</v>
      </c>
      <c r="B544">
        <v>15</v>
      </c>
      <c r="C544">
        <v>1</v>
      </c>
      <c r="D544">
        <v>4</v>
      </c>
      <c r="E544">
        <v>-45</v>
      </c>
      <c r="F544">
        <v>0</v>
      </c>
      <c r="G544">
        <v>5</v>
      </c>
      <c r="H544">
        <v>3</v>
      </c>
      <c r="I544">
        <v>-2</v>
      </c>
      <c r="J544">
        <v>1</v>
      </c>
      <c r="K544">
        <v>-1</v>
      </c>
      <c r="L544">
        <v>-2</v>
      </c>
      <c r="M544">
        <v>0</v>
      </c>
      <c r="N544">
        <v>-1</v>
      </c>
      <c r="X544">
        <f t="shared" si="8"/>
        <v>0</v>
      </c>
    </row>
    <row r="545" spans="1:24" x14ac:dyDescent="0.45">
      <c r="A545">
        <v>20230113194321</v>
      </c>
      <c r="B545">
        <v>16</v>
      </c>
      <c r="C545">
        <v>2</v>
      </c>
      <c r="D545">
        <v>7</v>
      </c>
      <c r="E545">
        <v>-35</v>
      </c>
      <c r="F545">
        <v>0</v>
      </c>
      <c r="G545">
        <v>15</v>
      </c>
      <c r="H545">
        <v>3</v>
      </c>
      <c r="I545">
        <v>2</v>
      </c>
      <c r="J545">
        <v>1</v>
      </c>
      <c r="K545">
        <v>2</v>
      </c>
      <c r="L545">
        <v>1</v>
      </c>
      <c r="M545">
        <v>2</v>
      </c>
      <c r="N545">
        <v>2</v>
      </c>
      <c r="X545">
        <f t="shared" si="8"/>
        <v>0</v>
      </c>
    </row>
    <row r="546" spans="1:24" x14ac:dyDescent="0.45">
      <c r="A546">
        <v>20230113194321</v>
      </c>
      <c r="B546">
        <v>17</v>
      </c>
      <c r="C546">
        <v>3</v>
      </c>
      <c r="D546">
        <v>2</v>
      </c>
      <c r="E546">
        <v>-35</v>
      </c>
      <c r="F546">
        <v>-3</v>
      </c>
      <c r="G546">
        <v>15</v>
      </c>
      <c r="H546">
        <v>-3</v>
      </c>
      <c r="I546">
        <v>-1</v>
      </c>
      <c r="J546">
        <v>1</v>
      </c>
      <c r="K546">
        <v>-1</v>
      </c>
      <c r="L546">
        <v>-1</v>
      </c>
      <c r="M546">
        <v>-1</v>
      </c>
      <c r="N546">
        <v>1</v>
      </c>
      <c r="X546">
        <f t="shared" si="8"/>
        <v>0</v>
      </c>
    </row>
    <row r="547" spans="1:24" x14ac:dyDescent="0.45">
      <c r="A547">
        <v>20230113194321</v>
      </c>
      <c r="B547">
        <v>18</v>
      </c>
      <c r="C547">
        <v>2</v>
      </c>
      <c r="D547">
        <v>6</v>
      </c>
      <c r="E547">
        <v>-35</v>
      </c>
      <c r="F547">
        <v>3</v>
      </c>
      <c r="G547">
        <v>15</v>
      </c>
      <c r="H547">
        <v>3</v>
      </c>
      <c r="I547">
        <v>2</v>
      </c>
      <c r="J547">
        <v>1</v>
      </c>
      <c r="K547">
        <v>1</v>
      </c>
      <c r="L547">
        <v>2</v>
      </c>
      <c r="M547">
        <v>2</v>
      </c>
      <c r="N547">
        <v>1</v>
      </c>
      <c r="X547">
        <f t="shared" si="8"/>
        <v>0</v>
      </c>
    </row>
    <row r="548" spans="1:24" x14ac:dyDescent="0.45">
      <c r="A548">
        <v>20230113194321</v>
      </c>
      <c r="B548">
        <v>19</v>
      </c>
      <c r="C548">
        <v>1</v>
      </c>
      <c r="D548">
        <v>1</v>
      </c>
      <c r="E548">
        <v>-35</v>
      </c>
      <c r="F548">
        <v>0</v>
      </c>
      <c r="G548">
        <v>15</v>
      </c>
      <c r="H548">
        <v>0</v>
      </c>
      <c r="I548">
        <v>-1</v>
      </c>
      <c r="J548">
        <v>1</v>
      </c>
      <c r="K548">
        <v>-1</v>
      </c>
      <c r="L548">
        <v>-1</v>
      </c>
      <c r="M548">
        <v>1</v>
      </c>
      <c r="N548">
        <v>1</v>
      </c>
      <c r="X548">
        <f t="shared" si="8"/>
        <v>0</v>
      </c>
    </row>
    <row r="549" spans="1:24" x14ac:dyDescent="0.45">
      <c r="A549">
        <v>20230113194321</v>
      </c>
      <c r="B549">
        <v>20</v>
      </c>
      <c r="C549">
        <v>1</v>
      </c>
      <c r="D549">
        <v>8</v>
      </c>
      <c r="E549">
        <v>-45</v>
      </c>
      <c r="F549">
        <v>0</v>
      </c>
      <c r="G549">
        <v>5</v>
      </c>
      <c r="H549">
        <v>-3</v>
      </c>
      <c r="I549">
        <v>-2</v>
      </c>
      <c r="J549">
        <v>2</v>
      </c>
      <c r="K549">
        <v>-2</v>
      </c>
      <c r="L549">
        <v>-2</v>
      </c>
      <c r="M549">
        <v>-1</v>
      </c>
      <c r="N549">
        <v>-1</v>
      </c>
      <c r="X549">
        <f t="shared" si="8"/>
        <v>0</v>
      </c>
    </row>
    <row r="550" spans="1:24" x14ac:dyDescent="0.45">
      <c r="A550">
        <v>20230113194321</v>
      </c>
      <c r="B550">
        <v>21</v>
      </c>
      <c r="C550">
        <v>2</v>
      </c>
      <c r="D550">
        <v>2</v>
      </c>
      <c r="E550">
        <v>-35</v>
      </c>
      <c r="F550">
        <v>-3</v>
      </c>
      <c r="G550">
        <v>15</v>
      </c>
      <c r="H550">
        <v>-3</v>
      </c>
      <c r="I550">
        <v>1</v>
      </c>
      <c r="J550">
        <v>2</v>
      </c>
      <c r="K550">
        <v>-2</v>
      </c>
      <c r="L550">
        <v>1</v>
      </c>
      <c r="M550">
        <v>2</v>
      </c>
      <c r="N550">
        <v>1</v>
      </c>
      <c r="X550">
        <f t="shared" si="8"/>
        <v>0</v>
      </c>
    </row>
    <row r="551" spans="1:24" x14ac:dyDescent="0.45">
      <c r="A551">
        <v>20230113194321</v>
      </c>
      <c r="B551">
        <v>22</v>
      </c>
      <c r="C551">
        <v>3</v>
      </c>
      <c r="D551">
        <v>7</v>
      </c>
      <c r="E551">
        <v>-35</v>
      </c>
      <c r="F551">
        <v>0</v>
      </c>
      <c r="G551">
        <v>15</v>
      </c>
      <c r="H551">
        <v>3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X551">
        <f t="shared" si="8"/>
        <v>0</v>
      </c>
    </row>
    <row r="552" spans="1:24" x14ac:dyDescent="0.45">
      <c r="A552">
        <v>20230113194321</v>
      </c>
      <c r="B552">
        <v>23</v>
      </c>
      <c r="C552">
        <v>2</v>
      </c>
      <c r="D552">
        <v>4</v>
      </c>
      <c r="E552">
        <v>-45</v>
      </c>
      <c r="F552">
        <v>0</v>
      </c>
      <c r="G552">
        <v>5</v>
      </c>
      <c r="H552">
        <v>3</v>
      </c>
      <c r="I552">
        <v>2</v>
      </c>
      <c r="J552">
        <v>2</v>
      </c>
      <c r="K552">
        <v>2</v>
      </c>
      <c r="L552">
        <v>1</v>
      </c>
      <c r="M552">
        <v>2</v>
      </c>
      <c r="N552">
        <v>1</v>
      </c>
      <c r="X552">
        <f t="shared" si="8"/>
        <v>0</v>
      </c>
    </row>
    <row r="553" spans="1:24" x14ac:dyDescent="0.45">
      <c r="A553">
        <v>20230113194321</v>
      </c>
      <c r="B553">
        <v>24</v>
      </c>
      <c r="C553">
        <v>1</v>
      </c>
      <c r="D553">
        <v>5</v>
      </c>
      <c r="E553">
        <v>-35</v>
      </c>
      <c r="F553">
        <v>0</v>
      </c>
      <c r="G553">
        <v>15</v>
      </c>
      <c r="H553">
        <v>0</v>
      </c>
      <c r="I553">
        <v>1</v>
      </c>
      <c r="J553">
        <v>2</v>
      </c>
      <c r="K553">
        <v>-1</v>
      </c>
      <c r="L553">
        <v>1</v>
      </c>
      <c r="M553">
        <v>1</v>
      </c>
      <c r="N553">
        <v>1</v>
      </c>
      <c r="X553">
        <f t="shared" si="8"/>
        <v>0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B13E4-CCD7-402E-B63E-E078354FFE5D}">
  <dimension ref="A1:U19"/>
  <sheetViews>
    <sheetView topLeftCell="H1" zoomScale="70" zoomScaleNormal="70" workbookViewId="0">
      <selection activeCell="W54" sqref="W54"/>
    </sheetView>
  </sheetViews>
  <sheetFormatPr defaultColWidth="7.59765625" defaultRowHeight="18" x14ac:dyDescent="0.45"/>
  <cols>
    <col min="1" max="1" width="11.19921875" bestFit="1" customWidth="1"/>
    <col min="2" max="2" width="23.09765625" bestFit="1" customWidth="1"/>
    <col min="3" max="3" width="19.5" bestFit="1" customWidth="1"/>
    <col min="4" max="4" width="16.19921875" bestFit="1" customWidth="1"/>
    <col min="5" max="5" width="18.8984375" bestFit="1" customWidth="1"/>
    <col min="6" max="6" width="14.5" bestFit="1" customWidth="1"/>
    <col min="7" max="7" width="18.69921875" bestFit="1" customWidth="1"/>
    <col min="8" max="8" width="27.19921875" bestFit="1" customWidth="1"/>
    <col min="9" max="9" width="23.69921875" bestFit="1" customWidth="1"/>
    <col min="10" max="10" width="20.3984375" bestFit="1" customWidth="1"/>
    <col min="11" max="11" width="23" bestFit="1" customWidth="1"/>
    <col min="12" max="12" width="18" bestFit="1" customWidth="1"/>
    <col min="13" max="13" width="22.8984375" bestFit="1" customWidth="1"/>
    <col min="14" max="14" width="14.5" bestFit="1" customWidth="1"/>
    <col min="15" max="15" width="16.5" bestFit="1" customWidth="1"/>
    <col min="16" max="16" width="18.59765625" bestFit="1" customWidth="1"/>
    <col min="17" max="17" width="20.59765625" bestFit="1" customWidth="1"/>
    <col min="18" max="18" width="14.5" bestFit="1" customWidth="1"/>
    <col min="19" max="19" width="18.69921875" bestFit="1" customWidth="1"/>
    <col min="20" max="20" width="14.5" bestFit="1" customWidth="1"/>
    <col min="21" max="21" width="18.3984375" bestFit="1" customWidth="1"/>
    <col min="22" max="22" width="31.5" bestFit="1" customWidth="1"/>
    <col min="23" max="23" width="32.8984375" bestFit="1" customWidth="1"/>
    <col min="24" max="24" width="25.59765625" bestFit="1" customWidth="1"/>
    <col min="25" max="25" width="29.69921875" bestFit="1" customWidth="1"/>
    <col min="26" max="26" width="31.5" bestFit="1" customWidth="1"/>
    <col min="27" max="27" width="32.8984375" bestFit="1" customWidth="1"/>
    <col min="28" max="28" width="25.59765625" bestFit="1" customWidth="1"/>
    <col min="29" max="29" width="29.69921875" bestFit="1" customWidth="1"/>
    <col min="30" max="30" width="31.5" bestFit="1" customWidth="1"/>
    <col min="31" max="31" width="32.8984375" bestFit="1" customWidth="1"/>
    <col min="32" max="32" width="25.59765625" bestFit="1" customWidth="1"/>
    <col min="33" max="33" width="29.69921875" bestFit="1" customWidth="1"/>
    <col min="34" max="34" width="31.5" bestFit="1" customWidth="1"/>
    <col min="35" max="35" width="32.8984375" bestFit="1" customWidth="1"/>
    <col min="36" max="36" width="25.59765625" bestFit="1" customWidth="1"/>
    <col min="37" max="37" width="29.69921875" bestFit="1" customWidth="1"/>
    <col min="38" max="38" width="6.19921875" bestFit="1" customWidth="1"/>
    <col min="39" max="39" width="5.09765625" bestFit="1" customWidth="1"/>
    <col min="40" max="40" width="2.8984375" bestFit="1" customWidth="1"/>
    <col min="41" max="41" width="12.69921875" bestFit="1" customWidth="1"/>
    <col min="42" max="42" width="5.09765625" bestFit="1" customWidth="1"/>
    <col min="43" max="43" width="5.5" bestFit="1" customWidth="1"/>
    <col min="44" max="44" width="3.59765625" bestFit="1" customWidth="1"/>
    <col min="45" max="45" width="5.09765625" bestFit="1" customWidth="1"/>
    <col min="46" max="46" width="14.5" bestFit="1" customWidth="1"/>
    <col min="47" max="47" width="23.69921875" bestFit="1" customWidth="1"/>
    <col min="48" max="48" width="5.09765625" bestFit="1" customWidth="1"/>
    <col min="49" max="49" width="14.5" bestFit="1" customWidth="1"/>
    <col min="50" max="50" width="2.8984375" bestFit="1" customWidth="1"/>
    <col min="51" max="51" width="14.5" bestFit="1" customWidth="1"/>
    <col min="52" max="53" width="5.09765625" bestFit="1" customWidth="1"/>
    <col min="54" max="54" width="3.59765625" bestFit="1" customWidth="1"/>
    <col min="55" max="55" width="2.8984375" bestFit="1" customWidth="1"/>
    <col min="56" max="56" width="14.5" bestFit="1" customWidth="1"/>
    <col min="57" max="58" width="5.09765625" bestFit="1" customWidth="1"/>
    <col min="59" max="59" width="3.59765625" bestFit="1" customWidth="1"/>
    <col min="60" max="60" width="2.8984375" bestFit="1" customWidth="1"/>
    <col min="61" max="61" width="14.5" bestFit="1" customWidth="1"/>
    <col min="62" max="62" width="24.59765625" bestFit="1" customWidth="1"/>
    <col min="63" max="65" width="2.8984375" bestFit="1" customWidth="1"/>
    <col min="66" max="66" width="14.5" bestFit="1" customWidth="1"/>
    <col min="67" max="67" width="5.09765625" bestFit="1" customWidth="1"/>
    <col min="68" max="69" width="3.59765625" bestFit="1" customWidth="1"/>
    <col min="70" max="70" width="2.8984375" bestFit="1" customWidth="1"/>
    <col min="71" max="71" width="14.5" bestFit="1" customWidth="1"/>
    <col min="72" max="72" width="5.09765625" bestFit="1" customWidth="1"/>
    <col min="73" max="74" width="3.59765625" bestFit="1" customWidth="1"/>
    <col min="75" max="75" width="2.8984375" bestFit="1" customWidth="1"/>
    <col min="76" max="76" width="14.5" bestFit="1" customWidth="1"/>
    <col min="77" max="77" width="26" bestFit="1" customWidth="1"/>
    <col min="78" max="80" width="2.8984375" bestFit="1" customWidth="1"/>
    <col min="81" max="81" width="14.5" bestFit="1" customWidth="1"/>
    <col min="82" max="82" width="5.09765625" bestFit="1" customWidth="1"/>
    <col min="83" max="84" width="3.59765625" bestFit="1" customWidth="1"/>
    <col min="85" max="85" width="2.8984375" bestFit="1" customWidth="1"/>
    <col min="86" max="86" width="14.5" bestFit="1" customWidth="1"/>
    <col min="87" max="87" width="5.09765625" bestFit="1" customWidth="1"/>
    <col min="88" max="88" width="14.5" bestFit="1" customWidth="1"/>
    <col min="89" max="89" width="3.59765625" bestFit="1" customWidth="1"/>
    <col min="90" max="90" width="5.09765625" bestFit="1" customWidth="1"/>
    <col min="91" max="91" width="12.69921875" bestFit="1" customWidth="1"/>
    <col min="92" max="92" width="18.8984375" bestFit="1" customWidth="1"/>
    <col min="93" max="93" width="2.8984375" bestFit="1" customWidth="1"/>
    <col min="94" max="94" width="14.5" bestFit="1" customWidth="1"/>
    <col min="95" max="95" width="2.8984375" bestFit="1" customWidth="1"/>
    <col min="96" max="96" width="14.5" bestFit="1" customWidth="1"/>
    <col min="97" max="97" width="5.09765625" bestFit="1" customWidth="1"/>
    <col min="98" max="98" width="14.5" bestFit="1" customWidth="1"/>
    <col min="99" max="99" width="3.59765625" bestFit="1" customWidth="1"/>
    <col min="100" max="100" width="2.8984375" bestFit="1" customWidth="1"/>
    <col min="101" max="101" width="14.5" bestFit="1" customWidth="1"/>
    <col min="102" max="102" width="5.09765625" bestFit="1" customWidth="1"/>
    <col min="103" max="103" width="14.5" bestFit="1" customWidth="1"/>
    <col min="104" max="104" width="3.59765625" bestFit="1" customWidth="1"/>
    <col min="105" max="105" width="2.8984375" bestFit="1" customWidth="1"/>
    <col min="106" max="106" width="13.19921875" bestFit="1" customWidth="1"/>
    <col min="107" max="107" width="23" bestFit="1" customWidth="1"/>
    <col min="108" max="108" width="5.09765625" bestFit="1" customWidth="1"/>
    <col min="109" max="109" width="14.5" bestFit="1" customWidth="1"/>
    <col min="110" max="110" width="2.8984375" bestFit="1" customWidth="1"/>
    <col min="111" max="111" width="14.5" bestFit="1" customWidth="1"/>
    <col min="112" max="112" width="5.09765625" bestFit="1" customWidth="1"/>
    <col min="113" max="113" width="14.5" bestFit="1" customWidth="1"/>
    <col min="114" max="114" width="5.09765625" bestFit="1" customWidth="1"/>
    <col min="115" max="115" width="2.8984375" bestFit="1" customWidth="1"/>
    <col min="116" max="116" width="14.5" bestFit="1" customWidth="1"/>
    <col min="117" max="117" width="5.09765625" bestFit="1" customWidth="1"/>
    <col min="118" max="118" width="14.5" bestFit="1" customWidth="1"/>
    <col min="119" max="119" width="3.59765625" bestFit="1" customWidth="1"/>
    <col min="120" max="120" width="5.09765625" bestFit="1" customWidth="1"/>
    <col min="121" max="121" width="14.5" bestFit="1" customWidth="1"/>
    <col min="122" max="122" width="28.59765625" bestFit="1" customWidth="1"/>
    <col min="123" max="123" width="21.5" bestFit="1" customWidth="1"/>
    <col min="124" max="124" width="25.59765625" bestFit="1" customWidth="1"/>
    <col min="125" max="125" width="30.5" bestFit="1" customWidth="1"/>
    <col min="126" max="126" width="31.5" bestFit="1" customWidth="1"/>
    <col min="127" max="127" width="32.8984375" bestFit="1" customWidth="1"/>
    <col min="128" max="128" width="25.59765625" bestFit="1" customWidth="1"/>
    <col min="129" max="129" width="29.69921875" bestFit="1" customWidth="1"/>
  </cols>
  <sheetData>
    <row r="1" spans="1:21" x14ac:dyDescent="0.45">
      <c r="A1" s="1" t="s">
        <v>22</v>
      </c>
      <c r="B1" t="s">
        <v>29</v>
      </c>
    </row>
    <row r="3" spans="1:21" x14ac:dyDescent="0.45">
      <c r="A3" s="1" t="s">
        <v>16</v>
      </c>
      <c r="B3" t="s">
        <v>23</v>
      </c>
      <c r="C3" t="s">
        <v>12</v>
      </c>
      <c r="D3" t="s">
        <v>24</v>
      </c>
      <c r="E3" t="s">
        <v>14</v>
      </c>
      <c r="F3" t="s">
        <v>25</v>
      </c>
      <c r="G3" t="s">
        <v>31</v>
      </c>
      <c r="H3" t="s">
        <v>26</v>
      </c>
      <c r="I3" t="s">
        <v>13</v>
      </c>
      <c r="J3" t="s">
        <v>27</v>
      </c>
      <c r="K3" t="s">
        <v>15</v>
      </c>
      <c r="L3" t="s">
        <v>28</v>
      </c>
      <c r="M3" t="s">
        <v>32</v>
      </c>
      <c r="N3" t="s">
        <v>38</v>
      </c>
      <c r="O3" t="s">
        <v>39</v>
      </c>
      <c r="P3" t="s">
        <v>42</v>
      </c>
      <c r="Q3" t="s">
        <v>43</v>
      </c>
      <c r="R3" t="s">
        <v>72</v>
      </c>
      <c r="S3" t="s">
        <v>73</v>
      </c>
      <c r="T3" t="s">
        <v>75</v>
      </c>
      <c r="U3" t="s">
        <v>76</v>
      </c>
    </row>
    <row r="4" spans="1:21" x14ac:dyDescent="0.45">
      <c r="A4" s="2">
        <v>1</v>
      </c>
      <c r="B4">
        <v>-0.78472222222222221</v>
      </c>
      <c r="C4">
        <v>0.53472222222222221</v>
      </c>
      <c r="D4">
        <v>-0.54861111111111116</v>
      </c>
      <c r="E4">
        <v>-0.36805555555555558</v>
      </c>
      <c r="F4">
        <v>-0.13194444444444445</v>
      </c>
      <c r="G4">
        <v>-0.3125</v>
      </c>
      <c r="H4">
        <v>1.1556815836723826</v>
      </c>
      <c r="I4">
        <v>1.1359846099092263</v>
      </c>
      <c r="J4">
        <v>1.2954506997304447</v>
      </c>
      <c r="K4">
        <v>1.2346081687105888</v>
      </c>
      <c r="L4">
        <v>1.2090315671010883</v>
      </c>
      <c r="M4">
        <v>1.0831329942963299</v>
      </c>
      <c r="N4">
        <v>0.17058208543945752</v>
      </c>
      <c r="O4">
        <v>4.4061791135981245</v>
      </c>
      <c r="P4">
        <v>6.8924078171340789E-2</v>
      </c>
      <c r="Q4">
        <v>3.2042802808983488</v>
      </c>
      <c r="R4">
        <v>73.60152117314955</v>
      </c>
      <c r="S4">
        <v>8.9028771997885041</v>
      </c>
      <c r="T4">
        <v>0.48257584590972219</v>
      </c>
      <c r="U4">
        <v>0.54062049792067501</v>
      </c>
    </row>
    <row r="5" spans="1:21" x14ac:dyDescent="0.45">
      <c r="A5" s="2">
        <v>2</v>
      </c>
      <c r="B5">
        <v>9.0277777777777776E-2</v>
      </c>
      <c r="C5">
        <v>0.25694444444444442</v>
      </c>
      <c r="D5">
        <v>0.71527777777777779</v>
      </c>
      <c r="E5">
        <v>-4.1666666666666664E-2</v>
      </c>
      <c r="F5">
        <v>0.19444444444444445</v>
      </c>
      <c r="G5">
        <v>6.9444444444444441E-3</v>
      </c>
      <c r="H5">
        <v>1.5407122921830507</v>
      </c>
      <c r="I5">
        <v>1.3730871936472298</v>
      </c>
      <c r="J5">
        <v>1.3315779822599598</v>
      </c>
      <c r="K5">
        <v>1.4379528272281166</v>
      </c>
      <c r="L5">
        <v>1.519675485176659</v>
      </c>
      <c r="M5">
        <v>1.4457626196817843</v>
      </c>
      <c r="N5">
        <v>0.16984911617584642</v>
      </c>
      <c r="O5">
        <v>5.2073415591432299</v>
      </c>
      <c r="P5">
        <v>6.1142351924206445E-2</v>
      </c>
      <c r="Q5">
        <v>4.4277055658360176</v>
      </c>
      <c r="R5">
        <v>75.168025257735366</v>
      </c>
      <c r="S5">
        <v>5.9353790059961788</v>
      </c>
      <c r="T5">
        <v>0.55034127439097213</v>
      </c>
      <c r="U5">
        <v>0.60998290040147451</v>
      </c>
    </row>
    <row r="6" spans="1:21" x14ac:dyDescent="0.45">
      <c r="A6" s="2">
        <v>3</v>
      </c>
      <c r="B6">
        <v>1</v>
      </c>
      <c r="C6">
        <v>0.80555555555555558</v>
      </c>
      <c r="D6">
        <v>1.1944444444444444</v>
      </c>
      <c r="E6">
        <v>1.0138888888888888</v>
      </c>
      <c r="F6">
        <v>0.99305555555555558</v>
      </c>
      <c r="G6">
        <v>0.84722222222222221</v>
      </c>
      <c r="H6">
        <v>1.3281147875424355</v>
      </c>
      <c r="I6">
        <v>1.1801469881248889</v>
      </c>
      <c r="J6">
        <v>1.1135390140459691</v>
      </c>
      <c r="K6">
        <v>1.2801156149560557</v>
      </c>
      <c r="L6">
        <v>1.2218867910927402</v>
      </c>
      <c r="M6">
        <v>1.2819226253108846</v>
      </c>
      <c r="N6">
        <v>0.16225355591424789</v>
      </c>
      <c r="O6">
        <v>4.0834168225891805</v>
      </c>
      <c r="P6">
        <v>5.7733828987133043E-2</v>
      </c>
      <c r="Q6">
        <v>3.8324997552272628</v>
      </c>
      <c r="R6">
        <v>74.099396137861845</v>
      </c>
      <c r="S6">
        <v>6.9711574743778941</v>
      </c>
      <c r="T6">
        <v>0.46804105500694426</v>
      </c>
      <c r="U6">
        <v>0.54872661616831564</v>
      </c>
    </row>
    <row r="7" spans="1:21" x14ac:dyDescent="0.45">
      <c r="A7" s="2" t="s">
        <v>11</v>
      </c>
      <c r="B7">
        <v>0.10185185185185185</v>
      </c>
      <c r="C7">
        <v>0.53240740740740744</v>
      </c>
      <c r="D7">
        <v>0.45370370370370372</v>
      </c>
      <c r="E7">
        <v>0.2013888888888889</v>
      </c>
      <c r="F7">
        <v>0.35185185185185186</v>
      </c>
      <c r="G7">
        <v>0.18055555555555555</v>
      </c>
      <c r="H7">
        <v>1.5347204765086992</v>
      </c>
      <c r="I7">
        <v>1.2542024693083667</v>
      </c>
      <c r="J7">
        <v>1.4506337009840653</v>
      </c>
      <c r="K7">
        <v>1.4461628400275479</v>
      </c>
      <c r="L7">
        <v>1.4064324108183353</v>
      </c>
      <c r="M7">
        <v>1.3692359543794606</v>
      </c>
      <c r="N7">
        <v>0.16756158584318406</v>
      </c>
      <c r="O7">
        <v>4.565645831776842</v>
      </c>
      <c r="P7">
        <v>6.2887842372137251E-2</v>
      </c>
      <c r="Q7">
        <v>3.8828593814410977</v>
      </c>
      <c r="R7">
        <v>74.289647522915573</v>
      </c>
      <c r="S7">
        <v>7.4019872065931134</v>
      </c>
      <c r="T7">
        <v>0.50031939176921258</v>
      </c>
      <c r="U7">
        <v>0.56842163752815122</v>
      </c>
    </row>
    <row r="10" spans="1:21" x14ac:dyDescent="0.45">
      <c r="B10" t="s">
        <v>33</v>
      </c>
      <c r="C10" t="s">
        <v>6</v>
      </c>
      <c r="D10" t="s">
        <v>34</v>
      </c>
      <c r="E10" t="s">
        <v>20</v>
      </c>
      <c r="F10" t="s">
        <v>35</v>
      </c>
      <c r="G10" t="s">
        <v>30</v>
      </c>
      <c r="H10" t="s">
        <v>40</v>
      </c>
      <c r="I10" t="s">
        <v>41</v>
      </c>
      <c r="J10" t="s">
        <v>77</v>
      </c>
      <c r="K10" t="s">
        <v>78</v>
      </c>
    </row>
    <row r="11" spans="1:21" x14ac:dyDescent="0.45">
      <c r="A11" t="s">
        <v>79</v>
      </c>
      <c r="B11">
        <f>GETPIVOTDATA("平均 / Compassioness",$A$3,"Model",1)</f>
        <v>-0.78472222222222221</v>
      </c>
      <c r="C11">
        <f>GETPIVOTDATA("平均 / Naturalness",$A$3,"Model",1)</f>
        <v>0.53472222222222221</v>
      </c>
      <c r="D11">
        <f>GETPIVOTDATA("平均 / Humanly",$A$3,"Model",1)</f>
        <v>-0.54861111111111116</v>
      </c>
      <c r="E11">
        <f>GETPIVOTDATA("平均 / Avoidability",$A$3,"Model",1)</f>
        <v>-0.36805555555555558</v>
      </c>
      <c r="F11">
        <f>GETPIVOTDATA("平均 / Safety",$A$3,"Model",1)</f>
        <v>-0.13194444444444445</v>
      </c>
      <c r="G11">
        <f>GETPIVOTDATA("平均 / Desirability",$A$3,"Model",1)</f>
        <v>-0.3125</v>
      </c>
      <c r="H11">
        <f>GETPIVOTDATA("平均 / PvelRC",$A$3,"Model",1)*100*(1/0.5)/4</f>
        <v>8.5291042719728765</v>
      </c>
      <c r="I11">
        <f>GETPIVOTDATA("平均 / PadegRC",$A$3,"Model",1)*(1/0.5)</f>
        <v>8.8123582271962491</v>
      </c>
      <c r="J11">
        <f>GETPIVOTDATA("平均 / PlenRC",$A$3,"Model",1)/60</f>
        <v>1.2266920195524924</v>
      </c>
      <c r="K11">
        <f>GETPIVOTDATA("平均 / Pav2-0",$A$3,"Model",1)</f>
        <v>0.48257584590972219</v>
      </c>
    </row>
    <row r="12" spans="1:21" x14ac:dyDescent="0.45">
      <c r="A12" t="s">
        <v>9</v>
      </c>
      <c r="B12">
        <f>GETPIVOTDATA("平均 / Compassioness",$A$3,"Model",2)</f>
        <v>9.0277777777777776E-2</v>
      </c>
      <c r="C12">
        <f>GETPIVOTDATA("平均 / Naturalness",$A$3,"Model",2)</f>
        <v>0.25694444444444442</v>
      </c>
      <c r="D12">
        <f>GETPIVOTDATA("平均 / Humanly",$A$3,"Model",2)</f>
        <v>0.71527777777777779</v>
      </c>
      <c r="E12">
        <f>GETPIVOTDATA("平均 / Avoidability",$A$3,"Model",2)</f>
        <v>-4.1666666666666664E-2</v>
      </c>
      <c r="F12">
        <f>GETPIVOTDATA("平均 / Safety",$A$3,"Model",2)</f>
        <v>0.19444444444444445</v>
      </c>
      <c r="G12">
        <f>GETPIVOTDATA("平均 / Desirability",$A$3,"Model",2)</f>
        <v>6.9444444444444441E-3</v>
      </c>
      <c r="H12">
        <f>GETPIVOTDATA("平均 / PvelRC",$A$3,"Model",2)*100*(1/0.5)/4</f>
        <v>8.4924558087923216</v>
      </c>
      <c r="I12">
        <f>GETPIVOTDATA("平均 / PadegRC",$A$3,"Model",2)*(1/0.5)</f>
        <v>10.41468311828646</v>
      </c>
      <c r="J12">
        <f>GETPIVOTDATA("平均 / PlenRC",$A$3,"Model",2)/60</f>
        <v>1.2528004209622561</v>
      </c>
      <c r="K12">
        <f>GETPIVOTDATA("平均 / Pav2-0",$A$3,"Model",2)</f>
        <v>0.55034127439097213</v>
      </c>
    </row>
    <row r="13" spans="1:21" x14ac:dyDescent="0.45">
      <c r="A13" t="s">
        <v>8</v>
      </c>
      <c r="B13">
        <f>GETPIVOTDATA("平均 / Compassioness",$A$3,"Model",3)</f>
        <v>1</v>
      </c>
      <c r="C13">
        <f>GETPIVOTDATA("平均 / Naturalness",$A$3,"Model",3)</f>
        <v>0.80555555555555558</v>
      </c>
      <c r="D13">
        <f>GETPIVOTDATA("平均 / Humanly",$A$3,"Model",3)</f>
        <v>1.1944444444444444</v>
      </c>
      <c r="E13">
        <f>GETPIVOTDATA("平均 / Avoidability",$A$3,"Model",3)</f>
        <v>1.0138888888888888</v>
      </c>
      <c r="F13">
        <f>GETPIVOTDATA("平均 / Safety",$A$3,"Model",3)</f>
        <v>0.99305555555555558</v>
      </c>
      <c r="G13">
        <f>GETPIVOTDATA("平均 / Desirability",$A$3,"Model",3)</f>
        <v>0.84722222222222221</v>
      </c>
      <c r="H13">
        <f>GETPIVOTDATA("平均 / PvelRC",$A$3,"Model",3)*100*(1/0.5)/4</f>
        <v>8.1126777957123952</v>
      </c>
      <c r="I13">
        <f>GETPIVOTDATA("平均 / PadegRC",$A$3,"Model",3)*(1/0.5)</f>
        <v>8.166833645178361</v>
      </c>
      <c r="J13">
        <f>GETPIVOTDATA("平均 / PlenRC",$A$3,"Model",3)/60</f>
        <v>1.2349899356310308</v>
      </c>
      <c r="K13">
        <f>GETPIVOTDATA("平均 / Pav2-0",$A$3,"Model",3)</f>
        <v>0.46804105500694426</v>
      </c>
    </row>
    <row r="16" spans="1:21" x14ac:dyDescent="0.45">
      <c r="B16" t="s">
        <v>18</v>
      </c>
      <c r="C16" t="s">
        <v>6</v>
      </c>
      <c r="D16" t="s">
        <v>34</v>
      </c>
      <c r="E16" t="s">
        <v>20</v>
      </c>
      <c r="F16" t="s">
        <v>35</v>
      </c>
      <c r="G16" t="s">
        <v>30</v>
      </c>
      <c r="H16" t="s">
        <v>40</v>
      </c>
      <c r="I16" t="s">
        <v>41</v>
      </c>
      <c r="J16" t="s">
        <v>77</v>
      </c>
      <c r="K16" t="s">
        <v>78</v>
      </c>
    </row>
    <row r="17" spans="1:11" x14ac:dyDescent="0.45">
      <c r="A17" t="s">
        <v>10</v>
      </c>
      <c r="B17">
        <f>GETPIVOTDATA("標準偏差 / Compassioness",$A$3,"Model",1)/(21^(1/2))</f>
        <v>0.25219039697357787</v>
      </c>
      <c r="C17">
        <f>GETPIVOTDATA("標準偏差 / Naturalness",$A$3,"Model",1)/(21^(1/2))</f>
        <v>0.2478921649149482</v>
      </c>
      <c r="D17">
        <f>GETPIVOTDATA("標準偏差 / Humanly",$A$3,"Model",1)/(21^(1/2))</f>
        <v>0.28269051859991773</v>
      </c>
      <c r="E17">
        <f>GETPIVOTDATA("標準偏差 / Avoidability",$A$3,"Model",1)/(21^(1/2))</f>
        <v>0.26941358984414682</v>
      </c>
      <c r="F17">
        <f>GETPIVOTDATA("標準偏差 / Safety",$A$3,"Model",1)/(21^(1/2))</f>
        <v>0.26383231780151517</v>
      </c>
      <c r="G17">
        <f>GETPIVOTDATA("標準偏差 / Desirability",$A$3,"Model",1)/(21^(1/2))</f>
        <v>0.23635899686033829</v>
      </c>
      <c r="H17">
        <f>GETPIVOTDATA("標準偏差 / PvelRC",$A$3,"Model",1)/(21^(1/2))*100*(1/0.5)/4</f>
        <v>0.75202334625053013</v>
      </c>
      <c r="I17">
        <f>GETPIVOTDATA("標準偏差 / PadegRC",$A$3,"Model",1)/(21^(1/2))*(1/0.5)</f>
        <v>1.3984625652448615</v>
      </c>
      <c r="J17">
        <f>GETPIVOTDATA("標準偏差 / PlenRC",$A$3,"Model",1)/60</f>
        <v>0.14838128666314174</v>
      </c>
      <c r="K17">
        <f>GETPIVOTDATA("標準偏差 / Pav2-0",$A$3,"Model",1)/(21^(1/2))</f>
        <v>0.11797306447458142</v>
      </c>
    </row>
    <row r="18" spans="1:11" x14ac:dyDescent="0.45">
      <c r="A18" t="s">
        <v>9</v>
      </c>
      <c r="B18">
        <f>GETPIVOTDATA("標準偏差 / Compassioness",$A$3,"Model",2)/(21^(1/2))</f>
        <v>0.33621098586084519</v>
      </c>
      <c r="C18">
        <f>GETPIVOTDATA("標準偏差 / Naturalness",$A$3,"Model",2)/(21^(1/2))</f>
        <v>0.29963219050775802</v>
      </c>
      <c r="D18">
        <f>GETPIVOTDATA("標準偏差 / Humanly",$A$3,"Model",2)/(21^(1/2))</f>
        <v>0.29057413797346815</v>
      </c>
      <c r="E18">
        <f>GETPIVOTDATA("標準偏差 / Avoidability",$A$3,"Model",2)/(21^(1/2))</f>
        <v>0.31378703221660009</v>
      </c>
      <c r="F18">
        <f>GETPIVOTDATA("標準偏差 / Safety",$A$3,"Model",2)/(21^(1/2))</f>
        <v>0.33162037821860862</v>
      </c>
      <c r="G18">
        <f>GETPIVOTDATA("標準偏差 / Desirability",$A$3,"Model",2)/(21^(1/2))</f>
        <v>0.31549126864902044</v>
      </c>
      <c r="H18">
        <f>GETPIVOTDATA("標準偏差 / PvelRC",$A$3,"Model",2)/(21^(1/2))*100*(1/0.5)/4</f>
        <v>0.667117752048345</v>
      </c>
      <c r="I18">
        <f>GETPIVOTDATA("標準偏差 / PadegRC",$A$3,"Model",2)/(21^(1/2))*(1/0.5)</f>
        <v>1.9324091343257934</v>
      </c>
      <c r="J18">
        <f>GETPIVOTDATA("標準偏差 / PlenRC",$A$3,"Model",2)/60</f>
        <v>9.8922983433269648E-2</v>
      </c>
      <c r="K18">
        <f>GETPIVOTDATA("標準偏差 / Pav2-0",$A$3,"Model",2)/(21^(1/2))</f>
        <v>0.13310918160564125</v>
      </c>
    </row>
    <row r="19" spans="1:11" x14ac:dyDescent="0.45">
      <c r="A19" t="s">
        <v>8</v>
      </c>
      <c r="B19">
        <f>GETPIVOTDATA("標準偏差 / Compassioness",$A$3,"Model",3)/(21^(1/2))</f>
        <v>0.28981840692873356</v>
      </c>
      <c r="C19">
        <f>GETPIVOTDATA("標準偏差 / Naturalness",$A$3,"Model",3)/(21^(1/2))</f>
        <v>0.25752918591697405</v>
      </c>
      <c r="D19">
        <f>GETPIVOTDATA("標準偏差 / Humanly",$A$3,"Model",3)/(21^(1/2))</f>
        <v>0.24299413434057848</v>
      </c>
      <c r="E19">
        <f>GETPIVOTDATA("標準偏差 / Avoidability",$A$3,"Model",3)/(21^(1/2))</f>
        <v>0.27934412875386044</v>
      </c>
      <c r="F19">
        <f>GETPIVOTDATA("標準偏差 / Safety",$A$3,"Model",3)/(21^(1/2))</f>
        <v>0.26663755765948455</v>
      </c>
      <c r="G19">
        <f>GETPIVOTDATA("標準偏差 / Desirability",$A$3,"Model",3)/(21^(1/2))</f>
        <v>0.2797384507411258</v>
      </c>
      <c r="H19">
        <f>GETPIVOTDATA("標準偏差 / PvelRC",$A$3,"Model",3)/(21^(1/2))*100*(1/0.5)/4</f>
        <v>0.62992771784088775</v>
      </c>
      <c r="I19">
        <f>GETPIVOTDATA("標準偏差 / PadegRC",$A$3,"Model",3)/(21^(1/2))*(1/0.5)</f>
        <v>1.6726400218313011</v>
      </c>
      <c r="J19">
        <f>GETPIVOTDATA("標準偏差 / PlenRC",$A$3,"Model",3)/60</f>
        <v>0.11618595790629824</v>
      </c>
      <c r="K19">
        <f>GETPIVOTDATA("標準偏差 / Pav2-0",$A$3,"Model",3)/(21^(1/2))</f>
        <v>0.11974196449658503</v>
      </c>
    </row>
  </sheetData>
  <phoneticPr fontId="1"/>
  <pageMargins left="0.7" right="0.7" top="0.75" bottom="0.75" header="0.3" footer="0.3"/>
  <pageSetup paperSize="9" orientation="portrait" horizontalDpi="4294967293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E5B0B-BE46-4018-B6C2-9D282C04FC93}">
  <dimension ref="A1:T169"/>
  <sheetViews>
    <sheetView topLeftCell="A24" workbookViewId="0">
      <selection activeCell="P29" sqref="P29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0</v>
      </c>
      <c r="D2">
        <v>0</v>
      </c>
      <c r="E2">
        <v>1</v>
      </c>
      <c r="F2">
        <v>0</v>
      </c>
      <c r="H2" t="s">
        <v>49</v>
      </c>
    </row>
    <row r="3" spans="1:14" x14ac:dyDescent="0.45">
      <c r="A3">
        <v>1000</v>
      </c>
      <c r="B3">
        <v>4</v>
      </c>
      <c r="C3">
        <v>-1</v>
      </c>
      <c r="D3">
        <v>1</v>
      </c>
      <c r="E3">
        <v>2</v>
      </c>
      <c r="F3">
        <v>-1</v>
      </c>
    </row>
    <row r="4" spans="1:14" ht="18.600000000000001" thickBot="1" x14ac:dyDescent="0.5">
      <c r="A4">
        <v>1000</v>
      </c>
      <c r="B4">
        <v>7</v>
      </c>
      <c r="C4">
        <v>-1</v>
      </c>
      <c r="D4">
        <v>2</v>
      </c>
      <c r="E4">
        <v>2</v>
      </c>
      <c r="F4">
        <v>-1</v>
      </c>
      <c r="H4" t="s">
        <v>50</v>
      </c>
    </row>
    <row r="5" spans="1:14" x14ac:dyDescent="0.45">
      <c r="A5">
        <v>1000</v>
      </c>
      <c r="B5">
        <v>2</v>
      </c>
      <c r="C5">
        <v>0</v>
      </c>
      <c r="D5">
        <v>0</v>
      </c>
      <c r="E5">
        <v>1</v>
      </c>
      <c r="F5">
        <v>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-2</v>
      </c>
      <c r="D6">
        <v>-2</v>
      </c>
      <c r="E6">
        <v>2</v>
      </c>
      <c r="F6">
        <v>-2</v>
      </c>
      <c r="H6" t="s">
        <v>46</v>
      </c>
      <c r="I6">
        <v>168</v>
      </c>
      <c r="J6">
        <v>-145</v>
      </c>
      <c r="K6">
        <v>-0.86309523809523814</v>
      </c>
      <c r="L6">
        <v>1.2925220986598231</v>
      </c>
    </row>
    <row r="7" spans="1:14" x14ac:dyDescent="0.45">
      <c r="A7">
        <v>1000</v>
      </c>
      <c r="B7">
        <v>1</v>
      </c>
      <c r="C7">
        <v>0</v>
      </c>
      <c r="D7">
        <v>0</v>
      </c>
      <c r="E7">
        <v>2</v>
      </c>
      <c r="F7">
        <v>0</v>
      </c>
      <c r="H7" t="s">
        <v>47</v>
      </c>
      <c r="I7">
        <v>168</v>
      </c>
      <c r="J7">
        <v>19</v>
      </c>
      <c r="K7">
        <v>0.1130952380952381</v>
      </c>
      <c r="L7">
        <v>2.4362346735101226</v>
      </c>
    </row>
    <row r="8" spans="1:14" ht="18.600000000000001" thickBot="1" x14ac:dyDescent="0.5">
      <c r="A8">
        <v>1000</v>
      </c>
      <c r="B8">
        <v>6</v>
      </c>
      <c r="C8">
        <v>0</v>
      </c>
      <c r="D8">
        <v>-2</v>
      </c>
      <c r="E8">
        <v>2</v>
      </c>
      <c r="F8">
        <v>0</v>
      </c>
      <c r="H8" s="3" t="s">
        <v>48</v>
      </c>
      <c r="I8" s="3">
        <v>168</v>
      </c>
      <c r="J8" s="3">
        <v>162</v>
      </c>
      <c r="K8" s="3">
        <v>0.9642857142857143</v>
      </c>
      <c r="L8" s="3">
        <v>1.9148845166809239</v>
      </c>
    </row>
    <row r="9" spans="1:14" x14ac:dyDescent="0.45">
      <c r="A9">
        <v>1000</v>
      </c>
      <c r="B9">
        <v>3</v>
      </c>
      <c r="C9">
        <v>0</v>
      </c>
      <c r="D9">
        <v>2</v>
      </c>
      <c r="E9">
        <v>2</v>
      </c>
      <c r="F9">
        <v>0</v>
      </c>
    </row>
    <row r="10" spans="1:14" x14ac:dyDescent="0.45">
      <c r="A10">
        <v>1010</v>
      </c>
      <c r="B10">
        <v>5</v>
      </c>
      <c r="C10">
        <v>0</v>
      </c>
      <c r="D10">
        <v>-1</v>
      </c>
      <c r="E10">
        <v>1</v>
      </c>
      <c r="F10">
        <v>0</v>
      </c>
    </row>
    <row r="11" spans="1:14" ht="18.600000000000001" thickBot="1" x14ac:dyDescent="0.5">
      <c r="A11">
        <v>1010</v>
      </c>
      <c r="B11">
        <v>4</v>
      </c>
      <c r="C11">
        <v>0</v>
      </c>
      <c r="D11">
        <v>1</v>
      </c>
      <c r="E11">
        <v>1</v>
      </c>
      <c r="F11">
        <v>0</v>
      </c>
      <c r="H11" t="s">
        <v>56</v>
      </c>
    </row>
    <row r="12" spans="1:14" x14ac:dyDescent="0.45">
      <c r="A12">
        <v>1010</v>
      </c>
      <c r="B12">
        <v>7</v>
      </c>
      <c r="C12">
        <v>-1</v>
      </c>
      <c r="D12">
        <v>1</v>
      </c>
      <c r="E12">
        <v>1</v>
      </c>
      <c r="F12">
        <v>-1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1</v>
      </c>
      <c r="D13">
        <v>0</v>
      </c>
      <c r="E13">
        <v>0</v>
      </c>
      <c r="F13">
        <v>1</v>
      </c>
      <c r="H13" t="s">
        <v>63</v>
      </c>
      <c r="I13">
        <v>280.94047619047478</v>
      </c>
      <c r="J13">
        <v>2</v>
      </c>
      <c r="K13">
        <v>140.47023809523739</v>
      </c>
      <c r="L13">
        <v>74.670003410425437</v>
      </c>
      <c r="M13">
        <v>4.1463149497482073E-29</v>
      </c>
      <c r="N13">
        <v>3.0137168925158462</v>
      </c>
    </row>
    <row r="14" spans="1:14" x14ac:dyDescent="0.45">
      <c r="A14">
        <v>1010</v>
      </c>
      <c r="B14">
        <v>8</v>
      </c>
      <c r="C14">
        <v>1</v>
      </c>
      <c r="D14">
        <v>0</v>
      </c>
      <c r="E14">
        <v>0</v>
      </c>
      <c r="F14">
        <v>1</v>
      </c>
      <c r="H14" t="s">
        <v>64</v>
      </c>
      <c r="I14">
        <v>942.48809523809496</v>
      </c>
      <c r="J14">
        <v>501</v>
      </c>
      <c r="K14">
        <v>1.8812137629502894</v>
      </c>
    </row>
    <row r="15" spans="1:14" x14ac:dyDescent="0.45">
      <c r="A15">
        <v>1010</v>
      </c>
      <c r="B15">
        <v>1</v>
      </c>
      <c r="C15">
        <v>1</v>
      </c>
      <c r="D15">
        <v>1</v>
      </c>
      <c r="E15">
        <v>2</v>
      </c>
      <c r="F15">
        <v>1</v>
      </c>
    </row>
    <row r="16" spans="1:14" ht="18.600000000000001" thickBot="1" x14ac:dyDescent="0.5">
      <c r="A16">
        <v>1010</v>
      </c>
      <c r="B16">
        <v>6</v>
      </c>
      <c r="C16">
        <v>0</v>
      </c>
      <c r="D16">
        <v>0</v>
      </c>
      <c r="E16">
        <v>1</v>
      </c>
      <c r="F16">
        <v>0</v>
      </c>
      <c r="H16" s="3" t="s">
        <v>53</v>
      </c>
      <c r="I16" s="3">
        <v>1223.4285714285697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0</v>
      </c>
      <c r="D17">
        <v>-2</v>
      </c>
      <c r="E17">
        <v>1</v>
      </c>
      <c r="F17">
        <v>0</v>
      </c>
    </row>
    <row r="18" spans="1:20" x14ac:dyDescent="0.45">
      <c r="A18">
        <v>1020</v>
      </c>
      <c r="B18">
        <v>5</v>
      </c>
      <c r="C18">
        <v>-1</v>
      </c>
      <c r="D18">
        <v>-2</v>
      </c>
      <c r="E18">
        <v>-2</v>
      </c>
      <c r="F18">
        <v>-1</v>
      </c>
    </row>
    <row r="19" spans="1:20" x14ac:dyDescent="0.45">
      <c r="A19">
        <v>1020</v>
      </c>
      <c r="B19">
        <v>4</v>
      </c>
      <c r="C19">
        <v>-2</v>
      </c>
      <c r="D19">
        <v>-2</v>
      </c>
      <c r="E19">
        <v>2</v>
      </c>
      <c r="F19">
        <v>-2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-1</v>
      </c>
      <c r="D20">
        <v>1</v>
      </c>
      <c r="E20">
        <v>2</v>
      </c>
      <c r="F20">
        <v>-1</v>
      </c>
    </row>
    <row r="21" spans="1:20" x14ac:dyDescent="0.45">
      <c r="A21">
        <v>1020</v>
      </c>
      <c r="B21">
        <v>2</v>
      </c>
      <c r="C21">
        <v>-2</v>
      </c>
      <c r="D21">
        <v>-1</v>
      </c>
      <c r="E21">
        <v>-1</v>
      </c>
      <c r="F21">
        <v>-2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-2</v>
      </c>
      <c r="D22">
        <v>1</v>
      </c>
      <c r="E22">
        <v>2</v>
      </c>
      <c r="F22">
        <v>-2</v>
      </c>
      <c r="H22" t="s">
        <v>54</v>
      </c>
      <c r="I22">
        <v>-0.86309523809523814</v>
      </c>
      <c r="J22">
        <v>0.1130952380952381</v>
      </c>
      <c r="M22" t="s">
        <v>54</v>
      </c>
      <c r="N22">
        <v>0.1130952380952381</v>
      </c>
      <c r="O22">
        <v>0.9642857142857143</v>
      </c>
      <c r="R22" t="s">
        <v>54</v>
      </c>
      <c r="S22">
        <v>0.9642857142857143</v>
      </c>
      <c r="T22">
        <v>-0.86309523809523814</v>
      </c>
    </row>
    <row r="23" spans="1:20" x14ac:dyDescent="0.45">
      <c r="A23">
        <v>1020</v>
      </c>
      <c r="B23">
        <v>1</v>
      </c>
      <c r="C23">
        <v>-1</v>
      </c>
      <c r="D23">
        <v>1</v>
      </c>
      <c r="E23">
        <v>2</v>
      </c>
      <c r="F23">
        <v>-1</v>
      </c>
      <c r="H23" t="s">
        <v>55</v>
      </c>
      <c r="I23">
        <v>1.2925220986598231</v>
      </c>
      <c r="J23">
        <v>2.4362346735101226</v>
      </c>
      <c r="M23" t="s">
        <v>55</v>
      </c>
      <c r="N23">
        <v>2.4362346735101226</v>
      </c>
      <c r="O23">
        <v>1.9148845166809239</v>
      </c>
      <c r="R23" t="s">
        <v>55</v>
      </c>
      <c r="S23">
        <v>1.9148845166809239</v>
      </c>
      <c r="T23">
        <v>1.2925220986598231</v>
      </c>
    </row>
    <row r="24" spans="1:20" x14ac:dyDescent="0.45">
      <c r="A24">
        <v>1020</v>
      </c>
      <c r="B24">
        <v>6</v>
      </c>
      <c r="C24">
        <v>-2</v>
      </c>
      <c r="D24">
        <v>-2</v>
      </c>
      <c r="E24">
        <v>2</v>
      </c>
      <c r="F24">
        <v>-2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-2</v>
      </c>
      <c r="D25">
        <v>1</v>
      </c>
      <c r="E25">
        <v>2</v>
      </c>
      <c r="F25">
        <v>-2</v>
      </c>
      <c r="H25" t="s">
        <v>82</v>
      </c>
      <c r="I25">
        <v>-0.10326265866252013</v>
      </c>
      <c r="M25" t="s">
        <v>82</v>
      </c>
      <c r="N25">
        <v>0.10168691863729565</v>
      </c>
      <c r="R25" t="s">
        <v>82</v>
      </c>
      <c r="S25">
        <v>9.4475678539196958E-2</v>
      </c>
    </row>
    <row r="26" spans="1:20" x14ac:dyDescent="0.45">
      <c r="A26">
        <v>1030</v>
      </c>
      <c r="B26">
        <v>1</v>
      </c>
      <c r="C26">
        <v>2</v>
      </c>
      <c r="D26">
        <v>-1</v>
      </c>
      <c r="E26">
        <v>2</v>
      </c>
      <c r="F26">
        <v>2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0</v>
      </c>
      <c r="D27">
        <v>2</v>
      </c>
      <c r="E27">
        <v>1</v>
      </c>
      <c r="F27">
        <v>0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1</v>
      </c>
      <c r="D28">
        <v>-2</v>
      </c>
      <c r="E28">
        <v>2</v>
      </c>
      <c r="F28">
        <v>1</v>
      </c>
      <c r="H28" t="s">
        <v>84</v>
      </c>
      <c r="I28">
        <v>-6.2524413836367918</v>
      </c>
      <c r="M28" t="s">
        <v>84</v>
      </c>
      <c r="N28">
        <v>-5.5781479640260141</v>
      </c>
      <c r="R28" t="s">
        <v>84</v>
      </c>
      <c r="S28">
        <v>13.88438012177722</v>
      </c>
    </row>
    <row r="29" spans="1:20" x14ac:dyDescent="0.45">
      <c r="A29">
        <v>1030</v>
      </c>
      <c r="B29">
        <v>6</v>
      </c>
      <c r="C29">
        <v>-1</v>
      </c>
      <c r="D29">
        <v>-1</v>
      </c>
      <c r="E29">
        <v>2</v>
      </c>
      <c r="F29">
        <v>-1</v>
      </c>
      <c r="H29" t="s">
        <v>85</v>
      </c>
      <c r="I29">
        <v>1.6295186320120816E-9</v>
      </c>
      <c r="M29" t="s">
        <v>85</v>
      </c>
      <c r="N29">
        <v>4.8096516100746623E-8</v>
      </c>
      <c r="R29" t="s">
        <v>85</v>
      </c>
      <c r="S29">
        <v>6.1706226378230388E-30</v>
      </c>
    </row>
    <row r="30" spans="1:20" x14ac:dyDescent="0.45">
      <c r="A30">
        <v>1030</v>
      </c>
      <c r="B30">
        <v>4</v>
      </c>
      <c r="C30">
        <v>-2</v>
      </c>
      <c r="D30">
        <v>1</v>
      </c>
      <c r="E30">
        <v>2</v>
      </c>
      <c r="F30">
        <v>-2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-1</v>
      </c>
      <c r="D31">
        <v>-2</v>
      </c>
      <c r="E31">
        <v>-2</v>
      </c>
      <c r="F31">
        <v>-1</v>
      </c>
      <c r="H31" t="s">
        <v>87</v>
      </c>
      <c r="I31">
        <v>3.2590372640241631E-9</v>
      </c>
      <c r="M31" t="s">
        <v>87</v>
      </c>
      <c r="N31">
        <v>9.6193032201493246E-8</v>
      </c>
      <c r="R31" t="s">
        <v>87</v>
      </c>
      <c r="S31">
        <v>1.2341245275646078E-29</v>
      </c>
    </row>
    <row r="32" spans="1:20" ht="18.600000000000001" thickBot="1" x14ac:dyDescent="0.5">
      <c r="A32">
        <v>1030</v>
      </c>
      <c r="B32">
        <v>2</v>
      </c>
      <c r="C32">
        <v>-2</v>
      </c>
      <c r="D32">
        <v>-2</v>
      </c>
      <c r="E32">
        <v>-1</v>
      </c>
      <c r="F32">
        <v>-2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-2</v>
      </c>
      <c r="D33">
        <v>-2</v>
      </c>
      <c r="E33">
        <v>1</v>
      </c>
      <c r="F33">
        <v>-2</v>
      </c>
    </row>
    <row r="34" spans="1:6" x14ac:dyDescent="0.45">
      <c r="A34">
        <v>1040</v>
      </c>
      <c r="B34">
        <v>1</v>
      </c>
      <c r="C34">
        <v>-1</v>
      </c>
      <c r="D34">
        <v>-1</v>
      </c>
      <c r="E34">
        <v>1</v>
      </c>
      <c r="F34">
        <v>-1</v>
      </c>
    </row>
    <row r="35" spans="1:6" x14ac:dyDescent="0.45">
      <c r="A35">
        <v>1040</v>
      </c>
      <c r="B35">
        <v>8</v>
      </c>
      <c r="C35">
        <v>-1</v>
      </c>
      <c r="D35">
        <v>-1</v>
      </c>
      <c r="E35">
        <v>1</v>
      </c>
      <c r="F35">
        <v>-1</v>
      </c>
    </row>
    <row r="36" spans="1:6" x14ac:dyDescent="0.45">
      <c r="A36">
        <v>1040</v>
      </c>
      <c r="B36">
        <v>3</v>
      </c>
      <c r="C36">
        <v>0</v>
      </c>
      <c r="D36">
        <v>0</v>
      </c>
      <c r="E36">
        <v>1</v>
      </c>
      <c r="F36">
        <v>0</v>
      </c>
    </row>
    <row r="37" spans="1:6" x14ac:dyDescent="0.45">
      <c r="A37">
        <v>1040</v>
      </c>
      <c r="B37">
        <v>6</v>
      </c>
      <c r="C37">
        <v>-2</v>
      </c>
      <c r="D37">
        <v>-2</v>
      </c>
      <c r="E37">
        <v>2</v>
      </c>
      <c r="F37">
        <v>-2</v>
      </c>
    </row>
    <row r="38" spans="1:6" x14ac:dyDescent="0.45">
      <c r="A38">
        <v>1040</v>
      </c>
      <c r="B38">
        <v>4</v>
      </c>
      <c r="C38">
        <v>-2</v>
      </c>
      <c r="D38">
        <v>1</v>
      </c>
      <c r="E38">
        <v>2</v>
      </c>
      <c r="F38">
        <v>-2</v>
      </c>
    </row>
    <row r="39" spans="1:6" x14ac:dyDescent="0.45">
      <c r="A39">
        <v>1040</v>
      </c>
      <c r="B39">
        <v>5</v>
      </c>
      <c r="C39">
        <v>-1</v>
      </c>
      <c r="D39">
        <v>1</v>
      </c>
      <c r="E39">
        <v>2</v>
      </c>
      <c r="F39">
        <v>-1</v>
      </c>
    </row>
    <row r="40" spans="1:6" x14ac:dyDescent="0.45">
      <c r="A40">
        <v>1040</v>
      </c>
      <c r="B40">
        <v>2</v>
      </c>
      <c r="C40">
        <v>-2</v>
      </c>
      <c r="D40">
        <v>0</v>
      </c>
      <c r="E40">
        <v>2</v>
      </c>
      <c r="F40">
        <v>-2</v>
      </c>
    </row>
    <row r="41" spans="1:6" x14ac:dyDescent="0.45">
      <c r="A41">
        <v>1040</v>
      </c>
      <c r="B41">
        <v>7</v>
      </c>
      <c r="C41">
        <v>-1</v>
      </c>
      <c r="D41">
        <v>-1</v>
      </c>
      <c r="E41">
        <v>0</v>
      </c>
      <c r="F41">
        <v>-1</v>
      </c>
    </row>
    <row r="42" spans="1:6" x14ac:dyDescent="0.45">
      <c r="A42">
        <v>1050</v>
      </c>
      <c r="B42">
        <v>1</v>
      </c>
      <c r="C42">
        <v>-2</v>
      </c>
      <c r="D42">
        <v>1</v>
      </c>
      <c r="E42">
        <v>2</v>
      </c>
      <c r="F42">
        <v>-2</v>
      </c>
    </row>
    <row r="43" spans="1:6" x14ac:dyDescent="0.45">
      <c r="A43">
        <v>1050</v>
      </c>
      <c r="B43">
        <v>8</v>
      </c>
      <c r="C43">
        <v>-2</v>
      </c>
      <c r="D43">
        <v>1</v>
      </c>
      <c r="E43">
        <v>-1</v>
      </c>
      <c r="F43">
        <v>-2</v>
      </c>
    </row>
    <row r="44" spans="1:6" x14ac:dyDescent="0.45">
      <c r="A44">
        <v>1050</v>
      </c>
      <c r="B44">
        <v>3</v>
      </c>
      <c r="C44">
        <v>-2</v>
      </c>
      <c r="D44">
        <v>1</v>
      </c>
      <c r="E44">
        <v>-2</v>
      </c>
      <c r="F44">
        <v>-2</v>
      </c>
    </row>
    <row r="45" spans="1:6" x14ac:dyDescent="0.45">
      <c r="A45">
        <v>1050</v>
      </c>
      <c r="B45">
        <v>6</v>
      </c>
      <c r="C45">
        <v>-2</v>
      </c>
      <c r="D45">
        <v>1</v>
      </c>
      <c r="E45">
        <v>1</v>
      </c>
      <c r="F45">
        <v>-2</v>
      </c>
    </row>
    <row r="46" spans="1:6" x14ac:dyDescent="0.45">
      <c r="A46">
        <v>1050</v>
      </c>
      <c r="B46">
        <v>4</v>
      </c>
      <c r="C46">
        <v>-2</v>
      </c>
      <c r="D46">
        <v>-2</v>
      </c>
      <c r="E46">
        <v>1</v>
      </c>
      <c r="F46">
        <v>-2</v>
      </c>
    </row>
    <row r="47" spans="1:6" x14ac:dyDescent="0.45">
      <c r="A47">
        <v>1050</v>
      </c>
      <c r="B47">
        <v>5</v>
      </c>
      <c r="C47">
        <v>-2</v>
      </c>
      <c r="D47">
        <v>-2</v>
      </c>
      <c r="E47">
        <v>-2</v>
      </c>
      <c r="F47">
        <v>-2</v>
      </c>
    </row>
    <row r="48" spans="1:6" x14ac:dyDescent="0.45">
      <c r="A48">
        <v>1050</v>
      </c>
      <c r="B48">
        <v>2</v>
      </c>
      <c r="C48">
        <v>-2</v>
      </c>
      <c r="D48">
        <v>-2</v>
      </c>
      <c r="E48">
        <v>-2</v>
      </c>
      <c r="F48">
        <v>-2</v>
      </c>
    </row>
    <row r="49" spans="1:6" x14ac:dyDescent="0.45">
      <c r="A49">
        <v>1050</v>
      </c>
      <c r="B49">
        <v>7</v>
      </c>
      <c r="C49">
        <v>-2</v>
      </c>
      <c r="D49">
        <v>1</v>
      </c>
      <c r="E49">
        <v>-2</v>
      </c>
      <c r="F49">
        <v>-2</v>
      </c>
    </row>
    <row r="50" spans="1:6" x14ac:dyDescent="0.45">
      <c r="A50">
        <v>1060</v>
      </c>
      <c r="B50">
        <v>5</v>
      </c>
      <c r="C50">
        <v>1</v>
      </c>
      <c r="D50">
        <v>1</v>
      </c>
      <c r="E50">
        <v>2</v>
      </c>
      <c r="F50">
        <v>1</v>
      </c>
    </row>
    <row r="51" spans="1:6" x14ac:dyDescent="0.45">
      <c r="A51">
        <v>1060</v>
      </c>
      <c r="B51">
        <v>4</v>
      </c>
      <c r="C51">
        <v>0</v>
      </c>
      <c r="D51">
        <v>-2</v>
      </c>
      <c r="E51">
        <v>1</v>
      </c>
      <c r="F51">
        <v>0</v>
      </c>
    </row>
    <row r="52" spans="1:6" x14ac:dyDescent="0.45">
      <c r="A52">
        <v>1060</v>
      </c>
      <c r="B52">
        <v>7</v>
      </c>
      <c r="C52">
        <v>-1</v>
      </c>
      <c r="D52">
        <v>1</v>
      </c>
      <c r="E52">
        <v>-1</v>
      </c>
      <c r="F52">
        <v>-1</v>
      </c>
    </row>
    <row r="53" spans="1:6" x14ac:dyDescent="0.45">
      <c r="A53">
        <v>1060</v>
      </c>
      <c r="B53">
        <v>2</v>
      </c>
      <c r="C53">
        <v>1</v>
      </c>
      <c r="D53">
        <v>2</v>
      </c>
      <c r="E53">
        <v>1</v>
      </c>
      <c r="F53">
        <v>1</v>
      </c>
    </row>
    <row r="54" spans="1:6" x14ac:dyDescent="0.45">
      <c r="A54">
        <v>1060</v>
      </c>
      <c r="B54">
        <v>8</v>
      </c>
      <c r="C54">
        <v>-1</v>
      </c>
      <c r="D54">
        <v>1</v>
      </c>
      <c r="E54">
        <v>1</v>
      </c>
      <c r="F54">
        <v>-1</v>
      </c>
    </row>
    <row r="55" spans="1:6" x14ac:dyDescent="0.45">
      <c r="A55">
        <v>1060</v>
      </c>
      <c r="B55">
        <v>1</v>
      </c>
      <c r="C55">
        <v>-2</v>
      </c>
      <c r="D55">
        <v>1</v>
      </c>
      <c r="E55">
        <v>2</v>
      </c>
      <c r="F55">
        <v>-2</v>
      </c>
    </row>
    <row r="56" spans="1:6" x14ac:dyDescent="0.45">
      <c r="A56">
        <v>1060</v>
      </c>
      <c r="B56">
        <v>6</v>
      </c>
      <c r="C56">
        <v>-1</v>
      </c>
      <c r="D56">
        <v>1</v>
      </c>
      <c r="E56">
        <v>-1</v>
      </c>
      <c r="F56">
        <v>-1</v>
      </c>
    </row>
    <row r="57" spans="1:6" x14ac:dyDescent="0.45">
      <c r="A57">
        <v>1060</v>
      </c>
      <c r="B57">
        <v>3</v>
      </c>
      <c r="C57">
        <v>-2</v>
      </c>
      <c r="D57">
        <v>-2</v>
      </c>
      <c r="E57">
        <v>1</v>
      </c>
      <c r="F57">
        <v>-2</v>
      </c>
    </row>
    <row r="58" spans="1:6" x14ac:dyDescent="0.45">
      <c r="A58">
        <v>1070</v>
      </c>
      <c r="B58">
        <v>5</v>
      </c>
      <c r="C58">
        <v>-2</v>
      </c>
      <c r="D58">
        <v>1</v>
      </c>
      <c r="E58">
        <v>2</v>
      </c>
      <c r="F58">
        <v>-2</v>
      </c>
    </row>
    <row r="59" spans="1:6" x14ac:dyDescent="0.45">
      <c r="A59">
        <v>1070</v>
      </c>
      <c r="B59">
        <v>4</v>
      </c>
      <c r="C59">
        <v>-1</v>
      </c>
      <c r="D59">
        <v>1</v>
      </c>
      <c r="E59">
        <v>2</v>
      </c>
      <c r="F59">
        <v>-1</v>
      </c>
    </row>
    <row r="60" spans="1:6" x14ac:dyDescent="0.45">
      <c r="A60">
        <v>1070</v>
      </c>
      <c r="B60">
        <v>7</v>
      </c>
      <c r="C60">
        <v>-2</v>
      </c>
      <c r="D60">
        <v>2</v>
      </c>
      <c r="E60">
        <v>1</v>
      </c>
      <c r="F60">
        <v>-2</v>
      </c>
    </row>
    <row r="61" spans="1:6" x14ac:dyDescent="0.45">
      <c r="A61">
        <v>1070</v>
      </c>
      <c r="B61">
        <v>2</v>
      </c>
      <c r="C61">
        <v>-2</v>
      </c>
      <c r="D61">
        <v>-2</v>
      </c>
      <c r="E61">
        <v>2</v>
      </c>
      <c r="F61">
        <v>-2</v>
      </c>
    </row>
    <row r="62" spans="1:6" x14ac:dyDescent="0.45">
      <c r="A62">
        <v>1070</v>
      </c>
      <c r="B62">
        <v>8</v>
      </c>
      <c r="C62">
        <v>-1</v>
      </c>
      <c r="D62">
        <v>0</v>
      </c>
      <c r="E62">
        <v>-1</v>
      </c>
      <c r="F62">
        <v>-1</v>
      </c>
    </row>
    <row r="63" spans="1:6" x14ac:dyDescent="0.45">
      <c r="A63">
        <v>1070</v>
      </c>
      <c r="B63">
        <v>1</v>
      </c>
      <c r="C63">
        <v>-2</v>
      </c>
      <c r="D63">
        <v>2</v>
      </c>
      <c r="E63">
        <v>1</v>
      </c>
      <c r="F63">
        <v>-2</v>
      </c>
    </row>
    <row r="64" spans="1:6" x14ac:dyDescent="0.45">
      <c r="A64">
        <v>1070</v>
      </c>
      <c r="B64">
        <v>6</v>
      </c>
      <c r="C64">
        <v>-2</v>
      </c>
      <c r="D64">
        <v>1</v>
      </c>
      <c r="E64">
        <v>-1</v>
      </c>
      <c r="F64">
        <v>-2</v>
      </c>
    </row>
    <row r="65" spans="1:6" x14ac:dyDescent="0.45">
      <c r="A65">
        <v>1070</v>
      </c>
      <c r="B65">
        <v>3</v>
      </c>
      <c r="C65">
        <v>0</v>
      </c>
      <c r="D65">
        <v>1</v>
      </c>
      <c r="E65">
        <v>2</v>
      </c>
      <c r="F65">
        <v>0</v>
      </c>
    </row>
    <row r="66" spans="1:6" x14ac:dyDescent="0.45">
      <c r="A66">
        <v>1080</v>
      </c>
      <c r="B66">
        <v>1</v>
      </c>
      <c r="C66">
        <v>0</v>
      </c>
      <c r="D66">
        <v>2</v>
      </c>
      <c r="E66">
        <v>1</v>
      </c>
      <c r="F66">
        <v>0</v>
      </c>
    </row>
    <row r="67" spans="1:6" x14ac:dyDescent="0.45">
      <c r="A67">
        <v>1080</v>
      </c>
      <c r="B67">
        <v>8</v>
      </c>
      <c r="C67">
        <v>0</v>
      </c>
      <c r="D67">
        <v>-2</v>
      </c>
      <c r="E67">
        <v>2</v>
      </c>
      <c r="F67">
        <v>0</v>
      </c>
    </row>
    <row r="68" spans="1:6" x14ac:dyDescent="0.45">
      <c r="A68">
        <v>1080</v>
      </c>
      <c r="B68">
        <v>3</v>
      </c>
      <c r="C68">
        <v>-1</v>
      </c>
      <c r="D68">
        <v>-2</v>
      </c>
      <c r="E68">
        <v>0</v>
      </c>
      <c r="F68">
        <v>-1</v>
      </c>
    </row>
    <row r="69" spans="1:6" x14ac:dyDescent="0.45">
      <c r="A69">
        <v>1080</v>
      </c>
      <c r="B69">
        <v>6</v>
      </c>
      <c r="C69">
        <v>-1</v>
      </c>
      <c r="D69">
        <v>0</v>
      </c>
      <c r="E69">
        <v>1</v>
      </c>
      <c r="F69">
        <v>-1</v>
      </c>
    </row>
    <row r="70" spans="1:6" x14ac:dyDescent="0.45">
      <c r="A70">
        <v>1080</v>
      </c>
      <c r="B70">
        <v>4</v>
      </c>
      <c r="C70">
        <v>-1</v>
      </c>
      <c r="D70">
        <v>1</v>
      </c>
      <c r="E70">
        <v>0</v>
      </c>
      <c r="F70">
        <v>-1</v>
      </c>
    </row>
    <row r="71" spans="1:6" x14ac:dyDescent="0.45">
      <c r="A71">
        <v>1080</v>
      </c>
      <c r="B71">
        <v>5</v>
      </c>
      <c r="C71">
        <v>-2</v>
      </c>
      <c r="D71">
        <v>2</v>
      </c>
      <c r="E71">
        <v>2</v>
      </c>
      <c r="F71">
        <v>-2</v>
      </c>
    </row>
    <row r="72" spans="1:6" x14ac:dyDescent="0.45">
      <c r="A72">
        <v>1080</v>
      </c>
      <c r="B72">
        <v>2</v>
      </c>
      <c r="C72">
        <v>-2</v>
      </c>
      <c r="D72">
        <v>-2</v>
      </c>
      <c r="E72">
        <v>2</v>
      </c>
      <c r="F72">
        <v>-2</v>
      </c>
    </row>
    <row r="73" spans="1:6" x14ac:dyDescent="0.45">
      <c r="A73">
        <v>1080</v>
      </c>
      <c r="B73">
        <v>7</v>
      </c>
      <c r="C73">
        <v>-1</v>
      </c>
      <c r="D73">
        <v>0</v>
      </c>
      <c r="E73">
        <v>1</v>
      </c>
      <c r="F73">
        <v>-1</v>
      </c>
    </row>
    <row r="74" spans="1:6" x14ac:dyDescent="0.45">
      <c r="A74">
        <v>1090</v>
      </c>
      <c r="B74">
        <v>5</v>
      </c>
      <c r="C74">
        <v>0</v>
      </c>
      <c r="D74">
        <v>-1</v>
      </c>
      <c r="E74">
        <v>2</v>
      </c>
      <c r="F74">
        <v>0</v>
      </c>
    </row>
    <row r="75" spans="1:6" x14ac:dyDescent="0.45">
      <c r="A75">
        <v>1090</v>
      </c>
      <c r="B75">
        <v>4</v>
      </c>
      <c r="C75">
        <v>1</v>
      </c>
      <c r="D75">
        <v>2</v>
      </c>
      <c r="E75">
        <v>2</v>
      </c>
      <c r="F75">
        <v>1</v>
      </c>
    </row>
    <row r="76" spans="1:6" x14ac:dyDescent="0.45">
      <c r="A76">
        <v>1090</v>
      </c>
      <c r="B76">
        <v>7</v>
      </c>
      <c r="C76">
        <v>1</v>
      </c>
      <c r="D76">
        <v>-2</v>
      </c>
      <c r="E76">
        <v>2</v>
      </c>
      <c r="F76">
        <v>1</v>
      </c>
    </row>
    <row r="77" spans="1:6" x14ac:dyDescent="0.45">
      <c r="A77">
        <v>1090</v>
      </c>
      <c r="B77">
        <v>2</v>
      </c>
      <c r="C77">
        <v>-1</v>
      </c>
      <c r="D77">
        <v>-1</v>
      </c>
      <c r="E77">
        <v>-2</v>
      </c>
      <c r="F77">
        <v>-1</v>
      </c>
    </row>
    <row r="78" spans="1:6" x14ac:dyDescent="0.45">
      <c r="A78">
        <v>1090</v>
      </c>
      <c r="B78">
        <v>8</v>
      </c>
      <c r="C78">
        <v>-2</v>
      </c>
      <c r="D78">
        <v>1</v>
      </c>
      <c r="E78">
        <v>2</v>
      </c>
      <c r="F78">
        <v>-2</v>
      </c>
    </row>
    <row r="79" spans="1:6" x14ac:dyDescent="0.45">
      <c r="A79">
        <v>1090</v>
      </c>
      <c r="B79">
        <v>1</v>
      </c>
      <c r="C79">
        <v>1</v>
      </c>
      <c r="D79">
        <v>-2</v>
      </c>
      <c r="E79">
        <v>2</v>
      </c>
      <c r="F79">
        <v>1</v>
      </c>
    </row>
    <row r="80" spans="1:6" x14ac:dyDescent="0.45">
      <c r="A80">
        <v>1090</v>
      </c>
      <c r="B80">
        <v>6</v>
      </c>
      <c r="C80">
        <v>-1</v>
      </c>
      <c r="D80">
        <v>2</v>
      </c>
      <c r="E80">
        <v>2</v>
      </c>
      <c r="F80">
        <v>-1</v>
      </c>
    </row>
    <row r="81" spans="1:6" x14ac:dyDescent="0.45">
      <c r="A81">
        <v>1090</v>
      </c>
      <c r="B81">
        <v>3</v>
      </c>
      <c r="C81">
        <v>-2</v>
      </c>
      <c r="D81">
        <v>1</v>
      </c>
      <c r="E81">
        <v>2</v>
      </c>
      <c r="F81">
        <v>-2</v>
      </c>
    </row>
    <row r="82" spans="1:6" x14ac:dyDescent="0.45">
      <c r="A82">
        <v>1100</v>
      </c>
      <c r="B82">
        <v>1</v>
      </c>
      <c r="C82">
        <v>-1</v>
      </c>
      <c r="D82">
        <v>-2</v>
      </c>
      <c r="E82">
        <v>1</v>
      </c>
      <c r="F82">
        <v>-1</v>
      </c>
    </row>
    <row r="83" spans="1:6" x14ac:dyDescent="0.45">
      <c r="A83">
        <v>1100</v>
      </c>
      <c r="B83">
        <v>8</v>
      </c>
      <c r="C83">
        <v>1</v>
      </c>
      <c r="D83">
        <v>1</v>
      </c>
      <c r="E83">
        <v>2</v>
      </c>
      <c r="F83">
        <v>1</v>
      </c>
    </row>
    <row r="84" spans="1:6" x14ac:dyDescent="0.45">
      <c r="A84">
        <v>1100</v>
      </c>
      <c r="B84">
        <v>3</v>
      </c>
      <c r="C84">
        <v>0</v>
      </c>
      <c r="D84">
        <v>0</v>
      </c>
      <c r="E84">
        <v>1</v>
      </c>
      <c r="F84">
        <v>0</v>
      </c>
    </row>
    <row r="85" spans="1:6" x14ac:dyDescent="0.45">
      <c r="A85">
        <v>1100</v>
      </c>
      <c r="B85">
        <v>6</v>
      </c>
      <c r="C85">
        <v>0</v>
      </c>
      <c r="D85">
        <v>2</v>
      </c>
      <c r="E85">
        <v>-2</v>
      </c>
      <c r="F85">
        <v>0</v>
      </c>
    </row>
    <row r="86" spans="1:6" x14ac:dyDescent="0.45">
      <c r="A86">
        <v>1100</v>
      </c>
      <c r="B86">
        <v>4</v>
      </c>
      <c r="C86">
        <v>-1</v>
      </c>
      <c r="D86">
        <v>1</v>
      </c>
      <c r="E86">
        <v>-2</v>
      </c>
      <c r="F86">
        <v>-1</v>
      </c>
    </row>
    <row r="87" spans="1:6" x14ac:dyDescent="0.45">
      <c r="A87">
        <v>1100</v>
      </c>
      <c r="B87">
        <v>5</v>
      </c>
      <c r="C87">
        <v>0</v>
      </c>
      <c r="D87">
        <v>2</v>
      </c>
      <c r="E87">
        <v>-2</v>
      </c>
      <c r="F87">
        <v>0</v>
      </c>
    </row>
    <row r="88" spans="1:6" x14ac:dyDescent="0.45">
      <c r="A88">
        <v>1100</v>
      </c>
      <c r="B88">
        <v>2</v>
      </c>
      <c r="C88">
        <v>-1</v>
      </c>
      <c r="D88">
        <v>-2</v>
      </c>
      <c r="E88">
        <v>2</v>
      </c>
      <c r="F88">
        <v>-1</v>
      </c>
    </row>
    <row r="89" spans="1:6" x14ac:dyDescent="0.45">
      <c r="A89">
        <v>1100</v>
      </c>
      <c r="B89">
        <v>7</v>
      </c>
      <c r="C89">
        <v>-1</v>
      </c>
      <c r="D89">
        <v>1</v>
      </c>
      <c r="E89">
        <v>1</v>
      </c>
      <c r="F89">
        <v>-1</v>
      </c>
    </row>
    <row r="90" spans="1:6" x14ac:dyDescent="0.45">
      <c r="A90">
        <v>1110</v>
      </c>
      <c r="B90">
        <v>5</v>
      </c>
      <c r="C90">
        <v>-2</v>
      </c>
      <c r="D90">
        <v>-2</v>
      </c>
      <c r="E90">
        <v>1</v>
      </c>
      <c r="F90">
        <v>-2</v>
      </c>
    </row>
    <row r="91" spans="1:6" x14ac:dyDescent="0.45">
      <c r="A91">
        <v>1110</v>
      </c>
      <c r="B91">
        <v>4</v>
      </c>
      <c r="C91">
        <v>1</v>
      </c>
      <c r="D91">
        <v>2</v>
      </c>
      <c r="E91">
        <v>1</v>
      </c>
      <c r="F91">
        <v>1</v>
      </c>
    </row>
    <row r="92" spans="1:6" x14ac:dyDescent="0.45">
      <c r="A92">
        <v>1110</v>
      </c>
      <c r="B92">
        <v>7</v>
      </c>
      <c r="C92">
        <v>1</v>
      </c>
      <c r="D92">
        <v>2</v>
      </c>
      <c r="E92">
        <v>2</v>
      </c>
      <c r="F92">
        <v>1</v>
      </c>
    </row>
    <row r="93" spans="1:6" x14ac:dyDescent="0.45">
      <c r="A93">
        <v>1110</v>
      </c>
      <c r="B93">
        <v>2</v>
      </c>
      <c r="C93">
        <v>-2</v>
      </c>
      <c r="D93">
        <v>1</v>
      </c>
      <c r="E93">
        <v>0</v>
      </c>
      <c r="F93">
        <v>-2</v>
      </c>
    </row>
    <row r="94" spans="1:6" x14ac:dyDescent="0.45">
      <c r="A94">
        <v>1110</v>
      </c>
      <c r="B94">
        <v>8</v>
      </c>
      <c r="C94">
        <v>1</v>
      </c>
      <c r="D94">
        <v>-2</v>
      </c>
      <c r="E94">
        <v>2</v>
      </c>
      <c r="F94">
        <v>1</v>
      </c>
    </row>
    <row r="95" spans="1:6" x14ac:dyDescent="0.45">
      <c r="A95">
        <v>1110</v>
      </c>
      <c r="B95">
        <v>1</v>
      </c>
      <c r="C95">
        <v>2</v>
      </c>
      <c r="D95">
        <v>-2</v>
      </c>
      <c r="E95">
        <v>0</v>
      </c>
      <c r="F95">
        <v>2</v>
      </c>
    </row>
    <row r="96" spans="1:6" x14ac:dyDescent="0.45">
      <c r="A96">
        <v>1110</v>
      </c>
      <c r="B96">
        <v>6</v>
      </c>
      <c r="C96">
        <v>0</v>
      </c>
      <c r="D96">
        <v>-1</v>
      </c>
      <c r="E96">
        <v>2</v>
      </c>
      <c r="F96">
        <v>0</v>
      </c>
    </row>
    <row r="97" spans="1:6" x14ac:dyDescent="0.45">
      <c r="A97">
        <v>1110</v>
      </c>
      <c r="B97">
        <v>3</v>
      </c>
      <c r="C97">
        <v>0</v>
      </c>
      <c r="D97">
        <v>1</v>
      </c>
      <c r="E97">
        <v>2</v>
      </c>
      <c r="F97">
        <v>0</v>
      </c>
    </row>
    <row r="98" spans="1:6" x14ac:dyDescent="0.45">
      <c r="A98">
        <v>1120</v>
      </c>
      <c r="B98">
        <v>1</v>
      </c>
      <c r="C98">
        <v>0</v>
      </c>
      <c r="D98">
        <v>-2</v>
      </c>
      <c r="E98">
        <v>2</v>
      </c>
      <c r="F98">
        <v>0</v>
      </c>
    </row>
    <row r="99" spans="1:6" x14ac:dyDescent="0.45">
      <c r="A99">
        <v>1120</v>
      </c>
      <c r="B99">
        <v>8</v>
      </c>
      <c r="C99">
        <v>-1</v>
      </c>
      <c r="D99">
        <v>2</v>
      </c>
      <c r="E99">
        <v>2</v>
      </c>
      <c r="F99">
        <v>-1</v>
      </c>
    </row>
    <row r="100" spans="1:6" x14ac:dyDescent="0.45">
      <c r="A100">
        <v>1120</v>
      </c>
      <c r="B100">
        <v>3</v>
      </c>
      <c r="C100">
        <v>-1</v>
      </c>
      <c r="D100">
        <v>2</v>
      </c>
      <c r="E100">
        <v>2</v>
      </c>
      <c r="F100">
        <v>-1</v>
      </c>
    </row>
    <row r="101" spans="1:6" x14ac:dyDescent="0.45">
      <c r="A101">
        <v>1120</v>
      </c>
      <c r="B101">
        <v>6</v>
      </c>
      <c r="C101">
        <v>-2</v>
      </c>
      <c r="D101">
        <v>1</v>
      </c>
      <c r="E101">
        <v>2</v>
      </c>
      <c r="F101">
        <v>-2</v>
      </c>
    </row>
    <row r="102" spans="1:6" x14ac:dyDescent="0.45">
      <c r="A102">
        <v>1120</v>
      </c>
      <c r="B102">
        <v>4</v>
      </c>
      <c r="C102">
        <v>-1</v>
      </c>
      <c r="D102">
        <v>-1</v>
      </c>
      <c r="E102">
        <v>-2</v>
      </c>
      <c r="F102">
        <v>-1</v>
      </c>
    </row>
    <row r="103" spans="1:6" x14ac:dyDescent="0.45">
      <c r="A103">
        <v>1120</v>
      </c>
      <c r="B103">
        <v>5</v>
      </c>
      <c r="C103">
        <v>-1</v>
      </c>
      <c r="D103">
        <v>-1</v>
      </c>
      <c r="E103">
        <v>2</v>
      </c>
      <c r="F103">
        <v>-1</v>
      </c>
    </row>
    <row r="104" spans="1:6" x14ac:dyDescent="0.45">
      <c r="A104">
        <v>1120</v>
      </c>
      <c r="B104">
        <v>2</v>
      </c>
      <c r="C104">
        <v>-1</v>
      </c>
      <c r="D104">
        <v>-2</v>
      </c>
      <c r="E104">
        <v>2</v>
      </c>
      <c r="F104">
        <v>-1</v>
      </c>
    </row>
    <row r="105" spans="1:6" x14ac:dyDescent="0.45">
      <c r="A105">
        <v>1120</v>
      </c>
      <c r="B105">
        <v>7</v>
      </c>
      <c r="C105">
        <v>-1</v>
      </c>
      <c r="D105">
        <v>1</v>
      </c>
      <c r="E105">
        <v>1</v>
      </c>
      <c r="F105">
        <v>-1</v>
      </c>
    </row>
    <row r="106" spans="1:6" x14ac:dyDescent="0.45">
      <c r="A106">
        <v>1130</v>
      </c>
      <c r="B106">
        <v>5</v>
      </c>
      <c r="C106">
        <v>-2</v>
      </c>
      <c r="D106">
        <v>-2</v>
      </c>
      <c r="E106">
        <v>-2</v>
      </c>
      <c r="F106">
        <v>-2</v>
      </c>
    </row>
    <row r="107" spans="1:6" x14ac:dyDescent="0.45">
      <c r="A107">
        <v>1130</v>
      </c>
      <c r="B107">
        <v>4</v>
      </c>
      <c r="C107">
        <v>-2</v>
      </c>
      <c r="D107">
        <v>2</v>
      </c>
      <c r="E107">
        <v>2</v>
      </c>
      <c r="F107">
        <v>-2</v>
      </c>
    </row>
    <row r="108" spans="1:6" x14ac:dyDescent="0.45">
      <c r="A108">
        <v>1130</v>
      </c>
      <c r="B108">
        <v>7</v>
      </c>
      <c r="C108">
        <v>1</v>
      </c>
      <c r="D108">
        <v>1</v>
      </c>
      <c r="E108">
        <v>2</v>
      </c>
      <c r="F108">
        <v>1</v>
      </c>
    </row>
    <row r="109" spans="1:6" x14ac:dyDescent="0.45">
      <c r="A109">
        <v>1130</v>
      </c>
      <c r="B109">
        <v>2</v>
      </c>
      <c r="C109">
        <v>-2</v>
      </c>
      <c r="D109">
        <v>-2</v>
      </c>
      <c r="E109">
        <v>2</v>
      </c>
      <c r="F109">
        <v>-2</v>
      </c>
    </row>
    <row r="110" spans="1:6" x14ac:dyDescent="0.45">
      <c r="A110">
        <v>1130</v>
      </c>
      <c r="B110">
        <v>8</v>
      </c>
      <c r="C110">
        <v>0</v>
      </c>
      <c r="D110">
        <v>-2</v>
      </c>
      <c r="E110">
        <v>2</v>
      </c>
      <c r="F110">
        <v>0</v>
      </c>
    </row>
    <row r="111" spans="1:6" x14ac:dyDescent="0.45">
      <c r="A111">
        <v>1130</v>
      </c>
      <c r="B111">
        <v>1</v>
      </c>
      <c r="C111">
        <v>1</v>
      </c>
      <c r="D111">
        <v>2</v>
      </c>
      <c r="E111">
        <v>2</v>
      </c>
      <c r="F111">
        <v>1</v>
      </c>
    </row>
    <row r="112" spans="1:6" x14ac:dyDescent="0.45">
      <c r="A112">
        <v>1130</v>
      </c>
      <c r="B112">
        <v>6</v>
      </c>
      <c r="C112">
        <v>-1</v>
      </c>
      <c r="D112">
        <v>-2</v>
      </c>
      <c r="E112">
        <v>2</v>
      </c>
      <c r="F112">
        <v>-1</v>
      </c>
    </row>
    <row r="113" spans="1:6" x14ac:dyDescent="0.45">
      <c r="A113">
        <v>1130</v>
      </c>
      <c r="B113">
        <v>3</v>
      </c>
      <c r="C113">
        <v>-2</v>
      </c>
      <c r="D113">
        <v>2</v>
      </c>
      <c r="E113">
        <v>2</v>
      </c>
      <c r="F113">
        <v>-2</v>
      </c>
    </row>
    <row r="114" spans="1:6" x14ac:dyDescent="0.45">
      <c r="A114">
        <v>1140</v>
      </c>
      <c r="B114">
        <v>1</v>
      </c>
      <c r="C114">
        <v>-1</v>
      </c>
      <c r="D114">
        <v>1</v>
      </c>
      <c r="E114">
        <v>2</v>
      </c>
      <c r="F114">
        <v>-1</v>
      </c>
    </row>
    <row r="115" spans="1:6" x14ac:dyDescent="0.45">
      <c r="A115">
        <v>1140</v>
      </c>
      <c r="B115">
        <v>8</v>
      </c>
      <c r="C115">
        <v>-2</v>
      </c>
      <c r="D115">
        <v>2</v>
      </c>
      <c r="E115">
        <v>2</v>
      </c>
      <c r="F115">
        <v>-2</v>
      </c>
    </row>
    <row r="116" spans="1:6" x14ac:dyDescent="0.45">
      <c r="A116">
        <v>1140</v>
      </c>
      <c r="B116">
        <v>3</v>
      </c>
      <c r="C116">
        <v>-2</v>
      </c>
      <c r="D116">
        <v>2</v>
      </c>
      <c r="E116">
        <v>1</v>
      </c>
      <c r="F116">
        <v>-2</v>
      </c>
    </row>
    <row r="117" spans="1:6" x14ac:dyDescent="0.45">
      <c r="A117">
        <v>1140</v>
      </c>
      <c r="B117">
        <v>6</v>
      </c>
      <c r="C117">
        <v>-2</v>
      </c>
      <c r="D117">
        <v>2</v>
      </c>
      <c r="E117">
        <v>2</v>
      </c>
      <c r="F117">
        <v>-2</v>
      </c>
    </row>
    <row r="118" spans="1:6" x14ac:dyDescent="0.45">
      <c r="A118">
        <v>1140</v>
      </c>
      <c r="B118">
        <v>4</v>
      </c>
      <c r="C118">
        <v>-2</v>
      </c>
      <c r="D118">
        <v>2</v>
      </c>
      <c r="E118">
        <v>2</v>
      </c>
      <c r="F118">
        <v>-2</v>
      </c>
    </row>
    <row r="119" spans="1:6" x14ac:dyDescent="0.45">
      <c r="A119">
        <v>1140</v>
      </c>
      <c r="B119">
        <v>5</v>
      </c>
      <c r="C119">
        <v>1</v>
      </c>
      <c r="D119">
        <v>-2</v>
      </c>
      <c r="E119">
        <v>2</v>
      </c>
      <c r="F119">
        <v>1</v>
      </c>
    </row>
    <row r="120" spans="1:6" x14ac:dyDescent="0.45">
      <c r="A120">
        <v>1140</v>
      </c>
      <c r="B120">
        <v>2</v>
      </c>
      <c r="C120">
        <v>-2</v>
      </c>
      <c r="D120">
        <v>1</v>
      </c>
      <c r="E120">
        <v>-1</v>
      </c>
      <c r="F120">
        <v>-2</v>
      </c>
    </row>
    <row r="121" spans="1:6" x14ac:dyDescent="0.45">
      <c r="A121">
        <v>1140</v>
      </c>
      <c r="B121">
        <v>7</v>
      </c>
      <c r="C121">
        <v>-2</v>
      </c>
      <c r="D121">
        <v>2</v>
      </c>
      <c r="E121">
        <v>2</v>
      </c>
      <c r="F121">
        <v>-2</v>
      </c>
    </row>
    <row r="122" spans="1:6" x14ac:dyDescent="0.45">
      <c r="A122">
        <v>1150</v>
      </c>
      <c r="B122">
        <v>5</v>
      </c>
      <c r="C122">
        <v>-2</v>
      </c>
      <c r="D122">
        <v>2</v>
      </c>
      <c r="E122">
        <v>2</v>
      </c>
      <c r="F122">
        <v>-2</v>
      </c>
    </row>
    <row r="123" spans="1:6" x14ac:dyDescent="0.45">
      <c r="A123">
        <v>1150</v>
      </c>
      <c r="B123">
        <v>4</v>
      </c>
      <c r="C123">
        <v>-1</v>
      </c>
      <c r="D123">
        <v>2</v>
      </c>
      <c r="E123">
        <v>-2</v>
      </c>
      <c r="F123">
        <v>-1</v>
      </c>
    </row>
    <row r="124" spans="1:6" x14ac:dyDescent="0.45">
      <c r="A124">
        <v>1150</v>
      </c>
      <c r="B124">
        <v>7</v>
      </c>
      <c r="C124">
        <v>0</v>
      </c>
      <c r="D124">
        <v>-2</v>
      </c>
      <c r="E124">
        <v>2</v>
      </c>
      <c r="F124">
        <v>0</v>
      </c>
    </row>
    <row r="125" spans="1:6" x14ac:dyDescent="0.45">
      <c r="A125">
        <v>1150</v>
      </c>
      <c r="B125">
        <v>2</v>
      </c>
      <c r="C125">
        <v>-2</v>
      </c>
      <c r="D125">
        <v>2</v>
      </c>
      <c r="E125">
        <v>2</v>
      </c>
      <c r="F125">
        <v>-2</v>
      </c>
    </row>
    <row r="126" spans="1:6" x14ac:dyDescent="0.45">
      <c r="A126">
        <v>1150</v>
      </c>
      <c r="B126">
        <v>8</v>
      </c>
      <c r="C126">
        <v>-2</v>
      </c>
      <c r="D126">
        <v>2</v>
      </c>
      <c r="E126">
        <v>-2</v>
      </c>
      <c r="F126">
        <v>-2</v>
      </c>
    </row>
    <row r="127" spans="1:6" x14ac:dyDescent="0.45">
      <c r="A127">
        <v>1150</v>
      </c>
      <c r="B127">
        <v>1</v>
      </c>
      <c r="C127">
        <v>-1</v>
      </c>
      <c r="D127">
        <v>1</v>
      </c>
      <c r="E127">
        <v>2</v>
      </c>
      <c r="F127">
        <v>-1</v>
      </c>
    </row>
    <row r="128" spans="1:6" x14ac:dyDescent="0.45">
      <c r="A128">
        <v>1150</v>
      </c>
      <c r="B128">
        <v>6</v>
      </c>
      <c r="C128">
        <v>0</v>
      </c>
      <c r="D128">
        <v>-2</v>
      </c>
      <c r="E128">
        <v>2</v>
      </c>
      <c r="F128">
        <v>0</v>
      </c>
    </row>
    <row r="129" spans="1:6" x14ac:dyDescent="0.45">
      <c r="A129">
        <v>1150</v>
      </c>
      <c r="B129">
        <v>3</v>
      </c>
      <c r="C129">
        <v>0</v>
      </c>
      <c r="D129">
        <v>-1</v>
      </c>
      <c r="E129">
        <v>1</v>
      </c>
      <c r="F129">
        <v>0</v>
      </c>
    </row>
    <row r="130" spans="1:6" x14ac:dyDescent="0.45">
      <c r="A130">
        <v>1160</v>
      </c>
      <c r="B130">
        <v>5</v>
      </c>
      <c r="C130">
        <v>2</v>
      </c>
      <c r="D130">
        <v>-1</v>
      </c>
      <c r="E130">
        <v>-1</v>
      </c>
      <c r="F130">
        <v>2</v>
      </c>
    </row>
    <row r="131" spans="1:6" x14ac:dyDescent="0.45">
      <c r="A131">
        <v>1160</v>
      </c>
      <c r="B131">
        <v>4</v>
      </c>
      <c r="C131">
        <v>-1</v>
      </c>
      <c r="D131">
        <v>-2</v>
      </c>
      <c r="E131">
        <v>1</v>
      </c>
      <c r="F131">
        <v>-1</v>
      </c>
    </row>
    <row r="132" spans="1:6" x14ac:dyDescent="0.45">
      <c r="A132">
        <v>1160</v>
      </c>
      <c r="B132">
        <v>7</v>
      </c>
      <c r="C132">
        <v>-2</v>
      </c>
      <c r="D132">
        <v>-2</v>
      </c>
      <c r="E132">
        <v>1</v>
      </c>
      <c r="F132">
        <v>-2</v>
      </c>
    </row>
    <row r="133" spans="1:6" x14ac:dyDescent="0.45">
      <c r="A133">
        <v>1160</v>
      </c>
      <c r="B133">
        <v>2</v>
      </c>
      <c r="C133">
        <v>2</v>
      </c>
      <c r="D133">
        <v>-2</v>
      </c>
      <c r="E133">
        <v>-2</v>
      </c>
      <c r="F133">
        <v>2</v>
      </c>
    </row>
    <row r="134" spans="1:6" x14ac:dyDescent="0.45">
      <c r="A134">
        <v>1160</v>
      </c>
      <c r="B134">
        <v>8</v>
      </c>
      <c r="C134">
        <v>-2</v>
      </c>
      <c r="D134">
        <v>1</v>
      </c>
      <c r="E134">
        <v>1</v>
      </c>
      <c r="F134">
        <v>-2</v>
      </c>
    </row>
    <row r="135" spans="1:6" x14ac:dyDescent="0.45">
      <c r="A135">
        <v>1160</v>
      </c>
      <c r="B135">
        <v>1</v>
      </c>
      <c r="C135">
        <v>-2</v>
      </c>
      <c r="D135">
        <v>2</v>
      </c>
      <c r="E135">
        <v>1</v>
      </c>
      <c r="F135">
        <v>-2</v>
      </c>
    </row>
    <row r="136" spans="1:6" x14ac:dyDescent="0.45">
      <c r="A136">
        <v>1160</v>
      </c>
      <c r="B136">
        <v>6</v>
      </c>
      <c r="C136">
        <v>1</v>
      </c>
      <c r="D136">
        <v>-1</v>
      </c>
      <c r="E136">
        <v>2</v>
      </c>
      <c r="F136">
        <v>1</v>
      </c>
    </row>
    <row r="137" spans="1:6" x14ac:dyDescent="0.45">
      <c r="A137">
        <v>1160</v>
      </c>
      <c r="B137">
        <v>3</v>
      </c>
      <c r="C137">
        <v>-1</v>
      </c>
      <c r="D137">
        <v>1</v>
      </c>
      <c r="E137">
        <v>1</v>
      </c>
      <c r="F137">
        <v>-1</v>
      </c>
    </row>
    <row r="138" spans="1:6" x14ac:dyDescent="0.45">
      <c r="A138">
        <v>1170</v>
      </c>
      <c r="B138">
        <v>1</v>
      </c>
      <c r="C138">
        <v>-1</v>
      </c>
      <c r="D138">
        <v>0</v>
      </c>
      <c r="E138">
        <v>1</v>
      </c>
      <c r="F138">
        <v>-1</v>
      </c>
    </row>
    <row r="139" spans="1:6" x14ac:dyDescent="0.45">
      <c r="A139">
        <v>1170</v>
      </c>
      <c r="B139">
        <v>8</v>
      </c>
      <c r="C139">
        <v>0</v>
      </c>
      <c r="D139">
        <v>1</v>
      </c>
      <c r="E139">
        <v>1</v>
      </c>
      <c r="F139">
        <v>0</v>
      </c>
    </row>
    <row r="140" spans="1:6" x14ac:dyDescent="0.45">
      <c r="A140">
        <v>1170</v>
      </c>
      <c r="B140">
        <v>3</v>
      </c>
      <c r="C140">
        <v>-1</v>
      </c>
      <c r="D140">
        <v>1</v>
      </c>
      <c r="E140">
        <v>2</v>
      </c>
      <c r="F140">
        <v>-1</v>
      </c>
    </row>
    <row r="141" spans="1:6" x14ac:dyDescent="0.45">
      <c r="A141">
        <v>1170</v>
      </c>
      <c r="B141">
        <v>6</v>
      </c>
      <c r="C141">
        <v>1</v>
      </c>
      <c r="D141">
        <v>2</v>
      </c>
      <c r="E141">
        <v>1</v>
      </c>
      <c r="F141">
        <v>1</v>
      </c>
    </row>
    <row r="142" spans="1:6" x14ac:dyDescent="0.45">
      <c r="A142">
        <v>1170</v>
      </c>
      <c r="B142">
        <v>4</v>
      </c>
      <c r="C142">
        <v>2</v>
      </c>
      <c r="D142">
        <v>2</v>
      </c>
      <c r="E142">
        <v>2</v>
      </c>
      <c r="F142">
        <v>2</v>
      </c>
    </row>
    <row r="143" spans="1:6" x14ac:dyDescent="0.45">
      <c r="A143">
        <v>1170</v>
      </c>
      <c r="B143">
        <v>5</v>
      </c>
      <c r="C143">
        <v>1</v>
      </c>
      <c r="D143">
        <v>0</v>
      </c>
      <c r="E143">
        <v>2</v>
      </c>
      <c r="F143">
        <v>1</v>
      </c>
    </row>
    <row r="144" spans="1:6" x14ac:dyDescent="0.45">
      <c r="A144">
        <v>1170</v>
      </c>
      <c r="B144">
        <v>2</v>
      </c>
      <c r="C144">
        <v>-1</v>
      </c>
      <c r="D144">
        <v>-1</v>
      </c>
      <c r="E144">
        <v>-1</v>
      </c>
      <c r="F144">
        <v>-1</v>
      </c>
    </row>
    <row r="145" spans="1:6" x14ac:dyDescent="0.45">
      <c r="A145">
        <v>1170</v>
      </c>
      <c r="B145">
        <v>7</v>
      </c>
      <c r="C145">
        <v>0</v>
      </c>
      <c r="D145">
        <v>2</v>
      </c>
      <c r="E145">
        <v>1</v>
      </c>
      <c r="F145">
        <v>0</v>
      </c>
    </row>
    <row r="146" spans="1:6" x14ac:dyDescent="0.45">
      <c r="A146">
        <v>1180</v>
      </c>
      <c r="B146">
        <v>5</v>
      </c>
      <c r="C146">
        <v>-1</v>
      </c>
      <c r="D146">
        <v>-1</v>
      </c>
      <c r="E146">
        <v>-1</v>
      </c>
      <c r="F146">
        <v>-1</v>
      </c>
    </row>
    <row r="147" spans="1:6" x14ac:dyDescent="0.45">
      <c r="A147">
        <v>1180</v>
      </c>
      <c r="B147">
        <v>4</v>
      </c>
      <c r="C147">
        <v>-1</v>
      </c>
      <c r="D147">
        <v>2</v>
      </c>
      <c r="E147">
        <v>2</v>
      </c>
      <c r="F147">
        <v>-1</v>
      </c>
    </row>
    <row r="148" spans="1:6" x14ac:dyDescent="0.45">
      <c r="A148">
        <v>1180</v>
      </c>
      <c r="B148">
        <v>7</v>
      </c>
      <c r="C148">
        <v>-2</v>
      </c>
      <c r="D148">
        <v>2</v>
      </c>
      <c r="E148">
        <v>-1</v>
      </c>
      <c r="F148">
        <v>-2</v>
      </c>
    </row>
    <row r="149" spans="1:6" x14ac:dyDescent="0.45">
      <c r="A149">
        <v>1180</v>
      </c>
      <c r="B149">
        <v>2</v>
      </c>
      <c r="C149">
        <v>-2</v>
      </c>
      <c r="D149">
        <v>1</v>
      </c>
      <c r="E149">
        <v>-2</v>
      </c>
      <c r="F149">
        <v>-2</v>
      </c>
    </row>
    <row r="150" spans="1:6" x14ac:dyDescent="0.45">
      <c r="A150">
        <v>1180</v>
      </c>
      <c r="B150">
        <v>8</v>
      </c>
      <c r="C150">
        <v>-2</v>
      </c>
      <c r="D150">
        <v>1</v>
      </c>
      <c r="E150">
        <v>2</v>
      </c>
      <c r="F150">
        <v>-2</v>
      </c>
    </row>
    <row r="151" spans="1:6" x14ac:dyDescent="0.45">
      <c r="A151">
        <v>1180</v>
      </c>
      <c r="B151">
        <v>1</v>
      </c>
      <c r="C151">
        <v>-2</v>
      </c>
      <c r="D151">
        <v>2</v>
      </c>
      <c r="E151">
        <v>2</v>
      </c>
      <c r="F151">
        <v>-2</v>
      </c>
    </row>
    <row r="152" spans="1:6" x14ac:dyDescent="0.45">
      <c r="A152">
        <v>1180</v>
      </c>
      <c r="B152">
        <v>6</v>
      </c>
      <c r="C152">
        <v>-2</v>
      </c>
      <c r="D152">
        <v>-2</v>
      </c>
      <c r="E152">
        <v>2</v>
      </c>
      <c r="F152">
        <v>-2</v>
      </c>
    </row>
    <row r="153" spans="1:6" x14ac:dyDescent="0.45">
      <c r="A153">
        <v>1180</v>
      </c>
      <c r="B153">
        <v>3</v>
      </c>
      <c r="C153">
        <v>-1</v>
      </c>
      <c r="D153">
        <v>2</v>
      </c>
      <c r="E153">
        <v>2</v>
      </c>
      <c r="F153">
        <v>-1</v>
      </c>
    </row>
    <row r="154" spans="1:6" x14ac:dyDescent="0.45">
      <c r="A154">
        <v>1190</v>
      </c>
      <c r="B154">
        <v>1</v>
      </c>
      <c r="C154">
        <v>-1</v>
      </c>
      <c r="D154">
        <v>-1</v>
      </c>
      <c r="E154">
        <v>-1</v>
      </c>
      <c r="F154">
        <v>-1</v>
      </c>
    </row>
    <row r="155" spans="1:6" x14ac:dyDescent="0.45">
      <c r="A155">
        <v>1190</v>
      </c>
      <c r="B155">
        <v>8</v>
      </c>
      <c r="C155">
        <v>-1</v>
      </c>
      <c r="D155">
        <v>2</v>
      </c>
      <c r="E155">
        <v>-1</v>
      </c>
      <c r="F155">
        <v>-1</v>
      </c>
    </row>
    <row r="156" spans="1:6" x14ac:dyDescent="0.45">
      <c r="A156">
        <v>1190</v>
      </c>
      <c r="B156">
        <v>3</v>
      </c>
      <c r="C156">
        <v>-1</v>
      </c>
      <c r="D156">
        <v>-2</v>
      </c>
      <c r="E156">
        <v>2</v>
      </c>
      <c r="F156">
        <v>-1</v>
      </c>
    </row>
    <row r="157" spans="1:6" x14ac:dyDescent="0.45">
      <c r="A157">
        <v>1190</v>
      </c>
      <c r="B157">
        <v>6</v>
      </c>
      <c r="C157">
        <v>1</v>
      </c>
      <c r="D157">
        <v>-1</v>
      </c>
      <c r="E157">
        <v>-1</v>
      </c>
      <c r="F157">
        <v>1</v>
      </c>
    </row>
    <row r="158" spans="1:6" x14ac:dyDescent="0.45">
      <c r="A158">
        <v>1190</v>
      </c>
      <c r="B158">
        <v>4</v>
      </c>
      <c r="C158">
        <v>-1</v>
      </c>
      <c r="D158">
        <v>-1</v>
      </c>
      <c r="E158">
        <v>2</v>
      </c>
      <c r="F158">
        <v>-1</v>
      </c>
    </row>
    <row r="159" spans="1:6" x14ac:dyDescent="0.45">
      <c r="A159">
        <v>1190</v>
      </c>
      <c r="B159">
        <v>5</v>
      </c>
      <c r="C159">
        <v>1</v>
      </c>
      <c r="D159">
        <v>-1</v>
      </c>
      <c r="E159">
        <v>2</v>
      </c>
      <c r="F159">
        <v>1</v>
      </c>
    </row>
    <row r="160" spans="1:6" x14ac:dyDescent="0.45">
      <c r="A160">
        <v>1190</v>
      </c>
      <c r="B160">
        <v>2</v>
      </c>
      <c r="C160">
        <v>-2</v>
      </c>
      <c r="D160">
        <v>1</v>
      </c>
      <c r="E160">
        <v>-1</v>
      </c>
      <c r="F160">
        <v>-2</v>
      </c>
    </row>
    <row r="161" spans="1:6" x14ac:dyDescent="0.45">
      <c r="A161">
        <v>1190</v>
      </c>
      <c r="B161">
        <v>7</v>
      </c>
      <c r="C161">
        <v>-1</v>
      </c>
      <c r="D161">
        <v>2</v>
      </c>
      <c r="E161">
        <v>2</v>
      </c>
      <c r="F161">
        <v>-1</v>
      </c>
    </row>
    <row r="162" spans="1:6" x14ac:dyDescent="0.45">
      <c r="A162">
        <v>1200</v>
      </c>
      <c r="B162">
        <v>5</v>
      </c>
      <c r="C162">
        <v>-2</v>
      </c>
      <c r="D162">
        <v>-2</v>
      </c>
      <c r="E162">
        <v>-2</v>
      </c>
      <c r="F162">
        <v>-2</v>
      </c>
    </row>
    <row r="163" spans="1:6" x14ac:dyDescent="0.45">
      <c r="A163">
        <v>1200</v>
      </c>
      <c r="B163">
        <v>4</v>
      </c>
      <c r="C163">
        <v>-2</v>
      </c>
      <c r="D163">
        <v>2</v>
      </c>
      <c r="E163">
        <v>2</v>
      </c>
      <c r="F163">
        <v>-2</v>
      </c>
    </row>
    <row r="164" spans="1:6" x14ac:dyDescent="0.45">
      <c r="A164">
        <v>1200</v>
      </c>
      <c r="B164">
        <v>7</v>
      </c>
      <c r="C164">
        <v>-2</v>
      </c>
      <c r="D164">
        <v>2</v>
      </c>
      <c r="E164">
        <v>2</v>
      </c>
      <c r="F164">
        <v>-2</v>
      </c>
    </row>
    <row r="165" spans="1:6" x14ac:dyDescent="0.45">
      <c r="A165">
        <v>1200</v>
      </c>
      <c r="B165">
        <v>2</v>
      </c>
      <c r="C165">
        <v>-2</v>
      </c>
      <c r="D165">
        <v>-2</v>
      </c>
      <c r="E165">
        <v>-2</v>
      </c>
      <c r="F165">
        <v>-2</v>
      </c>
    </row>
    <row r="166" spans="1:6" x14ac:dyDescent="0.45">
      <c r="A166">
        <v>1200</v>
      </c>
      <c r="B166">
        <v>8</v>
      </c>
      <c r="C166">
        <v>-1</v>
      </c>
      <c r="D166">
        <v>-2</v>
      </c>
      <c r="E166">
        <v>2</v>
      </c>
      <c r="F166">
        <v>-1</v>
      </c>
    </row>
    <row r="167" spans="1:6" x14ac:dyDescent="0.45">
      <c r="A167">
        <v>1200</v>
      </c>
      <c r="B167">
        <v>1</v>
      </c>
      <c r="C167">
        <v>-1</v>
      </c>
      <c r="D167">
        <v>2</v>
      </c>
      <c r="E167">
        <v>2</v>
      </c>
      <c r="F167">
        <v>-1</v>
      </c>
    </row>
    <row r="168" spans="1:6" x14ac:dyDescent="0.45">
      <c r="A168">
        <v>1200</v>
      </c>
      <c r="B168">
        <v>6</v>
      </c>
      <c r="C168">
        <v>-2</v>
      </c>
      <c r="D168">
        <v>-1</v>
      </c>
      <c r="E168">
        <v>2</v>
      </c>
      <c r="F168">
        <v>-2</v>
      </c>
    </row>
    <row r="169" spans="1:6" x14ac:dyDescent="0.45">
      <c r="A169">
        <v>1200</v>
      </c>
      <c r="B169">
        <v>3</v>
      </c>
      <c r="C169">
        <v>-2</v>
      </c>
      <c r="D169">
        <v>1</v>
      </c>
      <c r="E169">
        <v>2</v>
      </c>
      <c r="F169">
        <v>-2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685E-C33E-40E2-A1FC-0C665D9E4C19}">
  <dimension ref="A1:T169"/>
  <sheetViews>
    <sheetView zoomScale="85" zoomScaleNormal="85" workbookViewId="0">
      <selection activeCell="R19" sqref="R19:T32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0</v>
      </c>
      <c r="D2">
        <v>1</v>
      </c>
      <c r="E2">
        <v>2</v>
      </c>
      <c r="F2">
        <v>0</v>
      </c>
      <c r="H2" t="s">
        <v>49</v>
      </c>
    </row>
    <row r="3" spans="1:14" x14ac:dyDescent="0.45">
      <c r="A3">
        <v>1000</v>
      </c>
      <c r="B3">
        <v>4</v>
      </c>
      <c r="C3">
        <v>1</v>
      </c>
      <c r="D3">
        <v>-1</v>
      </c>
      <c r="E3">
        <v>2</v>
      </c>
      <c r="F3">
        <v>1</v>
      </c>
    </row>
    <row r="4" spans="1:14" ht="18.600000000000001" thickBot="1" x14ac:dyDescent="0.5">
      <c r="A4">
        <v>1000</v>
      </c>
      <c r="B4">
        <v>7</v>
      </c>
      <c r="C4">
        <v>1</v>
      </c>
      <c r="D4">
        <v>1</v>
      </c>
      <c r="E4">
        <v>2</v>
      </c>
      <c r="F4">
        <v>1</v>
      </c>
      <c r="H4" t="s">
        <v>50</v>
      </c>
    </row>
    <row r="5" spans="1:14" x14ac:dyDescent="0.45">
      <c r="A5">
        <v>1000</v>
      </c>
      <c r="B5">
        <v>2</v>
      </c>
      <c r="C5">
        <v>1</v>
      </c>
      <c r="D5">
        <v>1</v>
      </c>
      <c r="E5">
        <v>0</v>
      </c>
      <c r="F5">
        <v>1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0</v>
      </c>
      <c r="D6">
        <v>-1</v>
      </c>
      <c r="E6">
        <v>1</v>
      </c>
      <c r="F6">
        <v>0</v>
      </c>
      <c r="H6" t="s">
        <v>46</v>
      </c>
      <c r="I6">
        <v>168</v>
      </c>
      <c r="J6">
        <v>65</v>
      </c>
      <c r="K6">
        <v>0.38690476190476192</v>
      </c>
      <c r="L6">
        <v>1.5440191046478471</v>
      </c>
    </row>
    <row r="7" spans="1:14" x14ac:dyDescent="0.45">
      <c r="A7">
        <v>1000</v>
      </c>
      <c r="B7">
        <v>1</v>
      </c>
      <c r="C7">
        <v>0</v>
      </c>
      <c r="D7">
        <v>0</v>
      </c>
      <c r="E7">
        <v>2</v>
      </c>
      <c r="F7">
        <v>0</v>
      </c>
      <c r="H7" t="s">
        <v>47</v>
      </c>
      <c r="I7">
        <v>168</v>
      </c>
      <c r="J7">
        <v>45</v>
      </c>
      <c r="K7">
        <v>0.26785714285714285</v>
      </c>
      <c r="L7">
        <v>1.9577630453378956</v>
      </c>
    </row>
    <row r="8" spans="1:14" ht="18.600000000000001" thickBot="1" x14ac:dyDescent="0.5">
      <c r="A8">
        <v>1000</v>
      </c>
      <c r="B8">
        <v>6</v>
      </c>
      <c r="C8">
        <v>0</v>
      </c>
      <c r="D8">
        <v>-1</v>
      </c>
      <c r="E8">
        <v>2</v>
      </c>
      <c r="F8">
        <v>0</v>
      </c>
      <c r="H8" s="3" t="s">
        <v>48</v>
      </c>
      <c r="I8" s="3">
        <v>168</v>
      </c>
      <c r="J8" s="3">
        <v>136</v>
      </c>
      <c r="K8" s="3">
        <v>0.80952380952380953</v>
      </c>
      <c r="L8" s="3">
        <v>1.5084117479327059</v>
      </c>
    </row>
    <row r="9" spans="1:14" x14ac:dyDescent="0.45">
      <c r="A9">
        <v>1000</v>
      </c>
      <c r="B9">
        <v>3</v>
      </c>
      <c r="C9">
        <v>0</v>
      </c>
      <c r="D9">
        <v>2</v>
      </c>
      <c r="E9">
        <v>2</v>
      </c>
      <c r="F9">
        <v>0</v>
      </c>
    </row>
    <row r="10" spans="1:14" x14ac:dyDescent="0.45">
      <c r="A10">
        <v>1010</v>
      </c>
      <c r="B10">
        <v>5</v>
      </c>
      <c r="C10">
        <v>0</v>
      </c>
      <c r="D10">
        <v>-1</v>
      </c>
      <c r="E10">
        <v>1</v>
      </c>
      <c r="F10">
        <v>0</v>
      </c>
    </row>
    <row r="11" spans="1:14" ht="18.600000000000001" thickBot="1" x14ac:dyDescent="0.5">
      <c r="A11">
        <v>1010</v>
      </c>
      <c r="B11">
        <v>4</v>
      </c>
      <c r="C11">
        <v>1</v>
      </c>
      <c r="D11">
        <v>1</v>
      </c>
      <c r="E11">
        <v>0</v>
      </c>
      <c r="F11">
        <v>1</v>
      </c>
      <c r="H11" t="s">
        <v>56</v>
      </c>
    </row>
    <row r="12" spans="1:14" x14ac:dyDescent="0.45">
      <c r="A12">
        <v>1010</v>
      </c>
      <c r="B12">
        <v>7</v>
      </c>
      <c r="C12">
        <v>0</v>
      </c>
      <c r="D12">
        <v>1</v>
      </c>
      <c r="E12">
        <v>1</v>
      </c>
      <c r="F12">
        <v>0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0</v>
      </c>
      <c r="D13">
        <v>0</v>
      </c>
      <c r="E13">
        <v>0</v>
      </c>
      <c r="F13">
        <v>0</v>
      </c>
      <c r="H13" t="s">
        <v>63</v>
      </c>
      <c r="I13">
        <v>27.226190476186503</v>
      </c>
      <c r="J13">
        <v>2</v>
      </c>
      <c r="K13">
        <v>13.613095238093251</v>
      </c>
      <c r="L13">
        <v>8.151238564089704</v>
      </c>
      <c r="M13">
        <v>3.2835114655294095E-4</v>
      </c>
      <c r="N13">
        <v>3.0137168925158462</v>
      </c>
    </row>
    <row r="14" spans="1:14" x14ac:dyDescent="0.45">
      <c r="A14">
        <v>1010</v>
      </c>
      <c r="B14">
        <v>8</v>
      </c>
      <c r="C14">
        <v>0</v>
      </c>
      <c r="D14">
        <v>0</v>
      </c>
      <c r="E14">
        <v>0</v>
      </c>
      <c r="F14">
        <v>0</v>
      </c>
      <c r="H14" t="s">
        <v>64</v>
      </c>
      <c r="I14">
        <v>836.70238095238051</v>
      </c>
      <c r="J14">
        <v>501</v>
      </c>
      <c r="K14">
        <v>1.6700646326394821</v>
      </c>
    </row>
    <row r="15" spans="1:14" x14ac:dyDescent="0.45">
      <c r="A15">
        <v>1010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14" ht="18.600000000000001" thickBot="1" x14ac:dyDescent="0.5">
      <c r="A16">
        <v>1010</v>
      </c>
      <c r="B16">
        <v>6</v>
      </c>
      <c r="C16">
        <v>0</v>
      </c>
      <c r="D16">
        <v>1</v>
      </c>
      <c r="E16">
        <v>1</v>
      </c>
      <c r="F16">
        <v>0</v>
      </c>
      <c r="H16" s="3" t="s">
        <v>53</v>
      </c>
      <c r="I16" s="3">
        <v>863.92857142856701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0</v>
      </c>
      <c r="D17">
        <v>-1</v>
      </c>
      <c r="E17">
        <v>1</v>
      </c>
      <c r="F17">
        <v>0</v>
      </c>
    </row>
    <row r="18" spans="1:20" x14ac:dyDescent="0.45">
      <c r="A18">
        <v>1020</v>
      </c>
      <c r="B18">
        <v>5</v>
      </c>
      <c r="C18">
        <v>1</v>
      </c>
      <c r="D18">
        <v>2</v>
      </c>
      <c r="E18">
        <v>-2</v>
      </c>
      <c r="F18">
        <v>1</v>
      </c>
    </row>
    <row r="19" spans="1:20" x14ac:dyDescent="0.45">
      <c r="A19">
        <v>1020</v>
      </c>
      <c r="B19">
        <v>4</v>
      </c>
      <c r="C19">
        <v>1</v>
      </c>
      <c r="D19">
        <v>-2</v>
      </c>
      <c r="E19">
        <v>1</v>
      </c>
      <c r="F19">
        <v>1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2</v>
      </c>
      <c r="D20">
        <v>0</v>
      </c>
      <c r="E20">
        <v>1</v>
      </c>
      <c r="F20">
        <v>2</v>
      </c>
    </row>
    <row r="21" spans="1:20" x14ac:dyDescent="0.45">
      <c r="A21">
        <v>1020</v>
      </c>
      <c r="B21">
        <v>2</v>
      </c>
      <c r="C21">
        <v>2</v>
      </c>
      <c r="D21">
        <v>2</v>
      </c>
      <c r="E21">
        <v>1</v>
      </c>
      <c r="F21">
        <v>2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1</v>
      </c>
      <c r="D22">
        <v>1</v>
      </c>
      <c r="E22">
        <v>1</v>
      </c>
      <c r="F22">
        <v>1</v>
      </c>
      <c r="H22" t="s">
        <v>54</v>
      </c>
      <c r="I22">
        <v>0.38690476190476192</v>
      </c>
      <c r="J22">
        <v>0.26785714285714285</v>
      </c>
      <c r="M22" t="s">
        <v>54</v>
      </c>
      <c r="N22">
        <v>0.26785714285714285</v>
      </c>
      <c r="O22">
        <v>0.80952380952380953</v>
      </c>
      <c r="R22" t="s">
        <v>54</v>
      </c>
      <c r="S22">
        <v>0.80952380952380953</v>
      </c>
      <c r="T22">
        <v>0.38690476190476192</v>
      </c>
    </row>
    <row r="23" spans="1:20" x14ac:dyDescent="0.45">
      <c r="A23">
        <v>1020</v>
      </c>
      <c r="B23">
        <v>1</v>
      </c>
      <c r="C23">
        <v>1</v>
      </c>
      <c r="D23">
        <v>1</v>
      </c>
      <c r="E23">
        <v>1</v>
      </c>
      <c r="F23">
        <v>1</v>
      </c>
      <c r="H23" t="s">
        <v>55</v>
      </c>
      <c r="I23">
        <v>1.5440191046478471</v>
      </c>
      <c r="J23">
        <v>1.9577630453378956</v>
      </c>
      <c r="M23" t="s">
        <v>55</v>
      </c>
      <c r="N23">
        <v>1.9577630453378956</v>
      </c>
      <c r="O23">
        <v>1.5084117479327059</v>
      </c>
      <c r="R23" t="s">
        <v>55</v>
      </c>
      <c r="S23">
        <v>1.5084117479327059</v>
      </c>
      <c r="T23">
        <v>1.5440191046478471</v>
      </c>
    </row>
    <row r="24" spans="1:20" x14ac:dyDescent="0.45">
      <c r="A24">
        <v>1020</v>
      </c>
      <c r="B24">
        <v>6</v>
      </c>
      <c r="C24">
        <v>2</v>
      </c>
      <c r="D24">
        <v>-1</v>
      </c>
      <c r="E24">
        <v>2</v>
      </c>
      <c r="F24">
        <v>2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2</v>
      </c>
      <c r="D25">
        <v>1</v>
      </c>
      <c r="E25">
        <v>1</v>
      </c>
      <c r="F25">
        <v>2</v>
      </c>
      <c r="H25" t="s">
        <v>82</v>
      </c>
      <c r="I25">
        <v>9.8464671345167273E-2</v>
      </c>
      <c r="M25" t="s">
        <v>82</v>
      </c>
      <c r="N25">
        <v>0.11698046268640103</v>
      </c>
      <c r="R25" t="s">
        <v>82</v>
      </c>
      <c r="S25">
        <v>9.5663861467677247E-2</v>
      </c>
    </row>
    <row r="26" spans="1:20" x14ac:dyDescent="0.45">
      <c r="A26">
        <v>1030</v>
      </c>
      <c r="B26">
        <v>1</v>
      </c>
      <c r="C26">
        <v>1</v>
      </c>
      <c r="D26">
        <v>-1</v>
      </c>
      <c r="E26">
        <v>1</v>
      </c>
      <c r="F26">
        <v>1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-1</v>
      </c>
      <c r="D27">
        <v>2</v>
      </c>
      <c r="E27">
        <v>2</v>
      </c>
      <c r="F27">
        <v>-1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1</v>
      </c>
      <c r="D28">
        <v>-2</v>
      </c>
      <c r="E28">
        <v>1</v>
      </c>
      <c r="F28">
        <v>1</v>
      </c>
      <c r="H28" t="s">
        <v>84</v>
      </c>
      <c r="I28">
        <v>0.86810719862425345</v>
      </c>
      <c r="M28" t="s">
        <v>84</v>
      </c>
      <c r="N28">
        <v>-4.0108252670155968</v>
      </c>
      <c r="R28" t="s">
        <v>84</v>
      </c>
      <c r="S28">
        <v>3.2969646034214843</v>
      </c>
    </row>
    <row r="29" spans="1:20" x14ac:dyDescent="0.45">
      <c r="A29">
        <v>1030</v>
      </c>
      <c r="B29">
        <v>6</v>
      </c>
      <c r="C29">
        <v>1</v>
      </c>
      <c r="D29">
        <v>-2</v>
      </c>
      <c r="E29">
        <v>1</v>
      </c>
      <c r="F29">
        <v>1</v>
      </c>
      <c r="H29" t="s">
        <v>85</v>
      </c>
      <c r="I29">
        <v>0.19329071293698841</v>
      </c>
      <c r="M29" t="s">
        <v>85</v>
      </c>
      <c r="N29">
        <v>4.5549112664012038E-5</v>
      </c>
      <c r="R29" t="s">
        <v>85</v>
      </c>
      <c r="S29">
        <v>5.9702263394827138E-4</v>
      </c>
    </row>
    <row r="30" spans="1:20" x14ac:dyDescent="0.45">
      <c r="A30">
        <v>1030</v>
      </c>
      <c r="B30">
        <v>4</v>
      </c>
      <c r="C30">
        <v>2</v>
      </c>
      <c r="D30">
        <v>-1</v>
      </c>
      <c r="E30">
        <v>2</v>
      </c>
      <c r="F30">
        <v>2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1</v>
      </c>
      <c r="D31">
        <v>2</v>
      </c>
      <c r="E31">
        <v>-2</v>
      </c>
      <c r="F31">
        <v>1</v>
      </c>
      <c r="H31" t="s">
        <v>87</v>
      </c>
      <c r="I31">
        <v>0.38658142587397681</v>
      </c>
      <c r="M31" t="s">
        <v>87</v>
      </c>
      <c r="N31">
        <v>9.1098225328024076E-5</v>
      </c>
      <c r="R31" t="s">
        <v>87</v>
      </c>
      <c r="S31">
        <v>1.1940452678965428E-3</v>
      </c>
    </row>
    <row r="32" spans="1:20" ht="18.600000000000001" thickBot="1" x14ac:dyDescent="0.5">
      <c r="A32">
        <v>1030</v>
      </c>
      <c r="B32">
        <v>2</v>
      </c>
      <c r="C32">
        <v>2</v>
      </c>
      <c r="D32">
        <v>2</v>
      </c>
      <c r="E32">
        <v>-1</v>
      </c>
      <c r="F32">
        <v>2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2</v>
      </c>
      <c r="D33">
        <v>-2</v>
      </c>
      <c r="E33">
        <v>1</v>
      </c>
      <c r="F33">
        <v>2</v>
      </c>
    </row>
    <row r="34" spans="1:6" x14ac:dyDescent="0.45">
      <c r="A34">
        <v>1040</v>
      </c>
      <c r="B34">
        <v>1</v>
      </c>
      <c r="C34">
        <v>-1</v>
      </c>
      <c r="D34">
        <v>1</v>
      </c>
      <c r="E34">
        <v>1</v>
      </c>
      <c r="F34">
        <v>-1</v>
      </c>
    </row>
    <row r="35" spans="1:6" x14ac:dyDescent="0.45">
      <c r="A35">
        <v>1040</v>
      </c>
      <c r="B35">
        <v>8</v>
      </c>
      <c r="C35">
        <v>-1</v>
      </c>
      <c r="D35">
        <v>-1</v>
      </c>
      <c r="E35">
        <v>1</v>
      </c>
      <c r="F35">
        <v>-1</v>
      </c>
    </row>
    <row r="36" spans="1:6" x14ac:dyDescent="0.45">
      <c r="A36">
        <v>1040</v>
      </c>
      <c r="B36">
        <v>3</v>
      </c>
      <c r="C36">
        <v>1</v>
      </c>
      <c r="D36">
        <v>1</v>
      </c>
      <c r="E36">
        <v>0</v>
      </c>
      <c r="F36">
        <v>1</v>
      </c>
    </row>
    <row r="37" spans="1:6" x14ac:dyDescent="0.45">
      <c r="A37">
        <v>1040</v>
      </c>
      <c r="B37">
        <v>6</v>
      </c>
      <c r="C37">
        <v>0</v>
      </c>
      <c r="D37">
        <v>-2</v>
      </c>
      <c r="E37">
        <v>2</v>
      </c>
      <c r="F37">
        <v>0</v>
      </c>
    </row>
    <row r="38" spans="1:6" x14ac:dyDescent="0.45">
      <c r="A38">
        <v>1040</v>
      </c>
      <c r="B38">
        <v>4</v>
      </c>
      <c r="C38">
        <v>-2</v>
      </c>
      <c r="D38">
        <v>1</v>
      </c>
      <c r="E38">
        <v>0</v>
      </c>
      <c r="F38">
        <v>-2</v>
      </c>
    </row>
    <row r="39" spans="1:6" x14ac:dyDescent="0.45">
      <c r="A39">
        <v>1040</v>
      </c>
      <c r="B39">
        <v>5</v>
      </c>
      <c r="C39">
        <v>-1</v>
      </c>
      <c r="D39">
        <v>1</v>
      </c>
      <c r="E39">
        <v>2</v>
      </c>
      <c r="F39">
        <v>-1</v>
      </c>
    </row>
    <row r="40" spans="1:6" x14ac:dyDescent="0.45">
      <c r="A40">
        <v>1040</v>
      </c>
      <c r="B40">
        <v>2</v>
      </c>
      <c r="C40">
        <v>0</v>
      </c>
      <c r="D40">
        <v>0</v>
      </c>
      <c r="E40">
        <v>1</v>
      </c>
      <c r="F40">
        <v>0</v>
      </c>
    </row>
    <row r="41" spans="1:6" x14ac:dyDescent="0.45">
      <c r="A41">
        <v>1040</v>
      </c>
      <c r="B41">
        <v>7</v>
      </c>
      <c r="C41">
        <v>-1</v>
      </c>
      <c r="D41">
        <v>-2</v>
      </c>
      <c r="E41">
        <v>1</v>
      </c>
      <c r="F41">
        <v>-1</v>
      </c>
    </row>
    <row r="42" spans="1:6" x14ac:dyDescent="0.45">
      <c r="A42">
        <v>1050</v>
      </c>
      <c r="B42">
        <v>1</v>
      </c>
      <c r="C42">
        <v>2</v>
      </c>
      <c r="D42">
        <v>-1</v>
      </c>
      <c r="E42">
        <v>2</v>
      </c>
      <c r="F42">
        <v>2</v>
      </c>
    </row>
    <row r="43" spans="1:6" x14ac:dyDescent="0.45">
      <c r="A43">
        <v>1050</v>
      </c>
      <c r="B43">
        <v>8</v>
      </c>
      <c r="C43">
        <v>2</v>
      </c>
      <c r="D43">
        <v>1</v>
      </c>
      <c r="E43">
        <v>-1</v>
      </c>
      <c r="F43">
        <v>2</v>
      </c>
    </row>
    <row r="44" spans="1:6" x14ac:dyDescent="0.45">
      <c r="A44">
        <v>1050</v>
      </c>
      <c r="B44">
        <v>3</v>
      </c>
      <c r="C44">
        <v>2</v>
      </c>
      <c r="D44">
        <v>1</v>
      </c>
      <c r="E44">
        <v>2</v>
      </c>
      <c r="F44">
        <v>2</v>
      </c>
    </row>
    <row r="45" spans="1:6" x14ac:dyDescent="0.45">
      <c r="A45">
        <v>1050</v>
      </c>
      <c r="B45">
        <v>6</v>
      </c>
      <c r="C45">
        <v>2</v>
      </c>
      <c r="D45">
        <v>-1</v>
      </c>
      <c r="E45">
        <v>-1</v>
      </c>
      <c r="F45">
        <v>2</v>
      </c>
    </row>
    <row r="46" spans="1:6" x14ac:dyDescent="0.45">
      <c r="A46">
        <v>1050</v>
      </c>
      <c r="B46">
        <v>4</v>
      </c>
      <c r="C46">
        <v>2</v>
      </c>
      <c r="D46">
        <v>-2</v>
      </c>
      <c r="E46">
        <v>1</v>
      </c>
      <c r="F46">
        <v>2</v>
      </c>
    </row>
    <row r="47" spans="1:6" x14ac:dyDescent="0.45">
      <c r="A47">
        <v>1050</v>
      </c>
      <c r="B47">
        <v>5</v>
      </c>
      <c r="C47">
        <v>2</v>
      </c>
      <c r="D47">
        <v>2</v>
      </c>
      <c r="E47">
        <v>2</v>
      </c>
      <c r="F47">
        <v>2</v>
      </c>
    </row>
    <row r="48" spans="1:6" x14ac:dyDescent="0.45">
      <c r="A48">
        <v>1050</v>
      </c>
      <c r="B48">
        <v>2</v>
      </c>
      <c r="C48">
        <v>2</v>
      </c>
      <c r="D48">
        <v>2</v>
      </c>
      <c r="E48">
        <v>2</v>
      </c>
      <c r="F48">
        <v>2</v>
      </c>
    </row>
    <row r="49" spans="1:6" x14ac:dyDescent="0.45">
      <c r="A49">
        <v>1050</v>
      </c>
      <c r="B49">
        <v>7</v>
      </c>
      <c r="C49">
        <v>2</v>
      </c>
      <c r="D49">
        <v>-1</v>
      </c>
      <c r="E49">
        <v>2</v>
      </c>
      <c r="F49">
        <v>2</v>
      </c>
    </row>
    <row r="50" spans="1:6" x14ac:dyDescent="0.45">
      <c r="A50">
        <v>1060</v>
      </c>
      <c r="B50">
        <v>5</v>
      </c>
      <c r="C50">
        <v>2</v>
      </c>
      <c r="D50">
        <v>1</v>
      </c>
      <c r="E50">
        <v>2</v>
      </c>
      <c r="F50">
        <v>2</v>
      </c>
    </row>
    <row r="51" spans="1:6" x14ac:dyDescent="0.45">
      <c r="A51">
        <v>1060</v>
      </c>
      <c r="B51">
        <v>4</v>
      </c>
      <c r="C51">
        <v>1</v>
      </c>
      <c r="D51">
        <v>-2</v>
      </c>
      <c r="E51">
        <v>-1</v>
      </c>
      <c r="F51">
        <v>1</v>
      </c>
    </row>
    <row r="52" spans="1:6" x14ac:dyDescent="0.45">
      <c r="A52">
        <v>1060</v>
      </c>
      <c r="B52">
        <v>7</v>
      </c>
      <c r="C52">
        <v>0</v>
      </c>
      <c r="D52">
        <v>1</v>
      </c>
      <c r="E52">
        <v>-1</v>
      </c>
      <c r="F52">
        <v>0</v>
      </c>
    </row>
    <row r="53" spans="1:6" x14ac:dyDescent="0.45">
      <c r="A53">
        <v>1060</v>
      </c>
      <c r="B53">
        <v>2</v>
      </c>
      <c r="C53">
        <v>1</v>
      </c>
      <c r="D53">
        <v>2</v>
      </c>
      <c r="E53">
        <v>1</v>
      </c>
      <c r="F53">
        <v>1</v>
      </c>
    </row>
    <row r="54" spans="1:6" x14ac:dyDescent="0.45">
      <c r="A54">
        <v>1060</v>
      </c>
      <c r="B54">
        <v>8</v>
      </c>
      <c r="C54">
        <v>0</v>
      </c>
      <c r="D54">
        <v>-1</v>
      </c>
      <c r="E54">
        <v>-1</v>
      </c>
      <c r="F54">
        <v>0</v>
      </c>
    </row>
    <row r="55" spans="1:6" x14ac:dyDescent="0.45">
      <c r="A55">
        <v>1060</v>
      </c>
      <c r="B55">
        <v>1</v>
      </c>
      <c r="C55">
        <v>1</v>
      </c>
      <c r="D55">
        <v>-1</v>
      </c>
      <c r="E55">
        <v>2</v>
      </c>
      <c r="F55">
        <v>1</v>
      </c>
    </row>
    <row r="56" spans="1:6" x14ac:dyDescent="0.45">
      <c r="A56">
        <v>1060</v>
      </c>
      <c r="B56">
        <v>6</v>
      </c>
      <c r="C56">
        <v>0</v>
      </c>
      <c r="D56">
        <v>-1</v>
      </c>
      <c r="E56">
        <v>-1</v>
      </c>
      <c r="F56">
        <v>0</v>
      </c>
    </row>
    <row r="57" spans="1:6" x14ac:dyDescent="0.45">
      <c r="A57">
        <v>1060</v>
      </c>
      <c r="B57">
        <v>3</v>
      </c>
      <c r="C57">
        <v>-1</v>
      </c>
      <c r="D57">
        <v>-2</v>
      </c>
      <c r="E57">
        <v>1</v>
      </c>
      <c r="F57">
        <v>-1</v>
      </c>
    </row>
    <row r="58" spans="1:6" x14ac:dyDescent="0.45">
      <c r="A58">
        <v>1070</v>
      </c>
      <c r="B58">
        <v>5</v>
      </c>
      <c r="C58">
        <v>1</v>
      </c>
      <c r="D58">
        <v>-1</v>
      </c>
      <c r="E58">
        <v>0</v>
      </c>
      <c r="F58">
        <v>1</v>
      </c>
    </row>
    <row r="59" spans="1:6" x14ac:dyDescent="0.45">
      <c r="A59">
        <v>1070</v>
      </c>
      <c r="B59">
        <v>4</v>
      </c>
      <c r="C59">
        <v>1</v>
      </c>
      <c r="D59">
        <v>1</v>
      </c>
      <c r="E59">
        <v>2</v>
      </c>
      <c r="F59">
        <v>1</v>
      </c>
    </row>
    <row r="60" spans="1:6" x14ac:dyDescent="0.45">
      <c r="A60">
        <v>1070</v>
      </c>
      <c r="B60">
        <v>7</v>
      </c>
      <c r="C60">
        <v>1</v>
      </c>
      <c r="D60">
        <v>-2</v>
      </c>
      <c r="E60">
        <v>1</v>
      </c>
      <c r="F60">
        <v>1</v>
      </c>
    </row>
    <row r="61" spans="1:6" x14ac:dyDescent="0.45">
      <c r="A61">
        <v>1070</v>
      </c>
      <c r="B61">
        <v>2</v>
      </c>
      <c r="C61">
        <v>2</v>
      </c>
      <c r="D61">
        <v>2</v>
      </c>
      <c r="E61">
        <v>2</v>
      </c>
      <c r="F61">
        <v>2</v>
      </c>
    </row>
    <row r="62" spans="1:6" x14ac:dyDescent="0.45">
      <c r="A62">
        <v>1070</v>
      </c>
      <c r="B62">
        <v>8</v>
      </c>
      <c r="C62">
        <v>1</v>
      </c>
      <c r="D62">
        <v>2</v>
      </c>
      <c r="E62">
        <v>1</v>
      </c>
      <c r="F62">
        <v>1</v>
      </c>
    </row>
    <row r="63" spans="1:6" x14ac:dyDescent="0.45">
      <c r="A63">
        <v>1070</v>
      </c>
      <c r="B63">
        <v>1</v>
      </c>
      <c r="C63">
        <v>1</v>
      </c>
      <c r="D63">
        <v>2</v>
      </c>
      <c r="E63">
        <v>1</v>
      </c>
      <c r="F63">
        <v>1</v>
      </c>
    </row>
    <row r="64" spans="1:6" x14ac:dyDescent="0.45">
      <c r="A64">
        <v>1070</v>
      </c>
      <c r="B64">
        <v>6</v>
      </c>
      <c r="C64">
        <v>1</v>
      </c>
      <c r="D64">
        <v>0</v>
      </c>
      <c r="E64">
        <v>-1</v>
      </c>
      <c r="F64">
        <v>1</v>
      </c>
    </row>
    <row r="65" spans="1:6" x14ac:dyDescent="0.45">
      <c r="A65">
        <v>1070</v>
      </c>
      <c r="B65">
        <v>3</v>
      </c>
      <c r="C65">
        <v>0</v>
      </c>
      <c r="D65">
        <v>-1</v>
      </c>
      <c r="E65">
        <v>1</v>
      </c>
      <c r="F65">
        <v>0</v>
      </c>
    </row>
    <row r="66" spans="1:6" x14ac:dyDescent="0.45">
      <c r="A66">
        <v>1080</v>
      </c>
      <c r="B66">
        <v>1</v>
      </c>
      <c r="C66">
        <v>1</v>
      </c>
      <c r="D66">
        <v>2</v>
      </c>
      <c r="E66">
        <v>1</v>
      </c>
      <c r="F66">
        <v>1</v>
      </c>
    </row>
    <row r="67" spans="1:6" x14ac:dyDescent="0.45">
      <c r="A67">
        <v>1080</v>
      </c>
      <c r="B67">
        <v>8</v>
      </c>
      <c r="C67">
        <v>-1</v>
      </c>
      <c r="D67">
        <v>-1</v>
      </c>
      <c r="E67">
        <v>2</v>
      </c>
      <c r="F67">
        <v>-1</v>
      </c>
    </row>
    <row r="68" spans="1:6" x14ac:dyDescent="0.45">
      <c r="A68">
        <v>1080</v>
      </c>
      <c r="B68">
        <v>3</v>
      </c>
      <c r="C68">
        <v>-1</v>
      </c>
      <c r="D68">
        <v>-2</v>
      </c>
      <c r="E68">
        <v>0</v>
      </c>
      <c r="F68">
        <v>-1</v>
      </c>
    </row>
    <row r="69" spans="1:6" x14ac:dyDescent="0.45">
      <c r="A69">
        <v>1080</v>
      </c>
      <c r="B69">
        <v>6</v>
      </c>
      <c r="C69">
        <v>-1</v>
      </c>
      <c r="D69">
        <v>1</v>
      </c>
      <c r="E69">
        <v>2</v>
      </c>
      <c r="F69">
        <v>-1</v>
      </c>
    </row>
    <row r="70" spans="1:6" x14ac:dyDescent="0.45">
      <c r="A70">
        <v>1080</v>
      </c>
      <c r="B70">
        <v>4</v>
      </c>
      <c r="C70">
        <v>-1</v>
      </c>
      <c r="D70">
        <v>1</v>
      </c>
      <c r="E70">
        <v>2</v>
      </c>
      <c r="F70">
        <v>-1</v>
      </c>
    </row>
    <row r="71" spans="1:6" x14ac:dyDescent="0.45">
      <c r="A71">
        <v>1080</v>
      </c>
      <c r="B71">
        <v>5</v>
      </c>
      <c r="C71">
        <v>0</v>
      </c>
      <c r="D71">
        <v>2</v>
      </c>
      <c r="E71">
        <v>2</v>
      </c>
      <c r="F71">
        <v>0</v>
      </c>
    </row>
    <row r="72" spans="1:6" x14ac:dyDescent="0.45">
      <c r="A72">
        <v>1080</v>
      </c>
      <c r="B72">
        <v>2</v>
      </c>
      <c r="C72">
        <v>0</v>
      </c>
      <c r="D72">
        <v>-2</v>
      </c>
      <c r="E72">
        <v>1</v>
      </c>
      <c r="F72">
        <v>0</v>
      </c>
    </row>
    <row r="73" spans="1:6" x14ac:dyDescent="0.45">
      <c r="A73">
        <v>1080</v>
      </c>
      <c r="B73">
        <v>7</v>
      </c>
      <c r="C73">
        <v>-1</v>
      </c>
      <c r="D73">
        <v>-1</v>
      </c>
      <c r="E73">
        <v>1</v>
      </c>
      <c r="F73">
        <v>-1</v>
      </c>
    </row>
    <row r="74" spans="1:6" x14ac:dyDescent="0.45">
      <c r="A74">
        <v>1090</v>
      </c>
      <c r="B74">
        <v>5</v>
      </c>
      <c r="C74">
        <v>1</v>
      </c>
      <c r="D74">
        <v>0</v>
      </c>
      <c r="E74">
        <v>1</v>
      </c>
      <c r="F74">
        <v>1</v>
      </c>
    </row>
    <row r="75" spans="1:6" x14ac:dyDescent="0.45">
      <c r="A75">
        <v>1090</v>
      </c>
      <c r="B75">
        <v>4</v>
      </c>
      <c r="C75">
        <v>1</v>
      </c>
      <c r="D75">
        <v>1</v>
      </c>
      <c r="E75">
        <v>1</v>
      </c>
      <c r="F75">
        <v>1</v>
      </c>
    </row>
    <row r="76" spans="1:6" x14ac:dyDescent="0.45">
      <c r="A76">
        <v>1090</v>
      </c>
      <c r="B76">
        <v>7</v>
      </c>
      <c r="C76">
        <v>1</v>
      </c>
      <c r="D76">
        <v>-1</v>
      </c>
      <c r="E76">
        <v>1</v>
      </c>
      <c r="F76">
        <v>1</v>
      </c>
    </row>
    <row r="77" spans="1:6" x14ac:dyDescent="0.45">
      <c r="A77">
        <v>1090</v>
      </c>
      <c r="B77">
        <v>2</v>
      </c>
      <c r="C77">
        <v>0</v>
      </c>
      <c r="D77">
        <v>1</v>
      </c>
      <c r="E77">
        <v>-1</v>
      </c>
      <c r="F77">
        <v>0</v>
      </c>
    </row>
    <row r="78" spans="1:6" x14ac:dyDescent="0.45">
      <c r="A78">
        <v>1090</v>
      </c>
      <c r="B78">
        <v>8</v>
      </c>
      <c r="C78">
        <v>1</v>
      </c>
      <c r="D78">
        <v>1</v>
      </c>
      <c r="E78">
        <v>2</v>
      </c>
      <c r="F78">
        <v>1</v>
      </c>
    </row>
    <row r="79" spans="1:6" x14ac:dyDescent="0.45">
      <c r="A79">
        <v>1090</v>
      </c>
      <c r="B79">
        <v>1</v>
      </c>
      <c r="C79">
        <v>0</v>
      </c>
      <c r="D79">
        <v>-1</v>
      </c>
      <c r="E79">
        <v>2</v>
      </c>
      <c r="F79">
        <v>0</v>
      </c>
    </row>
    <row r="80" spans="1:6" x14ac:dyDescent="0.45">
      <c r="A80">
        <v>1090</v>
      </c>
      <c r="B80">
        <v>6</v>
      </c>
      <c r="C80">
        <v>1</v>
      </c>
      <c r="D80">
        <v>2</v>
      </c>
      <c r="E80">
        <v>2</v>
      </c>
      <c r="F80">
        <v>1</v>
      </c>
    </row>
    <row r="81" spans="1:6" x14ac:dyDescent="0.45">
      <c r="A81">
        <v>1090</v>
      </c>
      <c r="B81">
        <v>3</v>
      </c>
      <c r="C81">
        <v>0</v>
      </c>
      <c r="D81">
        <v>1</v>
      </c>
      <c r="E81">
        <v>1</v>
      </c>
      <c r="F81">
        <v>0</v>
      </c>
    </row>
    <row r="82" spans="1:6" x14ac:dyDescent="0.45">
      <c r="A82">
        <v>1100</v>
      </c>
      <c r="B82">
        <v>1</v>
      </c>
      <c r="C82">
        <v>-2</v>
      </c>
      <c r="D82">
        <v>1</v>
      </c>
      <c r="E82">
        <v>2</v>
      </c>
      <c r="F82">
        <v>-2</v>
      </c>
    </row>
    <row r="83" spans="1:6" x14ac:dyDescent="0.45">
      <c r="A83">
        <v>1100</v>
      </c>
      <c r="B83">
        <v>8</v>
      </c>
      <c r="C83">
        <v>1</v>
      </c>
      <c r="D83">
        <v>0</v>
      </c>
      <c r="E83">
        <v>2</v>
      </c>
      <c r="F83">
        <v>1</v>
      </c>
    </row>
    <row r="84" spans="1:6" x14ac:dyDescent="0.45">
      <c r="A84">
        <v>1100</v>
      </c>
      <c r="B84">
        <v>3</v>
      </c>
      <c r="C84">
        <v>-1</v>
      </c>
      <c r="D84">
        <v>-2</v>
      </c>
      <c r="E84">
        <v>1</v>
      </c>
      <c r="F84">
        <v>-1</v>
      </c>
    </row>
    <row r="85" spans="1:6" x14ac:dyDescent="0.45">
      <c r="A85">
        <v>1100</v>
      </c>
      <c r="B85">
        <v>6</v>
      </c>
      <c r="C85">
        <v>-2</v>
      </c>
      <c r="D85">
        <v>2</v>
      </c>
      <c r="E85">
        <v>0</v>
      </c>
      <c r="F85">
        <v>-2</v>
      </c>
    </row>
    <row r="86" spans="1:6" x14ac:dyDescent="0.45">
      <c r="A86">
        <v>1100</v>
      </c>
      <c r="B86">
        <v>4</v>
      </c>
      <c r="C86">
        <v>0</v>
      </c>
      <c r="D86">
        <v>1</v>
      </c>
      <c r="E86">
        <v>-1</v>
      </c>
      <c r="F86">
        <v>0</v>
      </c>
    </row>
    <row r="87" spans="1:6" x14ac:dyDescent="0.45">
      <c r="A87">
        <v>1100</v>
      </c>
      <c r="B87">
        <v>5</v>
      </c>
      <c r="C87">
        <v>1</v>
      </c>
      <c r="D87">
        <v>1</v>
      </c>
      <c r="E87">
        <v>1</v>
      </c>
      <c r="F87">
        <v>1</v>
      </c>
    </row>
    <row r="88" spans="1:6" x14ac:dyDescent="0.45">
      <c r="A88">
        <v>1100</v>
      </c>
      <c r="B88">
        <v>2</v>
      </c>
      <c r="C88">
        <v>-2</v>
      </c>
      <c r="D88">
        <v>1</v>
      </c>
      <c r="E88">
        <v>2</v>
      </c>
      <c r="F88">
        <v>-2</v>
      </c>
    </row>
    <row r="89" spans="1:6" x14ac:dyDescent="0.45">
      <c r="A89">
        <v>1100</v>
      </c>
      <c r="B89">
        <v>7</v>
      </c>
      <c r="C89">
        <v>-1</v>
      </c>
      <c r="D89">
        <v>1</v>
      </c>
      <c r="E89">
        <v>1</v>
      </c>
      <c r="F89">
        <v>-1</v>
      </c>
    </row>
    <row r="90" spans="1:6" x14ac:dyDescent="0.45">
      <c r="A90">
        <v>1110</v>
      </c>
      <c r="B90">
        <v>5</v>
      </c>
      <c r="C90">
        <v>2</v>
      </c>
      <c r="D90">
        <v>1</v>
      </c>
      <c r="E90">
        <v>1</v>
      </c>
      <c r="F90">
        <v>2</v>
      </c>
    </row>
    <row r="91" spans="1:6" x14ac:dyDescent="0.45">
      <c r="A91">
        <v>1110</v>
      </c>
      <c r="B91">
        <v>4</v>
      </c>
      <c r="C91">
        <v>1</v>
      </c>
      <c r="D91">
        <v>1</v>
      </c>
      <c r="E91">
        <v>1</v>
      </c>
      <c r="F91">
        <v>1</v>
      </c>
    </row>
    <row r="92" spans="1:6" x14ac:dyDescent="0.45">
      <c r="A92">
        <v>1110</v>
      </c>
      <c r="B92">
        <v>7</v>
      </c>
      <c r="C92">
        <v>1</v>
      </c>
      <c r="D92">
        <v>2</v>
      </c>
      <c r="E92">
        <v>2</v>
      </c>
      <c r="F92">
        <v>1</v>
      </c>
    </row>
    <row r="93" spans="1:6" x14ac:dyDescent="0.45">
      <c r="A93">
        <v>1110</v>
      </c>
      <c r="B93">
        <v>2</v>
      </c>
      <c r="C93">
        <v>2</v>
      </c>
      <c r="D93">
        <v>-1</v>
      </c>
      <c r="E93">
        <v>0</v>
      </c>
      <c r="F93">
        <v>2</v>
      </c>
    </row>
    <row r="94" spans="1:6" x14ac:dyDescent="0.45">
      <c r="A94">
        <v>1110</v>
      </c>
      <c r="B94">
        <v>8</v>
      </c>
      <c r="C94">
        <v>1</v>
      </c>
      <c r="D94">
        <v>-2</v>
      </c>
      <c r="E94">
        <v>2</v>
      </c>
      <c r="F94">
        <v>1</v>
      </c>
    </row>
    <row r="95" spans="1:6" x14ac:dyDescent="0.45">
      <c r="A95">
        <v>1110</v>
      </c>
      <c r="B95">
        <v>1</v>
      </c>
      <c r="C95">
        <v>2</v>
      </c>
      <c r="D95">
        <v>-2</v>
      </c>
      <c r="E95">
        <v>-1</v>
      </c>
      <c r="F95">
        <v>2</v>
      </c>
    </row>
    <row r="96" spans="1:6" x14ac:dyDescent="0.45">
      <c r="A96">
        <v>1110</v>
      </c>
      <c r="B96">
        <v>6</v>
      </c>
      <c r="C96">
        <v>1</v>
      </c>
      <c r="D96">
        <v>0</v>
      </c>
      <c r="E96">
        <v>2</v>
      </c>
      <c r="F96">
        <v>1</v>
      </c>
    </row>
    <row r="97" spans="1:6" x14ac:dyDescent="0.45">
      <c r="A97">
        <v>1110</v>
      </c>
      <c r="B97">
        <v>3</v>
      </c>
      <c r="C97">
        <v>1</v>
      </c>
      <c r="D97">
        <v>1</v>
      </c>
      <c r="E97">
        <v>2</v>
      </c>
      <c r="F97">
        <v>1</v>
      </c>
    </row>
    <row r="98" spans="1:6" x14ac:dyDescent="0.45">
      <c r="A98">
        <v>1120</v>
      </c>
      <c r="B98">
        <v>1</v>
      </c>
      <c r="C98">
        <v>0</v>
      </c>
      <c r="D98">
        <v>1</v>
      </c>
      <c r="E98">
        <v>2</v>
      </c>
      <c r="F98">
        <v>0</v>
      </c>
    </row>
    <row r="99" spans="1:6" x14ac:dyDescent="0.45">
      <c r="A99">
        <v>1120</v>
      </c>
      <c r="B99">
        <v>8</v>
      </c>
      <c r="C99">
        <v>-1</v>
      </c>
      <c r="D99">
        <v>2</v>
      </c>
      <c r="E99">
        <v>1</v>
      </c>
      <c r="F99">
        <v>-1</v>
      </c>
    </row>
    <row r="100" spans="1:6" x14ac:dyDescent="0.45">
      <c r="A100">
        <v>1120</v>
      </c>
      <c r="B100">
        <v>3</v>
      </c>
      <c r="C100">
        <v>-1</v>
      </c>
      <c r="D100">
        <v>2</v>
      </c>
      <c r="E100">
        <v>2</v>
      </c>
      <c r="F100">
        <v>-1</v>
      </c>
    </row>
    <row r="101" spans="1:6" x14ac:dyDescent="0.45">
      <c r="A101">
        <v>1120</v>
      </c>
      <c r="B101">
        <v>6</v>
      </c>
      <c r="C101">
        <v>-1</v>
      </c>
      <c r="D101">
        <v>2</v>
      </c>
      <c r="E101">
        <v>1</v>
      </c>
      <c r="F101">
        <v>-1</v>
      </c>
    </row>
    <row r="102" spans="1:6" x14ac:dyDescent="0.45">
      <c r="A102">
        <v>1120</v>
      </c>
      <c r="B102">
        <v>4</v>
      </c>
      <c r="C102">
        <v>-2</v>
      </c>
      <c r="D102">
        <v>-1</v>
      </c>
      <c r="E102">
        <v>0</v>
      </c>
      <c r="F102">
        <v>-2</v>
      </c>
    </row>
    <row r="103" spans="1:6" x14ac:dyDescent="0.45">
      <c r="A103">
        <v>1120</v>
      </c>
      <c r="B103">
        <v>5</v>
      </c>
      <c r="C103">
        <v>-1</v>
      </c>
      <c r="D103">
        <v>-1</v>
      </c>
      <c r="E103">
        <v>2</v>
      </c>
      <c r="F103">
        <v>-1</v>
      </c>
    </row>
    <row r="104" spans="1:6" x14ac:dyDescent="0.45">
      <c r="A104">
        <v>1120</v>
      </c>
      <c r="B104">
        <v>2</v>
      </c>
      <c r="C104">
        <v>-1</v>
      </c>
      <c r="D104">
        <v>-2</v>
      </c>
      <c r="E104">
        <v>-1</v>
      </c>
      <c r="F104">
        <v>-1</v>
      </c>
    </row>
    <row r="105" spans="1:6" x14ac:dyDescent="0.45">
      <c r="A105">
        <v>1120</v>
      </c>
      <c r="B105">
        <v>7</v>
      </c>
      <c r="C105">
        <v>-1</v>
      </c>
      <c r="D105">
        <v>1</v>
      </c>
      <c r="E105">
        <v>1</v>
      </c>
      <c r="F105">
        <v>-1</v>
      </c>
    </row>
    <row r="106" spans="1:6" x14ac:dyDescent="0.45">
      <c r="A106">
        <v>1130</v>
      </c>
      <c r="B106">
        <v>5</v>
      </c>
      <c r="C106">
        <v>1</v>
      </c>
      <c r="D106">
        <v>-2</v>
      </c>
      <c r="E106">
        <v>1</v>
      </c>
      <c r="F106">
        <v>1</v>
      </c>
    </row>
    <row r="107" spans="1:6" x14ac:dyDescent="0.45">
      <c r="A107">
        <v>1130</v>
      </c>
      <c r="B107">
        <v>4</v>
      </c>
      <c r="C107">
        <v>1</v>
      </c>
      <c r="D107">
        <v>1</v>
      </c>
      <c r="E107">
        <v>2</v>
      </c>
      <c r="F107">
        <v>1</v>
      </c>
    </row>
    <row r="108" spans="1:6" x14ac:dyDescent="0.45">
      <c r="A108">
        <v>1130</v>
      </c>
      <c r="B108">
        <v>7</v>
      </c>
      <c r="C108">
        <v>0</v>
      </c>
      <c r="D108">
        <v>1</v>
      </c>
      <c r="E108">
        <v>1</v>
      </c>
      <c r="F108">
        <v>0</v>
      </c>
    </row>
    <row r="109" spans="1:6" x14ac:dyDescent="0.45">
      <c r="A109">
        <v>1130</v>
      </c>
      <c r="B109">
        <v>2</v>
      </c>
      <c r="C109">
        <v>1</v>
      </c>
      <c r="D109">
        <v>1</v>
      </c>
      <c r="E109">
        <v>1</v>
      </c>
      <c r="F109">
        <v>1</v>
      </c>
    </row>
    <row r="110" spans="1:6" x14ac:dyDescent="0.45">
      <c r="A110">
        <v>1130</v>
      </c>
      <c r="B110">
        <v>8</v>
      </c>
      <c r="C110">
        <v>-1</v>
      </c>
      <c r="D110">
        <v>0</v>
      </c>
      <c r="E110">
        <v>1</v>
      </c>
      <c r="F110">
        <v>-1</v>
      </c>
    </row>
    <row r="111" spans="1:6" x14ac:dyDescent="0.45">
      <c r="A111">
        <v>1130</v>
      </c>
      <c r="B111">
        <v>1</v>
      </c>
      <c r="C111">
        <v>-1</v>
      </c>
      <c r="D111">
        <v>1</v>
      </c>
      <c r="E111">
        <v>1</v>
      </c>
      <c r="F111">
        <v>-1</v>
      </c>
    </row>
    <row r="112" spans="1:6" x14ac:dyDescent="0.45">
      <c r="A112">
        <v>1130</v>
      </c>
      <c r="B112">
        <v>6</v>
      </c>
      <c r="C112">
        <v>1</v>
      </c>
      <c r="D112">
        <v>-2</v>
      </c>
      <c r="E112">
        <v>2</v>
      </c>
      <c r="F112">
        <v>1</v>
      </c>
    </row>
    <row r="113" spans="1:6" x14ac:dyDescent="0.45">
      <c r="A113">
        <v>1130</v>
      </c>
      <c r="B113">
        <v>3</v>
      </c>
      <c r="C113">
        <v>1</v>
      </c>
      <c r="D113">
        <v>0</v>
      </c>
      <c r="E113">
        <v>1</v>
      </c>
      <c r="F113">
        <v>1</v>
      </c>
    </row>
    <row r="114" spans="1:6" x14ac:dyDescent="0.45">
      <c r="A114">
        <v>1140</v>
      </c>
      <c r="B114">
        <v>1</v>
      </c>
      <c r="C114">
        <v>1</v>
      </c>
      <c r="D114">
        <v>0</v>
      </c>
      <c r="E114">
        <v>2</v>
      </c>
      <c r="F114">
        <v>1</v>
      </c>
    </row>
    <row r="115" spans="1:6" x14ac:dyDescent="0.45">
      <c r="A115">
        <v>1140</v>
      </c>
      <c r="B115">
        <v>8</v>
      </c>
      <c r="C115">
        <v>2</v>
      </c>
      <c r="D115">
        <v>2</v>
      </c>
      <c r="E115">
        <v>2</v>
      </c>
      <c r="F115">
        <v>2</v>
      </c>
    </row>
    <row r="116" spans="1:6" x14ac:dyDescent="0.45">
      <c r="A116">
        <v>1140</v>
      </c>
      <c r="B116">
        <v>3</v>
      </c>
      <c r="C116">
        <v>2</v>
      </c>
      <c r="D116">
        <v>2</v>
      </c>
      <c r="E116">
        <v>2</v>
      </c>
      <c r="F116">
        <v>2</v>
      </c>
    </row>
    <row r="117" spans="1:6" x14ac:dyDescent="0.45">
      <c r="A117">
        <v>1140</v>
      </c>
      <c r="B117">
        <v>6</v>
      </c>
      <c r="C117">
        <v>2</v>
      </c>
      <c r="D117">
        <v>1</v>
      </c>
      <c r="E117">
        <v>1</v>
      </c>
      <c r="F117">
        <v>2</v>
      </c>
    </row>
    <row r="118" spans="1:6" x14ac:dyDescent="0.45">
      <c r="A118">
        <v>1140</v>
      </c>
      <c r="B118">
        <v>4</v>
      </c>
      <c r="C118">
        <v>1</v>
      </c>
      <c r="D118">
        <v>2</v>
      </c>
      <c r="E118">
        <v>2</v>
      </c>
      <c r="F118">
        <v>1</v>
      </c>
    </row>
    <row r="119" spans="1:6" x14ac:dyDescent="0.45">
      <c r="A119">
        <v>1140</v>
      </c>
      <c r="B119">
        <v>5</v>
      </c>
      <c r="C119">
        <v>2</v>
      </c>
      <c r="D119">
        <v>2</v>
      </c>
      <c r="E119">
        <v>2</v>
      </c>
      <c r="F119">
        <v>2</v>
      </c>
    </row>
    <row r="120" spans="1:6" x14ac:dyDescent="0.45">
      <c r="A120">
        <v>1140</v>
      </c>
      <c r="B120">
        <v>2</v>
      </c>
      <c r="C120">
        <v>2</v>
      </c>
      <c r="D120">
        <v>2</v>
      </c>
      <c r="E120">
        <v>1</v>
      </c>
      <c r="F120">
        <v>2</v>
      </c>
    </row>
    <row r="121" spans="1:6" x14ac:dyDescent="0.45">
      <c r="A121">
        <v>1140</v>
      </c>
      <c r="B121">
        <v>7</v>
      </c>
      <c r="C121">
        <v>2</v>
      </c>
      <c r="D121">
        <v>1</v>
      </c>
      <c r="E121">
        <v>2</v>
      </c>
      <c r="F121">
        <v>2</v>
      </c>
    </row>
    <row r="122" spans="1:6" x14ac:dyDescent="0.45">
      <c r="A122">
        <v>1150</v>
      </c>
      <c r="B122">
        <v>5</v>
      </c>
      <c r="C122">
        <v>2</v>
      </c>
      <c r="D122">
        <v>1</v>
      </c>
      <c r="E122">
        <v>2</v>
      </c>
      <c r="F122">
        <v>2</v>
      </c>
    </row>
    <row r="123" spans="1:6" x14ac:dyDescent="0.45">
      <c r="A123">
        <v>1150</v>
      </c>
      <c r="B123">
        <v>4</v>
      </c>
      <c r="C123">
        <v>-1</v>
      </c>
      <c r="D123">
        <v>2</v>
      </c>
      <c r="E123">
        <v>-1</v>
      </c>
      <c r="F123">
        <v>-1</v>
      </c>
    </row>
    <row r="124" spans="1:6" x14ac:dyDescent="0.45">
      <c r="A124">
        <v>1150</v>
      </c>
      <c r="B124">
        <v>7</v>
      </c>
      <c r="C124">
        <v>-2</v>
      </c>
      <c r="D124">
        <v>1</v>
      </c>
      <c r="E124">
        <v>-2</v>
      </c>
      <c r="F124">
        <v>-2</v>
      </c>
    </row>
    <row r="125" spans="1:6" x14ac:dyDescent="0.45">
      <c r="A125">
        <v>1150</v>
      </c>
      <c r="B125">
        <v>2</v>
      </c>
      <c r="C125">
        <v>2</v>
      </c>
      <c r="D125">
        <v>2</v>
      </c>
      <c r="E125">
        <v>2</v>
      </c>
      <c r="F125">
        <v>2</v>
      </c>
    </row>
    <row r="126" spans="1:6" x14ac:dyDescent="0.45">
      <c r="A126">
        <v>1150</v>
      </c>
      <c r="B126">
        <v>8</v>
      </c>
      <c r="C126">
        <v>2</v>
      </c>
      <c r="D126">
        <v>2</v>
      </c>
      <c r="E126">
        <v>1</v>
      </c>
      <c r="F126">
        <v>2</v>
      </c>
    </row>
    <row r="127" spans="1:6" x14ac:dyDescent="0.45">
      <c r="A127">
        <v>1150</v>
      </c>
      <c r="B127">
        <v>1</v>
      </c>
      <c r="C127">
        <v>1</v>
      </c>
      <c r="D127">
        <v>-1</v>
      </c>
      <c r="E127">
        <v>-2</v>
      </c>
      <c r="F127">
        <v>1</v>
      </c>
    </row>
    <row r="128" spans="1:6" x14ac:dyDescent="0.45">
      <c r="A128">
        <v>1150</v>
      </c>
      <c r="B128">
        <v>6</v>
      </c>
      <c r="C128">
        <v>1</v>
      </c>
      <c r="D128">
        <v>1</v>
      </c>
      <c r="E128">
        <v>-1</v>
      </c>
      <c r="F128">
        <v>1</v>
      </c>
    </row>
    <row r="129" spans="1:6" x14ac:dyDescent="0.45">
      <c r="A129">
        <v>1150</v>
      </c>
      <c r="B129">
        <v>3</v>
      </c>
      <c r="C129">
        <v>1</v>
      </c>
      <c r="D129">
        <v>1</v>
      </c>
      <c r="E129">
        <v>-1</v>
      </c>
      <c r="F129">
        <v>1</v>
      </c>
    </row>
    <row r="130" spans="1:6" x14ac:dyDescent="0.45">
      <c r="A130">
        <v>1160</v>
      </c>
      <c r="B130">
        <v>5</v>
      </c>
      <c r="C130">
        <v>2</v>
      </c>
      <c r="D130">
        <v>1</v>
      </c>
      <c r="E130">
        <v>-1</v>
      </c>
      <c r="F130">
        <v>2</v>
      </c>
    </row>
    <row r="131" spans="1:6" x14ac:dyDescent="0.45">
      <c r="A131">
        <v>1160</v>
      </c>
      <c r="B131">
        <v>4</v>
      </c>
      <c r="C131">
        <v>1</v>
      </c>
      <c r="D131">
        <v>-2</v>
      </c>
      <c r="E131">
        <v>-1</v>
      </c>
      <c r="F131">
        <v>1</v>
      </c>
    </row>
    <row r="132" spans="1:6" x14ac:dyDescent="0.45">
      <c r="A132">
        <v>1160</v>
      </c>
      <c r="B132">
        <v>7</v>
      </c>
      <c r="C132">
        <v>-1</v>
      </c>
      <c r="D132">
        <v>-1</v>
      </c>
      <c r="E132">
        <v>-1</v>
      </c>
      <c r="F132">
        <v>-1</v>
      </c>
    </row>
    <row r="133" spans="1:6" x14ac:dyDescent="0.45">
      <c r="A133">
        <v>1160</v>
      </c>
      <c r="B133">
        <v>2</v>
      </c>
      <c r="C133">
        <v>2</v>
      </c>
      <c r="D133">
        <v>-2</v>
      </c>
      <c r="E133">
        <v>-2</v>
      </c>
      <c r="F133">
        <v>2</v>
      </c>
    </row>
    <row r="134" spans="1:6" x14ac:dyDescent="0.45">
      <c r="A134">
        <v>1160</v>
      </c>
      <c r="B134">
        <v>8</v>
      </c>
      <c r="C134">
        <v>-1</v>
      </c>
      <c r="D134">
        <v>-1</v>
      </c>
      <c r="E134">
        <v>-1</v>
      </c>
      <c r="F134">
        <v>-1</v>
      </c>
    </row>
    <row r="135" spans="1:6" x14ac:dyDescent="0.45">
      <c r="A135">
        <v>1160</v>
      </c>
      <c r="B135">
        <v>1</v>
      </c>
      <c r="C135">
        <v>-1</v>
      </c>
      <c r="D135">
        <v>-1</v>
      </c>
      <c r="E135">
        <v>-2</v>
      </c>
      <c r="F135">
        <v>-1</v>
      </c>
    </row>
    <row r="136" spans="1:6" x14ac:dyDescent="0.45">
      <c r="A136">
        <v>1160</v>
      </c>
      <c r="B136">
        <v>6</v>
      </c>
      <c r="C136">
        <v>-1</v>
      </c>
      <c r="D136">
        <v>-2</v>
      </c>
      <c r="E136">
        <v>1</v>
      </c>
      <c r="F136">
        <v>-1</v>
      </c>
    </row>
    <row r="137" spans="1:6" x14ac:dyDescent="0.45">
      <c r="A137">
        <v>1160</v>
      </c>
      <c r="B137">
        <v>3</v>
      </c>
      <c r="C137">
        <v>1</v>
      </c>
      <c r="D137">
        <v>-1</v>
      </c>
      <c r="E137">
        <v>-1</v>
      </c>
      <c r="F137">
        <v>1</v>
      </c>
    </row>
    <row r="138" spans="1:6" x14ac:dyDescent="0.45">
      <c r="A138">
        <v>1170</v>
      </c>
      <c r="B138">
        <v>1</v>
      </c>
      <c r="C138">
        <v>1</v>
      </c>
      <c r="D138">
        <v>1</v>
      </c>
      <c r="E138">
        <v>0</v>
      </c>
      <c r="F138">
        <v>1</v>
      </c>
    </row>
    <row r="139" spans="1:6" x14ac:dyDescent="0.45">
      <c r="A139">
        <v>1170</v>
      </c>
      <c r="B139">
        <v>8</v>
      </c>
      <c r="C139">
        <v>1</v>
      </c>
      <c r="D139">
        <v>1</v>
      </c>
      <c r="E139">
        <v>1</v>
      </c>
      <c r="F139">
        <v>1</v>
      </c>
    </row>
    <row r="140" spans="1:6" x14ac:dyDescent="0.45">
      <c r="A140">
        <v>1170</v>
      </c>
      <c r="B140">
        <v>3</v>
      </c>
      <c r="C140">
        <v>0</v>
      </c>
      <c r="D140">
        <v>-1</v>
      </c>
      <c r="E140">
        <v>-1</v>
      </c>
      <c r="F140">
        <v>0</v>
      </c>
    </row>
    <row r="141" spans="1:6" x14ac:dyDescent="0.45">
      <c r="A141">
        <v>1170</v>
      </c>
      <c r="B141">
        <v>6</v>
      </c>
      <c r="C141">
        <v>0</v>
      </c>
      <c r="D141">
        <v>0</v>
      </c>
      <c r="E141">
        <v>2</v>
      </c>
      <c r="F141">
        <v>0</v>
      </c>
    </row>
    <row r="142" spans="1:6" x14ac:dyDescent="0.45">
      <c r="A142">
        <v>1170</v>
      </c>
      <c r="B142">
        <v>4</v>
      </c>
      <c r="C142">
        <v>1</v>
      </c>
      <c r="D142">
        <v>1</v>
      </c>
      <c r="E142">
        <v>-1</v>
      </c>
      <c r="F142">
        <v>1</v>
      </c>
    </row>
    <row r="143" spans="1:6" x14ac:dyDescent="0.45">
      <c r="A143">
        <v>1170</v>
      </c>
      <c r="B143">
        <v>5</v>
      </c>
      <c r="C143">
        <v>1</v>
      </c>
      <c r="D143">
        <v>1</v>
      </c>
      <c r="E143">
        <v>-1</v>
      </c>
      <c r="F143">
        <v>1</v>
      </c>
    </row>
    <row r="144" spans="1:6" x14ac:dyDescent="0.45">
      <c r="A144">
        <v>1170</v>
      </c>
      <c r="B144">
        <v>2</v>
      </c>
      <c r="C144">
        <v>0</v>
      </c>
      <c r="D144">
        <v>1</v>
      </c>
      <c r="E144">
        <v>1</v>
      </c>
      <c r="F144">
        <v>0</v>
      </c>
    </row>
    <row r="145" spans="1:6" x14ac:dyDescent="0.45">
      <c r="A145">
        <v>1170</v>
      </c>
      <c r="B145">
        <v>7</v>
      </c>
      <c r="C145">
        <v>1</v>
      </c>
      <c r="D145">
        <v>2</v>
      </c>
      <c r="E145">
        <v>1</v>
      </c>
      <c r="F145">
        <v>1</v>
      </c>
    </row>
    <row r="146" spans="1:6" x14ac:dyDescent="0.45">
      <c r="A146">
        <v>1180</v>
      </c>
      <c r="B146">
        <v>5</v>
      </c>
      <c r="C146">
        <v>-1</v>
      </c>
      <c r="D146">
        <v>-2</v>
      </c>
      <c r="E146">
        <v>-2</v>
      </c>
      <c r="F146">
        <v>-1</v>
      </c>
    </row>
    <row r="147" spans="1:6" x14ac:dyDescent="0.45">
      <c r="A147">
        <v>1180</v>
      </c>
      <c r="B147">
        <v>4</v>
      </c>
      <c r="C147">
        <v>0</v>
      </c>
      <c r="D147">
        <v>-1</v>
      </c>
      <c r="E147">
        <v>2</v>
      </c>
      <c r="F147">
        <v>0</v>
      </c>
    </row>
    <row r="148" spans="1:6" x14ac:dyDescent="0.45">
      <c r="A148">
        <v>1180</v>
      </c>
      <c r="B148">
        <v>7</v>
      </c>
      <c r="C148">
        <v>-1</v>
      </c>
      <c r="D148">
        <v>1</v>
      </c>
      <c r="E148">
        <v>-2</v>
      </c>
      <c r="F148">
        <v>-1</v>
      </c>
    </row>
    <row r="149" spans="1:6" x14ac:dyDescent="0.45">
      <c r="A149">
        <v>1180</v>
      </c>
      <c r="B149">
        <v>2</v>
      </c>
      <c r="C149">
        <v>-2</v>
      </c>
      <c r="D149">
        <v>-1</v>
      </c>
      <c r="E149">
        <v>-2</v>
      </c>
      <c r="F149">
        <v>-2</v>
      </c>
    </row>
    <row r="150" spans="1:6" x14ac:dyDescent="0.45">
      <c r="A150">
        <v>1180</v>
      </c>
      <c r="B150">
        <v>8</v>
      </c>
      <c r="C150">
        <v>-2</v>
      </c>
      <c r="D150">
        <v>2</v>
      </c>
      <c r="E150">
        <v>1</v>
      </c>
      <c r="F150">
        <v>-2</v>
      </c>
    </row>
    <row r="151" spans="1:6" x14ac:dyDescent="0.45">
      <c r="A151">
        <v>1180</v>
      </c>
      <c r="B151">
        <v>1</v>
      </c>
      <c r="C151">
        <v>-2</v>
      </c>
      <c r="D151">
        <v>2</v>
      </c>
      <c r="E151">
        <v>1</v>
      </c>
      <c r="F151">
        <v>-2</v>
      </c>
    </row>
    <row r="152" spans="1:6" x14ac:dyDescent="0.45">
      <c r="A152">
        <v>1180</v>
      </c>
      <c r="B152">
        <v>6</v>
      </c>
      <c r="C152">
        <v>-2</v>
      </c>
      <c r="D152">
        <v>-2</v>
      </c>
      <c r="E152">
        <v>1</v>
      </c>
      <c r="F152">
        <v>-2</v>
      </c>
    </row>
    <row r="153" spans="1:6" x14ac:dyDescent="0.45">
      <c r="A153">
        <v>1180</v>
      </c>
      <c r="B153">
        <v>3</v>
      </c>
      <c r="C153">
        <v>1</v>
      </c>
      <c r="D153">
        <v>2</v>
      </c>
      <c r="E153">
        <v>-1</v>
      </c>
      <c r="F153">
        <v>1</v>
      </c>
    </row>
    <row r="154" spans="1:6" x14ac:dyDescent="0.45">
      <c r="A154">
        <v>1190</v>
      </c>
      <c r="B154">
        <v>1</v>
      </c>
      <c r="C154">
        <v>1</v>
      </c>
      <c r="D154">
        <v>-2</v>
      </c>
      <c r="E154">
        <v>1</v>
      </c>
      <c r="F154">
        <v>1</v>
      </c>
    </row>
    <row r="155" spans="1:6" x14ac:dyDescent="0.45">
      <c r="A155">
        <v>1190</v>
      </c>
      <c r="B155">
        <v>8</v>
      </c>
      <c r="C155">
        <v>-1</v>
      </c>
      <c r="D155">
        <v>2</v>
      </c>
      <c r="E155">
        <v>1</v>
      </c>
      <c r="F155">
        <v>-1</v>
      </c>
    </row>
    <row r="156" spans="1:6" x14ac:dyDescent="0.45">
      <c r="A156">
        <v>1190</v>
      </c>
      <c r="B156">
        <v>3</v>
      </c>
      <c r="C156">
        <v>-2</v>
      </c>
      <c r="D156">
        <v>-2</v>
      </c>
      <c r="E156">
        <v>2</v>
      </c>
      <c r="F156">
        <v>-2</v>
      </c>
    </row>
    <row r="157" spans="1:6" x14ac:dyDescent="0.45">
      <c r="A157">
        <v>1190</v>
      </c>
      <c r="B157">
        <v>6</v>
      </c>
      <c r="C157">
        <v>1</v>
      </c>
      <c r="D157">
        <v>1</v>
      </c>
      <c r="E157">
        <v>-1</v>
      </c>
      <c r="F157">
        <v>1</v>
      </c>
    </row>
    <row r="158" spans="1:6" x14ac:dyDescent="0.45">
      <c r="A158">
        <v>1190</v>
      </c>
      <c r="B158">
        <v>4</v>
      </c>
      <c r="C158">
        <v>-2</v>
      </c>
      <c r="D158">
        <v>-1</v>
      </c>
      <c r="E158">
        <v>2</v>
      </c>
      <c r="F158">
        <v>-2</v>
      </c>
    </row>
    <row r="159" spans="1:6" x14ac:dyDescent="0.45">
      <c r="A159">
        <v>1190</v>
      </c>
      <c r="B159">
        <v>5</v>
      </c>
      <c r="C159">
        <v>1</v>
      </c>
      <c r="D159">
        <v>-1</v>
      </c>
      <c r="E159">
        <v>2</v>
      </c>
      <c r="F159">
        <v>1</v>
      </c>
    </row>
    <row r="160" spans="1:6" x14ac:dyDescent="0.45">
      <c r="A160">
        <v>1190</v>
      </c>
      <c r="B160">
        <v>2</v>
      </c>
      <c r="C160">
        <v>-2</v>
      </c>
      <c r="D160">
        <v>1</v>
      </c>
      <c r="E160">
        <v>-1</v>
      </c>
      <c r="F160">
        <v>-2</v>
      </c>
    </row>
    <row r="161" spans="1:6" x14ac:dyDescent="0.45">
      <c r="A161">
        <v>1190</v>
      </c>
      <c r="B161">
        <v>7</v>
      </c>
      <c r="C161">
        <v>1</v>
      </c>
      <c r="D161">
        <v>1</v>
      </c>
      <c r="E161">
        <v>2</v>
      </c>
      <c r="F161">
        <v>1</v>
      </c>
    </row>
    <row r="162" spans="1:6" x14ac:dyDescent="0.45">
      <c r="A162">
        <v>1200</v>
      </c>
      <c r="B162">
        <v>5</v>
      </c>
      <c r="C162">
        <v>2</v>
      </c>
      <c r="D162">
        <v>0</v>
      </c>
      <c r="E162">
        <v>2</v>
      </c>
      <c r="F162">
        <v>2</v>
      </c>
    </row>
    <row r="163" spans="1:6" x14ac:dyDescent="0.45">
      <c r="A163">
        <v>1200</v>
      </c>
      <c r="B163">
        <v>4</v>
      </c>
      <c r="C163">
        <v>2</v>
      </c>
      <c r="D163">
        <v>2</v>
      </c>
      <c r="E163">
        <v>2</v>
      </c>
      <c r="F163">
        <v>2</v>
      </c>
    </row>
    <row r="164" spans="1:6" x14ac:dyDescent="0.45">
      <c r="A164">
        <v>1200</v>
      </c>
      <c r="B164">
        <v>7</v>
      </c>
      <c r="C164">
        <v>2</v>
      </c>
      <c r="D164">
        <v>2</v>
      </c>
      <c r="E164">
        <v>2</v>
      </c>
      <c r="F164">
        <v>2</v>
      </c>
    </row>
    <row r="165" spans="1:6" x14ac:dyDescent="0.45">
      <c r="A165">
        <v>1200</v>
      </c>
      <c r="B165">
        <v>2</v>
      </c>
      <c r="C165">
        <v>-2</v>
      </c>
      <c r="D165">
        <v>2</v>
      </c>
      <c r="E165">
        <v>2</v>
      </c>
      <c r="F165">
        <v>-2</v>
      </c>
    </row>
    <row r="166" spans="1:6" x14ac:dyDescent="0.45">
      <c r="A166">
        <v>1200</v>
      </c>
      <c r="B166">
        <v>8</v>
      </c>
      <c r="C166">
        <v>-1</v>
      </c>
      <c r="D166">
        <v>0</v>
      </c>
      <c r="E166">
        <v>2</v>
      </c>
      <c r="F166">
        <v>-1</v>
      </c>
    </row>
    <row r="167" spans="1:6" x14ac:dyDescent="0.45">
      <c r="A167">
        <v>1200</v>
      </c>
      <c r="B167">
        <v>1</v>
      </c>
      <c r="C167">
        <v>-1</v>
      </c>
      <c r="D167">
        <v>2</v>
      </c>
      <c r="E167">
        <v>0</v>
      </c>
      <c r="F167">
        <v>-1</v>
      </c>
    </row>
    <row r="168" spans="1:6" x14ac:dyDescent="0.45">
      <c r="A168">
        <v>1200</v>
      </c>
      <c r="B168">
        <v>6</v>
      </c>
      <c r="C168">
        <v>-1</v>
      </c>
      <c r="D168">
        <v>-1</v>
      </c>
      <c r="E168">
        <v>2</v>
      </c>
      <c r="F168">
        <v>-1</v>
      </c>
    </row>
    <row r="169" spans="1:6" x14ac:dyDescent="0.45">
      <c r="A169">
        <v>1200</v>
      </c>
      <c r="B169">
        <v>3</v>
      </c>
      <c r="C169">
        <v>-1</v>
      </c>
      <c r="D169">
        <v>1</v>
      </c>
      <c r="E169">
        <v>2</v>
      </c>
      <c r="F169">
        <v>-1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1B66-2BEF-4BDD-823A-B56FCCC1229B}">
  <dimension ref="A1:T169"/>
  <sheetViews>
    <sheetView zoomScale="85" zoomScaleNormal="85" workbookViewId="0">
      <selection activeCell="R19" sqref="R19:T32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-1</v>
      </c>
      <c r="D2">
        <v>0</v>
      </c>
      <c r="E2">
        <v>0</v>
      </c>
      <c r="F2">
        <v>-1</v>
      </c>
      <c r="H2" t="s">
        <v>49</v>
      </c>
    </row>
    <row r="3" spans="1:14" x14ac:dyDescent="0.45">
      <c r="A3">
        <v>1000</v>
      </c>
      <c r="B3">
        <v>4</v>
      </c>
      <c r="C3">
        <v>-1</v>
      </c>
      <c r="D3">
        <v>1</v>
      </c>
      <c r="E3">
        <v>0</v>
      </c>
      <c r="F3">
        <v>-1</v>
      </c>
    </row>
    <row r="4" spans="1:14" ht="18.600000000000001" thickBot="1" x14ac:dyDescent="0.5">
      <c r="A4">
        <v>1000</v>
      </c>
      <c r="B4">
        <v>7</v>
      </c>
      <c r="C4">
        <v>-1</v>
      </c>
      <c r="D4">
        <v>0</v>
      </c>
      <c r="E4">
        <v>2</v>
      </c>
      <c r="F4">
        <v>-1</v>
      </c>
      <c r="H4" t="s">
        <v>50</v>
      </c>
    </row>
    <row r="5" spans="1:14" x14ac:dyDescent="0.45">
      <c r="A5">
        <v>1000</v>
      </c>
      <c r="B5">
        <v>2</v>
      </c>
      <c r="C5">
        <v>0</v>
      </c>
      <c r="D5">
        <v>0</v>
      </c>
      <c r="E5">
        <v>1</v>
      </c>
      <c r="F5">
        <v>0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1</v>
      </c>
      <c r="D6">
        <v>0</v>
      </c>
      <c r="E6">
        <v>0</v>
      </c>
      <c r="F6">
        <v>1</v>
      </c>
      <c r="H6" t="s">
        <v>46</v>
      </c>
      <c r="I6">
        <v>168</v>
      </c>
      <c r="J6">
        <v>-105</v>
      </c>
      <c r="K6">
        <v>-0.625</v>
      </c>
      <c r="L6">
        <v>1.6729041916167664</v>
      </c>
    </row>
    <row r="7" spans="1:14" x14ac:dyDescent="0.45">
      <c r="A7">
        <v>1000</v>
      </c>
      <c r="B7">
        <v>1</v>
      </c>
      <c r="C7">
        <v>-1</v>
      </c>
      <c r="D7">
        <v>0</v>
      </c>
      <c r="E7">
        <v>2</v>
      </c>
      <c r="F7">
        <v>-1</v>
      </c>
      <c r="H7" t="s">
        <v>47</v>
      </c>
      <c r="I7">
        <v>168</v>
      </c>
      <c r="J7">
        <v>131</v>
      </c>
      <c r="K7">
        <v>0.77976190476190477</v>
      </c>
      <c r="L7">
        <v>1.7655759908753921</v>
      </c>
    </row>
    <row r="8" spans="1:14" ht="18.600000000000001" thickBot="1" x14ac:dyDescent="0.5">
      <c r="A8">
        <v>1000</v>
      </c>
      <c r="B8">
        <v>6</v>
      </c>
      <c r="C8">
        <v>1</v>
      </c>
      <c r="D8">
        <v>0</v>
      </c>
      <c r="E8">
        <v>0</v>
      </c>
      <c r="F8">
        <v>1</v>
      </c>
      <c r="H8" s="3" t="s">
        <v>48</v>
      </c>
      <c r="I8" s="3">
        <v>168</v>
      </c>
      <c r="J8" s="3">
        <v>209</v>
      </c>
      <c r="K8" s="3">
        <v>1.2440476190476191</v>
      </c>
      <c r="L8" s="3">
        <v>1.1915811234673508</v>
      </c>
    </row>
    <row r="9" spans="1:14" x14ac:dyDescent="0.45">
      <c r="A9">
        <v>1000</v>
      </c>
      <c r="B9">
        <v>3</v>
      </c>
      <c r="C9">
        <v>0</v>
      </c>
      <c r="D9">
        <v>0</v>
      </c>
      <c r="E9">
        <v>0</v>
      </c>
      <c r="F9">
        <v>0</v>
      </c>
    </row>
    <row r="10" spans="1:14" x14ac:dyDescent="0.45">
      <c r="A10">
        <v>1010</v>
      </c>
      <c r="B10">
        <v>5</v>
      </c>
      <c r="C10">
        <v>-2</v>
      </c>
      <c r="D10">
        <v>1</v>
      </c>
      <c r="E10">
        <v>1</v>
      </c>
      <c r="F10">
        <v>-2</v>
      </c>
    </row>
    <row r="11" spans="1:14" ht="18.600000000000001" thickBot="1" x14ac:dyDescent="0.5">
      <c r="A11">
        <v>1010</v>
      </c>
      <c r="B11">
        <v>4</v>
      </c>
      <c r="C11">
        <v>0</v>
      </c>
      <c r="D11">
        <v>1</v>
      </c>
      <c r="E11">
        <v>1</v>
      </c>
      <c r="F11">
        <v>0</v>
      </c>
      <c r="H11" t="s">
        <v>56</v>
      </c>
    </row>
    <row r="12" spans="1:14" x14ac:dyDescent="0.45">
      <c r="A12">
        <v>1010</v>
      </c>
      <c r="B12">
        <v>7</v>
      </c>
      <c r="C12">
        <v>-1</v>
      </c>
      <c r="D12">
        <v>1</v>
      </c>
      <c r="E12">
        <v>1</v>
      </c>
      <c r="F12">
        <v>-1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0</v>
      </c>
      <c r="D13">
        <v>1</v>
      </c>
      <c r="E13">
        <v>1</v>
      </c>
      <c r="F13">
        <v>0</v>
      </c>
      <c r="H13" t="s">
        <v>63</v>
      </c>
      <c r="I13">
        <v>318.20634920635109</v>
      </c>
      <c r="J13">
        <v>2</v>
      </c>
      <c r="K13">
        <v>159.10317460317555</v>
      </c>
      <c r="L13">
        <v>103.08924488649114</v>
      </c>
      <c r="M13">
        <v>3.1792540829207368E-38</v>
      </c>
      <c r="N13">
        <v>3.0137168925158462</v>
      </c>
    </row>
    <row r="14" spans="1:14" x14ac:dyDescent="0.45">
      <c r="A14">
        <v>1010</v>
      </c>
      <c r="B14">
        <v>8</v>
      </c>
      <c r="C14">
        <v>1</v>
      </c>
      <c r="D14">
        <v>1</v>
      </c>
      <c r="E14">
        <v>0</v>
      </c>
      <c r="F14">
        <v>1</v>
      </c>
      <c r="H14" t="s">
        <v>64</v>
      </c>
      <c r="I14">
        <v>773.22023809523773</v>
      </c>
      <c r="J14">
        <v>501</v>
      </c>
      <c r="K14">
        <v>1.5433537686531691</v>
      </c>
    </row>
    <row r="15" spans="1:14" x14ac:dyDescent="0.45">
      <c r="A15">
        <v>1010</v>
      </c>
      <c r="B15">
        <v>1</v>
      </c>
      <c r="C15">
        <v>1</v>
      </c>
      <c r="D15">
        <v>1</v>
      </c>
      <c r="E15">
        <v>2</v>
      </c>
      <c r="F15">
        <v>1</v>
      </c>
    </row>
    <row r="16" spans="1:14" ht="18.600000000000001" thickBot="1" x14ac:dyDescent="0.5">
      <c r="A16">
        <v>1010</v>
      </c>
      <c r="B16">
        <v>6</v>
      </c>
      <c r="C16">
        <v>0</v>
      </c>
      <c r="D16">
        <v>1</v>
      </c>
      <c r="E16">
        <v>1</v>
      </c>
      <c r="F16">
        <v>0</v>
      </c>
      <c r="H16" s="3" t="s">
        <v>53</v>
      </c>
      <c r="I16" s="3">
        <v>1091.4265873015888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-1</v>
      </c>
      <c r="D17">
        <v>0</v>
      </c>
      <c r="E17">
        <v>1</v>
      </c>
      <c r="F17">
        <v>-1</v>
      </c>
    </row>
    <row r="18" spans="1:20" x14ac:dyDescent="0.45">
      <c r="A18">
        <v>1020</v>
      </c>
      <c r="B18">
        <v>5</v>
      </c>
      <c r="C18">
        <v>-1</v>
      </c>
      <c r="D18">
        <v>-2</v>
      </c>
      <c r="E18">
        <v>-1</v>
      </c>
      <c r="F18">
        <v>-1</v>
      </c>
    </row>
    <row r="19" spans="1:20" x14ac:dyDescent="0.45">
      <c r="A19">
        <v>1020</v>
      </c>
      <c r="B19">
        <v>4</v>
      </c>
      <c r="C19">
        <v>-1</v>
      </c>
      <c r="D19">
        <v>2</v>
      </c>
      <c r="E19">
        <v>2</v>
      </c>
      <c r="F19">
        <v>-1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-2</v>
      </c>
      <c r="D20">
        <v>2</v>
      </c>
      <c r="E20">
        <v>2</v>
      </c>
      <c r="F20">
        <v>-2</v>
      </c>
    </row>
    <row r="21" spans="1:20" x14ac:dyDescent="0.45">
      <c r="A21">
        <v>1020</v>
      </c>
      <c r="B21">
        <v>2</v>
      </c>
      <c r="C21">
        <v>-2</v>
      </c>
      <c r="D21">
        <v>-2</v>
      </c>
      <c r="E21">
        <v>-2</v>
      </c>
      <c r="F21">
        <v>-2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-2</v>
      </c>
      <c r="D22">
        <v>1</v>
      </c>
      <c r="E22">
        <v>1</v>
      </c>
      <c r="F22">
        <v>-2</v>
      </c>
      <c r="H22" t="s">
        <v>54</v>
      </c>
      <c r="I22">
        <v>-0.625</v>
      </c>
      <c r="J22">
        <v>0.77976190476190477</v>
      </c>
      <c r="M22" t="s">
        <v>54</v>
      </c>
      <c r="N22">
        <v>0.77976190476190477</v>
      </c>
      <c r="O22">
        <v>1.2440476190476191</v>
      </c>
      <c r="R22" t="s">
        <v>54</v>
      </c>
      <c r="S22">
        <v>1.2440476190476191</v>
      </c>
      <c r="T22">
        <v>-0.625</v>
      </c>
    </row>
    <row r="23" spans="1:20" x14ac:dyDescent="0.45">
      <c r="A23">
        <v>1020</v>
      </c>
      <c r="B23">
        <v>1</v>
      </c>
      <c r="C23">
        <v>-2</v>
      </c>
      <c r="D23">
        <v>1</v>
      </c>
      <c r="E23">
        <v>2</v>
      </c>
      <c r="F23">
        <v>-2</v>
      </c>
      <c r="H23" t="s">
        <v>55</v>
      </c>
      <c r="I23">
        <v>1.6729041916167664</v>
      </c>
      <c r="J23">
        <v>1.7655759908753921</v>
      </c>
      <c r="M23" t="s">
        <v>55</v>
      </c>
      <c r="N23">
        <v>1.7655759908753921</v>
      </c>
      <c r="O23">
        <v>1.1915811234673508</v>
      </c>
      <c r="R23" t="s">
        <v>55</v>
      </c>
      <c r="S23">
        <v>1.1915811234673508</v>
      </c>
      <c r="T23">
        <v>1.6729041916167664</v>
      </c>
    </row>
    <row r="24" spans="1:20" x14ac:dyDescent="0.45">
      <c r="A24">
        <v>1020</v>
      </c>
      <c r="B24">
        <v>6</v>
      </c>
      <c r="C24">
        <v>-2</v>
      </c>
      <c r="D24">
        <v>2</v>
      </c>
      <c r="E24">
        <v>2</v>
      </c>
      <c r="F24">
        <v>-2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-1</v>
      </c>
      <c r="D25">
        <v>1</v>
      </c>
      <c r="E25">
        <v>1</v>
      </c>
      <c r="F25">
        <v>-1</v>
      </c>
      <c r="H25" t="s">
        <v>82</v>
      </c>
      <c r="I25">
        <v>3.0486870077556898E-3</v>
      </c>
      <c r="M25" t="s">
        <v>82</v>
      </c>
      <c r="N25">
        <v>0.31800728553052393</v>
      </c>
      <c r="R25" t="s">
        <v>82</v>
      </c>
      <c r="S25">
        <v>6.891909281247304E-3</v>
      </c>
    </row>
    <row r="26" spans="1:20" x14ac:dyDescent="0.45">
      <c r="A26">
        <v>1030</v>
      </c>
      <c r="B26">
        <v>1</v>
      </c>
      <c r="C26">
        <v>1</v>
      </c>
      <c r="D26">
        <v>1</v>
      </c>
      <c r="E26">
        <v>1</v>
      </c>
      <c r="F26">
        <v>1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1</v>
      </c>
      <c r="D27">
        <v>2</v>
      </c>
      <c r="E27">
        <v>1</v>
      </c>
      <c r="F27">
        <v>1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-2</v>
      </c>
      <c r="D28">
        <v>2</v>
      </c>
      <c r="E28">
        <v>2</v>
      </c>
      <c r="F28">
        <v>-2</v>
      </c>
      <c r="H28" t="s">
        <v>84</v>
      </c>
      <c r="I28">
        <v>-9.8341512441963257</v>
      </c>
      <c r="M28" t="s">
        <v>84</v>
      </c>
      <c r="N28">
        <v>-4.2188651065744081</v>
      </c>
      <c r="R28" t="s">
        <v>84</v>
      </c>
      <c r="S28">
        <v>14.362565487984465</v>
      </c>
    </row>
    <row r="29" spans="1:20" x14ac:dyDescent="0.45">
      <c r="A29">
        <v>1030</v>
      </c>
      <c r="B29">
        <v>6</v>
      </c>
      <c r="C29">
        <v>-2</v>
      </c>
      <c r="D29">
        <v>-2</v>
      </c>
      <c r="E29">
        <v>2</v>
      </c>
      <c r="F29">
        <v>-2</v>
      </c>
      <c r="H29" t="s">
        <v>85</v>
      </c>
      <c r="I29">
        <v>1.3648314534913328E-18</v>
      </c>
      <c r="M29" t="s">
        <v>85</v>
      </c>
      <c r="N29">
        <v>2.0092613160243096E-5</v>
      </c>
      <c r="R29" t="s">
        <v>85</v>
      </c>
      <c r="S29">
        <v>2.8005238872951252E-31</v>
      </c>
    </row>
    <row r="30" spans="1:20" x14ac:dyDescent="0.45">
      <c r="A30">
        <v>1030</v>
      </c>
      <c r="B30">
        <v>4</v>
      </c>
      <c r="C30">
        <v>-2</v>
      </c>
      <c r="D30">
        <v>1</v>
      </c>
      <c r="E30">
        <v>2</v>
      </c>
      <c r="F30">
        <v>-2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-1</v>
      </c>
      <c r="D31">
        <v>2</v>
      </c>
      <c r="E31">
        <v>2</v>
      </c>
      <c r="F31">
        <v>-1</v>
      </c>
      <c r="H31" t="s">
        <v>87</v>
      </c>
      <c r="I31">
        <v>2.7296629069826656E-18</v>
      </c>
      <c r="M31" t="s">
        <v>87</v>
      </c>
      <c r="N31">
        <v>4.0185226320486192E-5</v>
      </c>
      <c r="R31" t="s">
        <v>87</v>
      </c>
      <c r="S31">
        <v>5.6010477745902505E-31</v>
      </c>
    </row>
    <row r="32" spans="1:20" ht="18.600000000000001" thickBot="1" x14ac:dyDescent="0.5">
      <c r="A32">
        <v>1030</v>
      </c>
      <c r="B32">
        <v>2</v>
      </c>
      <c r="C32">
        <v>1</v>
      </c>
      <c r="D32">
        <v>-2</v>
      </c>
      <c r="E32">
        <v>1</v>
      </c>
      <c r="F32">
        <v>1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-2</v>
      </c>
      <c r="D33">
        <v>-1</v>
      </c>
      <c r="E33">
        <v>2</v>
      </c>
      <c r="F33">
        <v>-2</v>
      </c>
    </row>
    <row r="34" spans="1:6" x14ac:dyDescent="0.45">
      <c r="A34">
        <v>1040</v>
      </c>
      <c r="B34">
        <v>1</v>
      </c>
      <c r="C34">
        <v>-2</v>
      </c>
      <c r="D34">
        <v>0</v>
      </c>
      <c r="E34">
        <v>1</v>
      </c>
      <c r="F34">
        <v>-2</v>
      </c>
    </row>
    <row r="35" spans="1:6" x14ac:dyDescent="0.45">
      <c r="A35">
        <v>1040</v>
      </c>
      <c r="B35">
        <v>8</v>
      </c>
      <c r="C35">
        <v>-2</v>
      </c>
      <c r="D35">
        <v>-1</v>
      </c>
      <c r="E35">
        <v>1</v>
      </c>
      <c r="F35">
        <v>-2</v>
      </c>
    </row>
    <row r="36" spans="1:6" x14ac:dyDescent="0.45">
      <c r="A36">
        <v>1040</v>
      </c>
      <c r="B36">
        <v>3</v>
      </c>
      <c r="C36">
        <v>-1</v>
      </c>
      <c r="D36">
        <v>0</v>
      </c>
      <c r="E36">
        <v>1</v>
      </c>
      <c r="F36">
        <v>-1</v>
      </c>
    </row>
    <row r="37" spans="1:6" x14ac:dyDescent="0.45">
      <c r="A37">
        <v>1040</v>
      </c>
      <c r="B37">
        <v>6</v>
      </c>
      <c r="C37">
        <v>0</v>
      </c>
      <c r="D37">
        <v>2</v>
      </c>
      <c r="E37">
        <v>2</v>
      </c>
      <c r="F37">
        <v>0</v>
      </c>
    </row>
    <row r="38" spans="1:6" x14ac:dyDescent="0.45">
      <c r="A38">
        <v>1040</v>
      </c>
      <c r="B38">
        <v>4</v>
      </c>
      <c r="C38">
        <v>-1</v>
      </c>
      <c r="D38">
        <v>2</v>
      </c>
      <c r="E38">
        <v>2</v>
      </c>
      <c r="F38">
        <v>-1</v>
      </c>
    </row>
    <row r="39" spans="1:6" x14ac:dyDescent="0.45">
      <c r="A39">
        <v>1040</v>
      </c>
      <c r="B39">
        <v>5</v>
      </c>
      <c r="C39">
        <v>0</v>
      </c>
      <c r="D39">
        <v>1</v>
      </c>
      <c r="E39">
        <v>2</v>
      </c>
      <c r="F39">
        <v>0</v>
      </c>
    </row>
    <row r="40" spans="1:6" x14ac:dyDescent="0.45">
      <c r="A40">
        <v>1040</v>
      </c>
      <c r="B40">
        <v>2</v>
      </c>
      <c r="C40">
        <v>0</v>
      </c>
      <c r="D40">
        <v>0</v>
      </c>
      <c r="E40">
        <v>2</v>
      </c>
      <c r="F40">
        <v>0</v>
      </c>
    </row>
    <row r="41" spans="1:6" x14ac:dyDescent="0.45">
      <c r="A41">
        <v>1040</v>
      </c>
      <c r="B41">
        <v>7</v>
      </c>
      <c r="C41">
        <v>-1</v>
      </c>
      <c r="D41">
        <v>-1</v>
      </c>
      <c r="E41">
        <v>0</v>
      </c>
      <c r="F41">
        <v>-1</v>
      </c>
    </row>
    <row r="42" spans="1:6" x14ac:dyDescent="0.45">
      <c r="A42">
        <v>1050</v>
      </c>
      <c r="B42">
        <v>1</v>
      </c>
      <c r="C42">
        <v>-2</v>
      </c>
      <c r="D42">
        <v>2</v>
      </c>
      <c r="E42">
        <v>2</v>
      </c>
      <c r="F42">
        <v>-2</v>
      </c>
    </row>
    <row r="43" spans="1:6" x14ac:dyDescent="0.45">
      <c r="A43">
        <v>1050</v>
      </c>
      <c r="B43">
        <v>8</v>
      </c>
      <c r="C43">
        <v>-2</v>
      </c>
      <c r="D43">
        <v>1</v>
      </c>
      <c r="E43">
        <v>1</v>
      </c>
      <c r="F43">
        <v>-2</v>
      </c>
    </row>
    <row r="44" spans="1:6" x14ac:dyDescent="0.45">
      <c r="A44">
        <v>1050</v>
      </c>
      <c r="B44">
        <v>3</v>
      </c>
      <c r="C44">
        <v>-2</v>
      </c>
      <c r="D44">
        <v>1</v>
      </c>
      <c r="E44">
        <v>-2</v>
      </c>
      <c r="F44">
        <v>-2</v>
      </c>
    </row>
    <row r="45" spans="1:6" x14ac:dyDescent="0.45">
      <c r="A45">
        <v>1050</v>
      </c>
      <c r="B45">
        <v>6</v>
      </c>
      <c r="C45">
        <v>-2</v>
      </c>
      <c r="D45">
        <v>1</v>
      </c>
      <c r="E45">
        <v>2</v>
      </c>
      <c r="F45">
        <v>-2</v>
      </c>
    </row>
    <row r="46" spans="1:6" x14ac:dyDescent="0.45">
      <c r="A46">
        <v>1050</v>
      </c>
      <c r="B46">
        <v>4</v>
      </c>
      <c r="C46">
        <v>-2</v>
      </c>
      <c r="D46">
        <v>1</v>
      </c>
      <c r="E46">
        <v>2</v>
      </c>
      <c r="F46">
        <v>-2</v>
      </c>
    </row>
    <row r="47" spans="1:6" x14ac:dyDescent="0.45">
      <c r="A47">
        <v>1050</v>
      </c>
      <c r="B47">
        <v>5</v>
      </c>
      <c r="C47">
        <v>-2</v>
      </c>
      <c r="D47">
        <v>-2</v>
      </c>
      <c r="E47">
        <v>-2</v>
      </c>
      <c r="F47">
        <v>-2</v>
      </c>
    </row>
    <row r="48" spans="1:6" x14ac:dyDescent="0.45">
      <c r="A48">
        <v>1050</v>
      </c>
      <c r="B48">
        <v>2</v>
      </c>
      <c r="C48">
        <v>-2</v>
      </c>
      <c r="D48">
        <v>-2</v>
      </c>
      <c r="E48">
        <v>-2</v>
      </c>
      <c r="F48">
        <v>-2</v>
      </c>
    </row>
    <row r="49" spans="1:6" x14ac:dyDescent="0.45">
      <c r="A49">
        <v>1050</v>
      </c>
      <c r="B49">
        <v>7</v>
      </c>
      <c r="C49">
        <v>-2</v>
      </c>
      <c r="D49">
        <v>1</v>
      </c>
      <c r="E49">
        <v>-2</v>
      </c>
      <c r="F49">
        <v>-2</v>
      </c>
    </row>
    <row r="50" spans="1:6" x14ac:dyDescent="0.45">
      <c r="A50">
        <v>1060</v>
      </c>
      <c r="B50">
        <v>5</v>
      </c>
      <c r="C50">
        <v>1</v>
      </c>
      <c r="D50">
        <v>2</v>
      </c>
      <c r="E50">
        <v>2</v>
      </c>
      <c r="F50">
        <v>1</v>
      </c>
    </row>
    <row r="51" spans="1:6" x14ac:dyDescent="0.45">
      <c r="A51">
        <v>1060</v>
      </c>
      <c r="B51">
        <v>4</v>
      </c>
      <c r="C51">
        <v>1</v>
      </c>
      <c r="D51">
        <v>-2</v>
      </c>
      <c r="E51">
        <v>1</v>
      </c>
      <c r="F51">
        <v>1</v>
      </c>
    </row>
    <row r="52" spans="1:6" x14ac:dyDescent="0.45">
      <c r="A52">
        <v>1060</v>
      </c>
      <c r="B52">
        <v>7</v>
      </c>
      <c r="C52">
        <v>1</v>
      </c>
      <c r="D52">
        <v>2</v>
      </c>
      <c r="E52">
        <v>-1</v>
      </c>
      <c r="F52">
        <v>1</v>
      </c>
    </row>
    <row r="53" spans="1:6" x14ac:dyDescent="0.45">
      <c r="A53">
        <v>1060</v>
      </c>
      <c r="B53">
        <v>2</v>
      </c>
      <c r="C53">
        <v>1</v>
      </c>
      <c r="D53">
        <v>2</v>
      </c>
      <c r="E53">
        <v>1</v>
      </c>
      <c r="F53">
        <v>1</v>
      </c>
    </row>
    <row r="54" spans="1:6" x14ac:dyDescent="0.45">
      <c r="A54">
        <v>1060</v>
      </c>
      <c r="B54">
        <v>8</v>
      </c>
      <c r="C54">
        <v>1</v>
      </c>
      <c r="D54">
        <v>1</v>
      </c>
      <c r="E54">
        <v>2</v>
      </c>
      <c r="F54">
        <v>1</v>
      </c>
    </row>
    <row r="55" spans="1:6" x14ac:dyDescent="0.45">
      <c r="A55">
        <v>1060</v>
      </c>
      <c r="B55">
        <v>1</v>
      </c>
      <c r="C55">
        <v>1</v>
      </c>
      <c r="D55">
        <v>1</v>
      </c>
      <c r="E55">
        <v>2</v>
      </c>
      <c r="F55">
        <v>1</v>
      </c>
    </row>
    <row r="56" spans="1:6" x14ac:dyDescent="0.45">
      <c r="A56">
        <v>1060</v>
      </c>
      <c r="B56">
        <v>6</v>
      </c>
      <c r="C56">
        <v>-2</v>
      </c>
      <c r="D56">
        <v>1</v>
      </c>
      <c r="E56">
        <v>0</v>
      </c>
      <c r="F56">
        <v>-2</v>
      </c>
    </row>
    <row r="57" spans="1:6" x14ac:dyDescent="0.45">
      <c r="A57">
        <v>1060</v>
      </c>
      <c r="B57">
        <v>3</v>
      </c>
      <c r="C57">
        <v>-1</v>
      </c>
      <c r="D57">
        <v>2</v>
      </c>
      <c r="E57">
        <v>1</v>
      </c>
      <c r="F57">
        <v>-1</v>
      </c>
    </row>
    <row r="58" spans="1:6" x14ac:dyDescent="0.45">
      <c r="A58">
        <v>1070</v>
      </c>
      <c r="B58">
        <v>5</v>
      </c>
      <c r="C58">
        <v>-1</v>
      </c>
      <c r="D58">
        <v>1</v>
      </c>
      <c r="E58">
        <v>2</v>
      </c>
      <c r="F58">
        <v>-1</v>
      </c>
    </row>
    <row r="59" spans="1:6" x14ac:dyDescent="0.45">
      <c r="A59">
        <v>1070</v>
      </c>
      <c r="B59">
        <v>4</v>
      </c>
      <c r="C59">
        <v>-2</v>
      </c>
      <c r="D59">
        <v>1</v>
      </c>
      <c r="E59">
        <v>2</v>
      </c>
      <c r="F59">
        <v>-2</v>
      </c>
    </row>
    <row r="60" spans="1:6" x14ac:dyDescent="0.45">
      <c r="A60">
        <v>1070</v>
      </c>
      <c r="B60">
        <v>7</v>
      </c>
      <c r="C60">
        <v>-2</v>
      </c>
      <c r="D60">
        <v>2</v>
      </c>
      <c r="E60">
        <v>1</v>
      </c>
      <c r="F60">
        <v>-2</v>
      </c>
    </row>
    <row r="61" spans="1:6" x14ac:dyDescent="0.45">
      <c r="A61">
        <v>1070</v>
      </c>
      <c r="B61">
        <v>2</v>
      </c>
      <c r="C61">
        <v>-2</v>
      </c>
      <c r="D61">
        <v>-1</v>
      </c>
      <c r="E61">
        <v>2</v>
      </c>
      <c r="F61">
        <v>-2</v>
      </c>
    </row>
    <row r="62" spans="1:6" x14ac:dyDescent="0.45">
      <c r="A62">
        <v>1070</v>
      </c>
      <c r="B62">
        <v>8</v>
      </c>
      <c r="C62">
        <v>-2</v>
      </c>
      <c r="D62">
        <v>2</v>
      </c>
      <c r="E62">
        <v>1</v>
      </c>
      <c r="F62">
        <v>-2</v>
      </c>
    </row>
    <row r="63" spans="1:6" x14ac:dyDescent="0.45">
      <c r="A63">
        <v>1070</v>
      </c>
      <c r="B63">
        <v>1</v>
      </c>
      <c r="C63">
        <v>-1</v>
      </c>
      <c r="D63">
        <v>2</v>
      </c>
      <c r="E63">
        <v>2</v>
      </c>
      <c r="F63">
        <v>-1</v>
      </c>
    </row>
    <row r="64" spans="1:6" x14ac:dyDescent="0.45">
      <c r="A64">
        <v>1070</v>
      </c>
      <c r="B64">
        <v>6</v>
      </c>
      <c r="C64">
        <v>-2</v>
      </c>
      <c r="D64">
        <v>2</v>
      </c>
      <c r="E64">
        <v>1</v>
      </c>
      <c r="F64">
        <v>-2</v>
      </c>
    </row>
    <row r="65" spans="1:6" x14ac:dyDescent="0.45">
      <c r="A65">
        <v>1070</v>
      </c>
      <c r="B65">
        <v>3</v>
      </c>
      <c r="C65">
        <v>-1</v>
      </c>
      <c r="D65">
        <v>1</v>
      </c>
      <c r="E65">
        <v>2</v>
      </c>
      <c r="F65">
        <v>-1</v>
      </c>
    </row>
    <row r="66" spans="1:6" x14ac:dyDescent="0.45">
      <c r="A66">
        <v>1080</v>
      </c>
      <c r="B66">
        <v>1</v>
      </c>
      <c r="C66">
        <v>0</v>
      </c>
      <c r="D66">
        <v>1</v>
      </c>
      <c r="E66">
        <v>1</v>
      </c>
      <c r="F66">
        <v>0</v>
      </c>
    </row>
    <row r="67" spans="1:6" x14ac:dyDescent="0.45">
      <c r="A67">
        <v>1080</v>
      </c>
      <c r="B67">
        <v>8</v>
      </c>
      <c r="C67">
        <v>-1</v>
      </c>
      <c r="D67">
        <v>-1</v>
      </c>
      <c r="E67">
        <v>2</v>
      </c>
      <c r="F67">
        <v>-1</v>
      </c>
    </row>
    <row r="68" spans="1:6" x14ac:dyDescent="0.45">
      <c r="A68">
        <v>1080</v>
      </c>
      <c r="B68">
        <v>3</v>
      </c>
      <c r="C68">
        <v>-1</v>
      </c>
      <c r="D68">
        <v>0</v>
      </c>
      <c r="E68">
        <v>-1</v>
      </c>
      <c r="F68">
        <v>-1</v>
      </c>
    </row>
    <row r="69" spans="1:6" x14ac:dyDescent="0.45">
      <c r="A69">
        <v>1080</v>
      </c>
      <c r="B69">
        <v>6</v>
      </c>
      <c r="C69">
        <v>-1</v>
      </c>
      <c r="D69">
        <v>1</v>
      </c>
      <c r="E69">
        <v>2</v>
      </c>
      <c r="F69">
        <v>-1</v>
      </c>
    </row>
    <row r="70" spans="1:6" x14ac:dyDescent="0.45">
      <c r="A70">
        <v>1080</v>
      </c>
      <c r="B70">
        <v>4</v>
      </c>
      <c r="C70">
        <v>-1</v>
      </c>
      <c r="D70">
        <v>1</v>
      </c>
      <c r="E70">
        <v>1</v>
      </c>
      <c r="F70">
        <v>-1</v>
      </c>
    </row>
    <row r="71" spans="1:6" x14ac:dyDescent="0.45">
      <c r="A71">
        <v>1080</v>
      </c>
      <c r="B71">
        <v>5</v>
      </c>
      <c r="C71">
        <v>1</v>
      </c>
      <c r="D71">
        <v>2</v>
      </c>
      <c r="E71">
        <v>2</v>
      </c>
      <c r="F71">
        <v>1</v>
      </c>
    </row>
    <row r="72" spans="1:6" x14ac:dyDescent="0.45">
      <c r="A72">
        <v>1080</v>
      </c>
      <c r="B72">
        <v>2</v>
      </c>
      <c r="C72">
        <v>-1</v>
      </c>
      <c r="D72">
        <v>-2</v>
      </c>
      <c r="E72">
        <v>1</v>
      </c>
      <c r="F72">
        <v>-1</v>
      </c>
    </row>
    <row r="73" spans="1:6" x14ac:dyDescent="0.45">
      <c r="A73">
        <v>1080</v>
      </c>
      <c r="B73">
        <v>7</v>
      </c>
      <c r="C73">
        <v>-1</v>
      </c>
      <c r="D73">
        <v>-1</v>
      </c>
      <c r="E73">
        <v>1</v>
      </c>
      <c r="F73">
        <v>-1</v>
      </c>
    </row>
    <row r="74" spans="1:6" x14ac:dyDescent="0.45">
      <c r="A74">
        <v>1090</v>
      </c>
      <c r="B74">
        <v>5</v>
      </c>
      <c r="C74">
        <v>1</v>
      </c>
      <c r="D74">
        <v>-2</v>
      </c>
      <c r="E74">
        <v>2</v>
      </c>
      <c r="F74">
        <v>1</v>
      </c>
    </row>
    <row r="75" spans="1:6" x14ac:dyDescent="0.45">
      <c r="A75">
        <v>1090</v>
      </c>
      <c r="B75">
        <v>4</v>
      </c>
      <c r="C75">
        <v>1</v>
      </c>
      <c r="D75">
        <v>2</v>
      </c>
      <c r="E75">
        <v>1</v>
      </c>
      <c r="F75">
        <v>1</v>
      </c>
    </row>
    <row r="76" spans="1:6" x14ac:dyDescent="0.45">
      <c r="A76">
        <v>1090</v>
      </c>
      <c r="B76">
        <v>7</v>
      </c>
      <c r="C76">
        <v>0</v>
      </c>
      <c r="D76">
        <v>1</v>
      </c>
      <c r="E76">
        <v>2</v>
      </c>
      <c r="F76">
        <v>0</v>
      </c>
    </row>
    <row r="77" spans="1:6" x14ac:dyDescent="0.45">
      <c r="A77">
        <v>1090</v>
      </c>
      <c r="B77">
        <v>2</v>
      </c>
      <c r="C77">
        <v>-1</v>
      </c>
      <c r="D77">
        <v>-2</v>
      </c>
      <c r="E77">
        <v>1</v>
      </c>
      <c r="F77">
        <v>-1</v>
      </c>
    </row>
    <row r="78" spans="1:6" x14ac:dyDescent="0.45">
      <c r="A78">
        <v>1090</v>
      </c>
      <c r="B78">
        <v>8</v>
      </c>
      <c r="C78">
        <v>-2</v>
      </c>
      <c r="D78">
        <v>1</v>
      </c>
      <c r="E78">
        <v>2</v>
      </c>
      <c r="F78">
        <v>-2</v>
      </c>
    </row>
    <row r="79" spans="1:6" x14ac:dyDescent="0.45">
      <c r="A79">
        <v>1090</v>
      </c>
      <c r="B79">
        <v>1</v>
      </c>
      <c r="C79">
        <v>1</v>
      </c>
      <c r="D79">
        <v>1</v>
      </c>
      <c r="E79">
        <v>2</v>
      </c>
      <c r="F79">
        <v>1</v>
      </c>
    </row>
    <row r="80" spans="1:6" x14ac:dyDescent="0.45">
      <c r="A80">
        <v>1090</v>
      </c>
      <c r="B80">
        <v>6</v>
      </c>
      <c r="C80">
        <v>1</v>
      </c>
      <c r="D80">
        <v>2</v>
      </c>
      <c r="E80">
        <v>2</v>
      </c>
      <c r="F80">
        <v>1</v>
      </c>
    </row>
    <row r="81" spans="1:6" x14ac:dyDescent="0.45">
      <c r="A81">
        <v>1090</v>
      </c>
      <c r="B81">
        <v>3</v>
      </c>
      <c r="C81">
        <v>-2</v>
      </c>
      <c r="D81">
        <v>1</v>
      </c>
      <c r="E81">
        <v>2</v>
      </c>
      <c r="F81">
        <v>-2</v>
      </c>
    </row>
    <row r="82" spans="1:6" x14ac:dyDescent="0.45">
      <c r="A82">
        <v>1100</v>
      </c>
      <c r="B82">
        <v>1</v>
      </c>
      <c r="C82">
        <v>1</v>
      </c>
      <c r="D82">
        <v>2</v>
      </c>
      <c r="E82">
        <v>1</v>
      </c>
      <c r="F82">
        <v>1</v>
      </c>
    </row>
    <row r="83" spans="1:6" x14ac:dyDescent="0.45">
      <c r="A83">
        <v>1100</v>
      </c>
      <c r="B83">
        <v>8</v>
      </c>
      <c r="C83">
        <v>1</v>
      </c>
      <c r="D83">
        <v>1</v>
      </c>
      <c r="E83">
        <v>2</v>
      </c>
      <c r="F83">
        <v>1</v>
      </c>
    </row>
    <row r="84" spans="1:6" x14ac:dyDescent="0.45">
      <c r="A84">
        <v>1100</v>
      </c>
      <c r="B84">
        <v>3</v>
      </c>
      <c r="C84">
        <v>1</v>
      </c>
      <c r="D84">
        <v>1</v>
      </c>
      <c r="E84">
        <v>2</v>
      </c>
      <c r="F84">
        <v>1</v>
      </c>
    </row>
    <row r="85" spans="1:6" x14ac:dyDescent="0.45">
      <c r="A85">
        <v>1100</v>
      </c>
      <c r="B85">
        <v>6</v>
      </c>
      <c r="C85">
        <v>-1</v>
      </c>
      <c r="D85">
        <v>2</v>
      </c>
      <c r="E85">
        <v>2</v>
      </c>
      <c r="F85">
        <v>-1</v>
      </c>
    </row>
    <row r="86" spans="1:6" x14ac:dyDescent="0.45">
      <c r="A86">
        <v>1100</v>
      </c>
      <c r="B86">
        <v>4</v>
      </c>
      <c r="C86">
        <v>2</v>
      </c>
      <c r="D86">
        <v>1</v>
      </c>
      <c r="E86">
        <v>2</v>
      </c>
      <c r="F86">
        <v>2</v>
      </c>
    </row>
    <row r="87" spans="1:6" x14ac:dyDescent="0.45">
      <c r="A87">
        <v>1100</v>
      </c>
      <c r="B87">
        <v>5</v>
      </c>
      <c r="C87">
        <v>1</v>
      </c>
      <c r="D87">
        <v>2</v>
      </c>
      <c r="E87">
        <v>2</v>
      </c>
      <c r="F87">
        <v>1</v>
      </c>
    </row>
    <row r="88" spans="1:6" x14ac:dyDescent="0.45">
      <c r="A88">
        <v>1100</v>
      </c>
      <c r="B88">
        <v>2</v>
      </c>
      <c r="C88">
        <v>-1</v>
      </c>
      <c r="D88">
        <v>-2</v>
      </c>
      <c r="E88">
        <v>2</v>
      </c>
      <c r="F88">
        <v>-1</v>
      </c>
    </row>
    <row r="89" spans="1:6" x14ac:dyDescent="0.45">
      <c r="A89">
        <v>1100</v>
      </c>
      <c r="B89">
        <v>7</v>
      </c>
      <c r="C89">
        <v>2</v>
      </c>
      <c r="D89">
        <v>2</v>
      </c>
      <c r="E89">
        <v>1</v>
      </c>
      <c r="F89">
        <v>2</v>
      </c>
    </row>
    <row r="90" spans="1:6" x14ac:dyDescent="0.45">
      <c r="A90">
        <v>1110</v>
      </c>
      <c r="B90">
        <v>5</v>
      </c>
      <c r="C90">
        <v>-2</v>
      </c>
      <c r="D90">
        <v>-2</v>
      </c>
      <c r="E90">
        <v>1</v>
      </c>
      <c r="F90">
        <v>-2</v>
      </c>
    </row>
    <row r="91" spans="1:6" x14ac:dyDescent="0.45">
      <c r="A91">
        <v>1110</v>
      </c>
      <c r="B91">
        <v>4</v>
      </c>
      <c r="C91">
        <v>1</v>
      </c>
      <c r="D91">
        <v>1</v>
      </c>
      <c r="E91">
        <v>1</v>
      </c>
      <c r="F91">
        <v>1</v>
      </c>
    </row>
    <row r="92" spans="1:6" x14ac:dyDescent="0.45">
      <c r="A92">
        <v>1110</v>
      </c>
      <c r="B92">
        <v>7</v>
      </c>
      <c r="C92">
        <v>1</v>
      </c>
      <c r="D92">
        <v>1</v>
      </c>
      <c r="E92">
        <v>2</v>
      </c>
      <c r="F92">
        <v>1</v>
      </c>
    </row>
    <row r="93" spans="1:6" x14ac:dyDescent="0.45">
      <c r="A93">
        <v>1110</v>
      </c>
      <c r="B93">
        <v>2</v>
      </c>
      <c r="C93">
        <v>-2</v>
      </c>
      <c r="D93">
        <v>1</v>
      </c>
      <c r="E93">
        <v>-1</v>
      </c>
      <c r="F93">
        <v>-2</v>
      </c>
    </row>
    <row r="94" spans="1:6" x14ac:dyDescent="0.45">
      <c r="A94">
        <v>1110</v>
      </c>
      <c r="B94">
        <v>8</v>
      </c>
      <c r="C94">
        <v>1</v>
      </c>
      <c r="D94">
        <v>-1</v>
      </c>
      <c r="E94">
        <v>2</v>
      </c>
      <c r="F94">
        <v>1</v>
      </c>
    </row>
    <row r="95" spans="1:6" x14ac:dyDescent="0.45">
      <c r="A95">
        <v>1110</v>
      </c>
      <c r="B95">
        <v>1</v>
      </c>
      <c r="C95">
        <v>2</v>
      </c>
      <c r="D95">
        <v>1</v>
      </c>
      <c r="E95">
        <v>1</v>
      </c>
      <c r="F95">
        <v>2</v>
      </c>
    </row>
    <row r="96" spans="1:6" x14ac:dyDescent="0.45">
      <c r="A96">
        <v>1110</v>
      </c>
      <c r="B96">
        <v>6</v>
      </c>
      <c r="C96">
        <v>0</v>
      </c>
      <c r="D96">
        <v>0</v>
      </c>
      <c r="E96">
        <v>2</v>
      </c>
      <c r="F96">
        <v>0</v>
      </c>
    </row>
    <row r="97" spans="1:6" x14ac:dyDescent="0.45">
      <c r="A97">
        <v>1110</v>
      </c>
      <c r="B97">
        <v>3</v>
      </c>
      <c r="C97">
        <v>0</v>
      </c>
      <c r="D97">
        <v>1</v>
      </c>
      <c r="E97">
        <v>2</v>
      </c>
      <c r="F97">
        <v>0</v>
      </c>
    </row>
    <row r="98" spans="1:6" x14ac:dyDescent="0.45">
      <c r="A98">
        <v>1120</v>
      </c>
      <c r="B98">
        <v>1</v>
      </c>
      <c r="C98">
        <v>-1</v>
      </c>
      <c r="D98">
        <v>1</v>
      </c>
      <c r="E98">
        <v>2</v>
      </c>
      <c r="F98">
        <v>-1</v>
      </c>
    </row>
    <row r="99" spans="1:6" x14ac:dyDescent="0.45">
      <c r="A99">
        <v>1120</v>
      </c>
      <c r="B99">
        <v>8</v>
      </c>
      <c r="C99">
        <v>0</v>
      </c>
      <c r="D99">
        <v>2</v>
      </c>
      <c r="E99">
        <v>1</v>
      </c>
      <c r="F99">
        <v>0</v>
      </c>
    </row>
    <row r="100" spans="1:6" x14ac:dyDescent="0.45">
      <c r="A100">
        <v>1120</v>
      </c>
      <c r="B100">
        <v>3</v>
      </c>
      <c r="C100">
        <v>-2</v>
      </c>
      <c r="D100">
        <v>2</v>
      </c>
      <c r="E100">
        <v>2</v>
      </c>
      <c r="F100">
        <v>-2</v>
      </c>
    </row>
    <row r="101" spans="1:6" x14ac:dyDescent="0.45">
      <c r="A101">
        <v>1120</v>
      </c>
      <c r="B101">
        <v>6</v>
      </c>
      <c r="C101">
        <v>-1</v>
      </c>
      <c r="D101">
        <v>1</v>
      </c>
      <c r="E101">
        <v>1</v>
      </c>
      <c r="F101">
        <v>-1</v>
      </c>
    </row>
    <row r="102" spans="1:6" x14ac:dyDescent="0.45">
      <c r="A102">
        <v>1120</v>
      </c>
      <c r="B102">
        <v>4</v>
      </c>
      <c r="C102">
        <v>1</v>
      </c>
      <c r="D102">
        <v>-1</v>
      </c>
      <c r="E102">
        <v>1</v>
      </c>
      <c r="F102">
        <v>1</v>
      </c>
    </row>
    <row r="103" spans="1:6" x14ac:dyDescent="0.45">
      <c r="A103">
        <v>1120</v>
      </c>
      <c r="B103">
        <v>5</v>
      </c>
      <c r="C103">
        <v>-1</v>
      </c>
      <c r="D103">
        <v>-2</v>
      </c>
      <c r="E103">
        <v>2</v>
      </c>
      <c r="F103">
        <v>-1</v>
      </c>
    </row>
    <row r="104" spans="1:6" x14ac:dyDescent="0.45">
      <c r="A104">
        <v>1120</v>
      </c>
      <c r="B104">
        <v>2</v>
      </c>
      <c r="C104">
        <v>-1</v>
      </c>
      <c r="D104">
        <v>-2</v>
      </c>
      <c r="E104">
        <v>-1</v>
      </c>
      <c r="F104">
        <v>-1</v>
      </c>
    </row>
    <row r="105" spans="1:6" x14ac:dyDescent="0.45">
      <c r="A105">
        <v>1120</v>
      </c>
      <c r="B105">
        <v>7</v>
      </c>
      <c r="C105">
        <v>-2</v>
      </c>
      <c r="D105">
        <v>1</v>
      </c>
      <c r="E105">
        <v>2</v>
      </c>
      <c r="F105">
        <v>-2</v>
      </c>
    </row>
    <row r="106" spans="1:6" x14ac:dyDescent="0.45">
      <c r="A106">
        <v>1130</v>
      </c>
      <c r="B106">
        <v>5</v>
      </c>
      <c r="C106">
        <v>-2</v>
      </c>
      <c r="D106">
        <v>2</v>
      </c>
      <c r="E106">
        <v>-2</v>
      </c>
      <c r="F106">
        <v>-2</v>
      </c>
    </row>
    <row r="107" spans="1:6" x14ac:dyDescent="0.45">
      <c r="A107">
        <v>1130</v>
      </c>
      <c r="B107">
        <v>4</v>
      </c>
      <c r="C107">
        <v>-2</v>
      </c>
      <c r="D107">
        <v>2</v>
      </c>
      <c r="E107">
        <v>2</v>
      </c>
      <c r="F107">
        <v>-2</v>
      </c>
    </row>
    <row r="108" spans="1:6" x14ac:dyDescent="0.45">
      <c r="A108">
        <v>1130</v>
      </c>
      <c r="B108">
        <v>7</v>
      </c>
      <c r="C108">
        <v>2</v>
      </c>
      <c r="D108">
        <v>2</v>
      </c>
      <c r="E108">
        <v>2</v>
      </c>
      <c r="F108">
        <v>2</v>
      </c>
    </row>
    <row r="109" spans="1:6" x14ac:dyDescent="0.45">
      <c r="A109">
        <v>1130</v>
      </c>
      <c r="B109">
        <v>2</v>
      </c>
      <c r="C109">
        <v>-2</v>
      </c>
      <c r="D109">
        <v>-2</v>
      </c>
      <c r="E109">
        <v>2</v>
      </c>
      <c r="F109">
        <v>-2</v>
      </c>
    </row>
    <row r="110" spans="1:6" x14ac:dyDescent="0.45">
      <c r="A110">
        <v>1130</v>
      </c>
      <c r="B110">
        <v>8</v>
      </c>
      <c r="C110">
        <v>1</v>
      </c>
      <c r="D110">
        <v>1</v>
      </c>
      <c r="E110">
        <v>2</v>
      </c>
      <c r="F110">
        <v>1</v>
      </c>
    </row>
    <row r="111" spans="1:6" x14ac:dyDescent="0.45">
      <c r="A111">
        <v>1130</v>
      </c>
      <c r="B111">
        <v>1</v>
      </c>
      <c r="C111">
        <v>2</v>
      </c>
      <c r="D111">
        <v>2</v>
      </c>
      <c r="E111">
        <v>2</v>
      </c>
      <c r="F111">
        <v>2</v>
      </c>
    </row>
    <row r="112" spans="1:6" x14ac:dyDescent="0.45">
      <c r="A112">
        <v>1130</v>
      </c>
      <c r="B112">
        <v>6</v>
      </c>
      <c r="C112">
        <v>-1</v>
      </c>
      <c r="D112">
        <v>2</v>
      </c>
      <c r="E112">
        <v>2</v>
      </c>
      <c r="F112">
        <v>-1</v>
      </c>
    </row>
    <row r="113" spans="1:6" x14ac:dyDescent="0.45">
      <c r="A113">
        <v>1130</v>
      </c>
      <c r="B113">
        <v>3</v>
      </c>
      <c r="C113">
        <v>-2</v>
      </c>
      <c r="D113">
        <v>2</v>
      </c>
      <c r="E113">
        <v>2</v>
      </c>
      <c r="F113">
        <v>-2</v>
      </c>
    </row>
    <row r="114" spans="1:6" x14ac:dyDescent="0.45">
      <c r="A114">
        <v>1140</v>
      </c>
      <c r="B114">
        <v>1</v>
      </c>
      <c r="C114">
        <v>-1</v>
      </c>
      <c r="D114">
        <v>2</v>
      </c>
      <c r="E114">
        <v>2</v>
      </c>
      <c r="F114">
        <v>-1</v>
      </c>
    </row>
    <row r="115" spans="1:6" x14ac:dyDescent="0.45">
      <c r="A115">
        <v>1140</v>
      </c>
      <c r="B115">
        <v>8</v>
      </c>
      <c r="C115">
        <v>-2</v>
      </c>
      <c r="D115">
        <v>2</v>
      </c>
      <c r="E115">
        <v>2</v>
      </c>
      <c r="F115">
        <v>-2</v>
      </c>
    </row>
    <row r="116" spans="1:6" x14ac:dyDescent="0.45">
      <c r="A116">
        <v>1140</v>
      </c>
      <c r="B116">
        <v>3</v>
      </c>
      <c r="C116">
        <v>-2</v>
      </c>
      <c r="D116">
        <v>2</v>
      </c>
      <c r="E116">
        <v>2</v>
      </c>
      <c r="F116">
        <v>-2</v>
      </c>
    </row>
    <row r="117" spans="1:6" x14ac:dyDescent="0.45">
      <c r="A117">
        <v>1140</v>
      </c>
      <c r="B117">
        <v>6</v>
      </c>
      <c r="C117">
        <v>-2</v>
      </c>
      <c r="D117">
        <v>1</v>
      </c>
      <c r="E117">
        <v>2</v>
      </c>
      <c r="F117">
        <v>-2</v>
      </c>
    </row>
    <row r="118" spans="1:6" x14ac:dyDescent="0.45">
      <c r="A118">
        <v>1140</v>
      </c>
      <c r="B118">
        <v>4</v>
      </c>
      <c r="C118">
        <v>-1</v>
      </c>
      <c r="D118">
        <v>2</v>
      </c>
      <c r="E118">
        <v>2</v>
      </c>
      <c r="F118">
        <v>-1</v>
      </c>
    </row>
    <row r="119" spans="1:6" x14ac:dyDescent="0.45">
      <c r="A119">
        <v>1140</v>
      </c>
      <c r="B119">
        <v>5</v>
      </c>
      <c r="C119">
        <v>-1</v>
      </c>
      <c r="D119">
        <v>-2</v>
      </c>
      <c r="E119">
        <v>2</v>
      </c>
      <c r="F119">
        <v>-1</v>
      </c>
    </row>
    <row r="120" spans="1:6" x14ac:dyDescent="0.45">
      <c r="A120">
        <v>1140</v>
      </c>
      <c r="B120">
        <v>2</v>
      </c>
      <c r="C120">
        <v>1</v>
      </c>
      <c r="D120">
        <v>-2</v>
      </c>
      <c r="E120">
        <v>-1</v>
      </c>
      <c r="F120">
        <v>1</v>
      </c>
    </row>
    <row r="121" spans="1:6" x14ac:dyDescent="0.45">
      <c r="A121">
        <v>1140</v>
      </c>
      <c r="B121">
        <v>7</v>
      </c>
      <c r="C121">
        <v>-2</v>
      </c>
      <c r="D121">
        <v>2</v>
      </c>
      <c r="E121">
        <v>2</v>
      </c>
      <c r="F121">
        <v>-2</v>
      </c>
    </row>
    <row r="122" spans="1:6" x14ac:dyDescent="0.45">
      <c r="A122">
        <v>1150</v>
      </c>
      <c r="B122">
        <v>5</v>
      </c>
      <c r="C122">
        <v>2</v>
      </c>
      <c r="D122">
        <v>2</v>
      </c>
      <c r="E122">
        <v>2</v>
      </c>
      <c r="F122">
        <v>2</v>
      </c>
    </row>
    <row r="123" spans="1:6" x14ac:dyDescent="0.45">
      <c r="A123">
        <v>1150</v>
      </c>
      <c r="B123">
        <v>4</v>
      </c>
      <c r="C123">
        <v>-1</v>
      </c>
      <c r="D123">
        <v>2</v>
      </c>
      <c r="E123">
        <v>1</v>
      </c>
      <c r="F123">
        <v>-1</v>
      </c>
    </row>
    <row r="124" spans="1:6" x14ac:dyDescent="0.45">
      <c r="A124">
        <v>1150</v>
      </c>
      <c r="B124">
        <v>7</v>
      </c>
      <c r="C124">
        <v>-2</v>
      </c>
      <c r="D124">
        <v>1</v>
      </c>
      <c r="E124">
        <v>2</v>
      </c>
      <c r="F124">
        <v>-2</v>
      </c>
    </row>
    <row r="125" spans="1:6" x14ac:dyDescent="0.45">
      <c r="A125">
        <v>1150</v>
      </c>
      <c r="B125">
        <v>2</v>
      </c>
      <c r="C125">
        <v>2</v>
      </c>
      <c r="D125">
        <v>2</v>
      </c>
      <c r="E125">
        <v>2</v>
      </c>
      <c r="F125">
        <v>2</v>
      </c>
    </row>
    <row r="126" spans="1:6" x14ac:dyDescent="0.45">
      <c r="A126">
        <v>1150</v>
      </c>
      <c r="B126">
        <v>8</v>
      </c>
      <c r="C126">
        <v>-2</v>
      </c>
      <c r="D126">
        <v>2</v>
      </c>
      <c r="E126">
        <v>1</v>
      </c>
      <c r="F126">
        <v>-2</v>
      </c>
    </row>
    <row r="127" spans="1:6" x14ac:dyDescent="0.45">
      <c r="A127">
        <v>1150</v>
      </c>
      <c r="B127">
        <v>1</v>
      </c>
      <c r="C127">
        <v>-1</v>
      </c>
      <c r="D127">
        <v>2</v>
      </c>
      <c r="E127">
        <v>2</v>
      </c>
      <c r="F127">
        <v>-1</v>
      </c>
    </row>
    <row r="128" spans="1:6" x14ac:dyDescent="0.45">
      <c r="A128">
        <v>1150</v>
      </c>
      <c r="B128">
        <v>6</v>
      </c>
      <c r="C128">
        <v>-1</v>
      </c>
      <c r="D128">
        <v>2</v>
      </c>
      <c r="E128">
        <v>2</v>
      </c>
      <c r="F128">
        <v>-1</v>
      </c>
    </row>
    <row r="129" spans="1:6" x14ac:dyDescent="0.45">
      <c r="A129">
        <v>1150</v>
      </c>
      <c r="B129">
        <v>3</v>
      </c>
      <c r="C129">
        <v>-1</v>
      </c>
      <c r="D129">
        <v>2</v>
      </c>
      <c r="E129">
        <v>2</v>
      </c>
      <c r="F129">
        <v>-1</v>
      </c>
    </row>
    <row r="130" spans="1:6" x14ac:dyDescent="0.45">
      <c r="A130">
        <v>1160</v>
      </c>
      <c r="B130">
        <v>5</v>
      </c>
      <c r="C130">
        <v>1</v>
      </c>
      <c r="D130">
        <v>-1</v>
      </c>
      <c r="E130">
        <v>-2</v>
      </c>
      <c r="F130">
        <v>1</v>
      </c>
    </row>
    <row r="131" spans="1:6" x14ac:dyDescent="0.45">
      <c r="A131">
        <v>1160</v>
      </c>
      <c r="B131">
        <v>4</v>
      </c>
      <c r="C131">
        <v>1</v>
      </c>
      <c r="D131">
        <v>2</v>
      </c>
      <c r="E131">
        <v>1</v>
      </c>
      <c r="F131">
        <v>1</v>
      </c>
    </row>
    <row r="132" spans="1:6" x14ac:dyDescent="0.45">
      <c r="A132">
        <v>1160</v>
      </c>
      <c r="B132">
        <v>7</v>
      </c>
      <c r="C132">
        <v>2</v>
      </c>
      <c r="D132">
        <v>-2</v>
      </c>
      <c r="E132">
        <v>2</v>
      </c>
      <c r="F132">
        <v>2</v>
      </c>
    </row>
    <row r="133" spans="1:6" x14ac:dyDescent="0.45">
      <c r="A133">
        <v>1160</v>
      </c>
      <c r="B133">
        <v>2</v>
      </c>
      <c r="C133">
        <v>1</v>
      </c>
      <c r="D133">
        <v>2</v>
      </c>
      <c r="E133">
        <v>-2</v>
      </c>
      <c r="F133">
        <v>1</v>
      </c>
    </row>
    <row r="134" spans="1:6" x14ac:dyDescent="0.45">
      <c r="A134">
        <v>1160</v>
      </c>
      <c r="B134">
        <v>8</v>
      </c>
      <c r="C134">
        <v>-2</v>
      </c>
      <c r="D134">
        <v>1</v>
      </c>
      <c r="E134">
        <v>2</v>
      </c>
      <c r="F134">
        <v>-2</v>
      </c>
    </row>
    <row r="135" spans="1:6" x14ac:dyDescent="0.45">
      <c r="A135">
        <v>1160</v>
      </c>
      <c r="B135">
        <v>1</v>
      </c>
      <c r="C135">
        <v>-2</v>
      </c>
      <c r="D135">
        <v>2</v>
      </c>
      <c r="E135">
        <v>1</v>
      </c>
      <c r="F135">
        <v>-2</v>
      </c>
    </row>
    <row r="136" spans="1:6" x14ac:dyDescent="0.45">
      <c r="A136">
        <v>1160</v>
      </c>
      <c r="B136">
        <v>6</v>
      </c>
      <c r="C136">
        <v>-1</v>
      </c>
      <c r="D136">
        <v>1</v>
      </c>
      <c r="E136">
        <v>2</v>
      </c>
      <c r="F136">
        <v>-1</v>
      </c>
    </row>
    <row r="137" spans="1:6" x14ac:dyDescent="0.45">
      <c r="A137">
        <v>1160</v>
      </c>
      <c r="B137">
        <v>3</v>
      </c>
      <c r="C137">
        <v>-1</v>
      </c>
      <c r="D137">
        <v>1</v>
      </c>
      <c r="E137">
        <v>2</v>
      </c>
      <c r="F137">
        <v>-1</v>
      </c>
    </row>
    <row r="138" spans="1:6" x14ac:dyDescent="0.45">
      <c r="A138">
        <v>1170</v>
      </c>
      <c r="B138">
        <v>1</v>
      </c>
      <c r="C138">
        <v>1</v>
      </c>
      <c r="D138">
        <v>1</v>
      </c>
      <c r="E138">
        <v>1</v>
      </c>
      <c r="F138">
        <v>1</v>
      </c>
    </row>
    <row r="139" spans="1:6" x14ac:dyDescent="0.45">
      <c r="A139">
        <v>1170</v>
      </c>
      <c r="B139">
        <v>8</v>
      </c>
      <c r="C139">
        <v>0</v>
      </c>
      <c r="D139">
        <v>1</v>
      </c>
      <c r="E139">
        <v>1</v>
      </c>
      <c r="F139">
        <v>0</v>
      </c>
    </row>
    <row r="140" spans="1:6" x14ac:dyDescent="0.45">
      <c r="A140">
        <v>1170</v>
      </c>
      <c r="B140">
        <v>3</v>
      </c>
      <c r="C140">
        <v>-1</v>
      </c>
      <c r="D140">
        <v>1</v>
      </c>
      <c r="E140">
        <v>2</v>
      </c>
      <c r="F140">
        <v>-1</v>
      </c>
    </row>
    <row r="141" spans="1:6" x14ac:dyDescent="0.45">
      <c r="A141">
        <v>1170</v>
      </c>
      <c r="B141">
        <v>6</v>
      </c>
      <c r="C141">
        <v>0</v>
      </c>
      <c r="D141">
        <v>1</v>
      </c>
      <c r="E141">
        <v>1</v>
      </c>
      <c r="F141">
        <v>0</v>
      </c>
    </row>
    <row r="142" spans="1:6" x14ac:dyDescent="0.45">
      <c r="A142">
        <v>1170</v>
      </c>
      <c r="B142">
        <v>4</v>
      </c>
      <c r="C142">
        <v>1</v>
      </c>
      <c r="D142">
        <v>2</v>
      </c>
      <c r="E142">
        <v>1</v>
      </c>
      <c r="F142">
        <v>1</v>
      </c>
    </row>
    <row r="143" spans="1:6" x14ac:dyDescent="0.45">
      <c r="A143">
        <v>1170</v>
      </c>
      <c r="B143">
        <v>5</v>
      </c>
      <c r="C143">
        <v>1</v>
      </c>
      <c r="D143">
        <v>-1</v>
      </c>
      <c r="E143">
        <v>0</v>
      </c>
      <c r="F143">
        <v>1</v>
      </c>
    </row>
    <row r="144" spans="1:6" x14ac:dyDescent="0.45">
      <c r="A144">
        <v>1170</v>
      </c>
      <c r="B144">
        <v>2</v>
      </c>
      <c r="C144">
        <v>-1</v>
      </c>
      <c r="D144">
        <v>-1</v>
      </c>
      <c r="E144">
        <v>-1</v>
      </c>
      <c r="F144">
        <v>-1</v>
      </c>
    </row>
    <row r="145" spans="1:6" x14ac:dyDescent="0.45">
      <c r="A145">
        <v>1170</v>
      </c>
      <c r="B145">
        <v>7</v>
      </c>
      <c r="C145">
        <v>1</v>
      </c>
      <c r="D145">
        <v>1</v>
      </c>
      <c r="E145">
        <v>1</v>
      </c>
      <c r="F145">
        <v>1</v>
      </c>
    </row>
    <row r="146" spans="1:6" x14ac:dyDescent="0.45">
      <c r="A146">
        <v>1180</v>
      </c>
      <c r="B146">
        <v>5</v>
      </c>
      <c r="C146">
        <v>-2</v>
      </c>
      <c r="D146">
        <v>0</v>
      </c>
      <c r="E146">
        <v>-1</v>
      </c>
      <c r="F146">
        <v>-2</v>
      </c>
    </row>
    <row r="147" spans="1:6" x14ac:dyDescent="0.45">
      <c r="A147">
        <v>1180</v>
      </c>
      <c r="B147">
        <v>4</v>
      </c>
      <c r="C147">
        <v>-1</v>
      </c>
      <c r="D147">
        <v>2</v>
      </c>
      <c r="E147">
        <v>2</v>
      </c>
      <c r="F147">
        <v>-1</v>
      </c>
    </row>
    <row r="148" spans="1:6" x14ac:dyDescent="0.45">
      <c r="A148">
        <v>1180</v>
      </c>
      <c r="B148">
        <v>7</v>
      </c>
      <c r="C148">
        <v>-1</v>
      </c>
      <c r="D148">
        <v>2</v>
      </c>
      <c r="E148">
        <v>2</v>
      </c>
      <c r="F148">
        <v>-1</v>
      </c>
    </row>
    <row r="149" spans="1:6" x14ac:dyDescent="0.45">
      <c r="A149">
        <v>1180</v>
      </c>
      <c r="B149">
        <v>2</v>
      </c>
      <c r="C149">
        <v>-2</v>
      </c>
      <c r="D149">
        <v>2</v>
      </c>
      <c r="E149">
        <v>1</v>
      </c>
      <c r="F149">
        <v>-2</v>
      </c>
    </row>
    <row r="150" spans="1:6" x14ac:dyDescent="0.45">
      <c r="A150">
        <v>1180</v>
      </c>
      <c r="B150">
        <v>8</v>
      </c>
      <c r="C150">
        <v>-1</v>
      </c>
      <c r="D150">
        <v>2</v>
      </c>
      <c r="E150">
        <v>2</v>
      </c>
      <c r="F150">
        <v>-1</v>
      </c>
    </row>
    <row r="151" spans="1:6" x14ac:dyDescent="0.45">
      <c r="A151">
        <v>1180</v>
      </c>
      <c r="B151">
        <v>1</v>
      </c>
      <c r="C151">
        <v>-2</v>
      </c>
      <c r="D151">
        <v>2</v>
      </c>
      <c r="E151">
        <v>2</v>
      </c>
      <c r="F151">
        <v>-2</v>
      </c>
    </row>
    <row r="152" spans="1:6" x14ac:dyDescent="0.45">
      <c r="A152">
        <v>1180</v>
      </c>
      <c r="B152">
        <v>6</v>
      </c>
      <c r="C152">
        <v>-2</v>
      </c>
      <c r="D152">
        <v>1</v>
      </c>
      <c r="E152">
        <v>2</v>
      </c>
      <c r="F152">
        <v>-2</v>
      </c>
    </row>
    <row r="153" spans="1:6" x14ac:dyDescent="0.45">
      <c r="A153">
        <v>1180</v>
      </c>
      <c r="B153">
        <v>3</v>
      </c>
      <c r="C153">
        <v>-1</v>
      </c>
      <c r="D153">
        <v>2</v>
      </c>
      <c r="E153">
        <v>2</v>
      </c>
      <c r="F153">
        <v>-1</v>
      </c>
    </row>
    <row r="154" spans="1:6" x14ac:dyDescent="0.45">
      <c r="A154">
        <v>1190</v>
      </c>
      <c r="B154">
        <v>1</v>
      </c>
      <c r="C154">
        <v>1</v>
      </c>
      <c r="D154">
        <v>1</v>
      </c>
      <c r="E154">
        <v>1</v>
      </c>
      <c r="F154">
        <v>1</v>
      </c>
    </row>
    <row r="155" spans="1:6" x14ac:dyDescent="0.45">
      <c r="A155">
        <v>1190</v>
      </c>
      <c r="B155">
        <v>8</v>
      </c>
      <c r="C155">
        <v>1</v>
      </c>
      <c r="D155">
        <v>2</v>
      </c>
      <c r="E155">
        <v>2</v>
      </c>
      <c r="F155">
        <v>1</v>
      </c>
    </row>
    <row r="156" spans="1:6" x14ac:dyDescent="0.45">
      <c r="A156">
        <v>1190</v>
      </c>
      <c r="B156">
        <v>3</v>
      </c>
      <c r="C156">
        <v>-2</v>
      </c>
      <c r="D156">
        <v>2</v>
      </c>
      <c r="E156">
        <v>2</v>
      </c>
      <c r="F156">
        <v>-2</v>
      </c>
    </row>
    <row r="157" spans="1:6" x14ac:dyDescent="0.45">
      <c r="A157">
        <v>1190</v>
      </c>
      <c r="B157">
        <v>6</v>
      </c>
      <c r="C157">
        <v>1</v>
      </c>
      <c r="D157">
        <v>-1</v>
      </c>
      <c r="E157">
        <v>2</v>
      </c>
      <c r="F157">
        <v>1</v>
      </c>
    </row>
    <row r="158" spans="1:6" x14ac:dyDescent="0.45">
      <c r="A158">
        <v>1190</v>
      </c>
      <c r="B158">
        <v>4</v>
      </c>
      <c r="C158">
        <v>-1</v>
      </c>
      <c r="D158">
        <v>-1</v>
      </c>
      <c r="E158">
        <v>2</v>
      </c>
      <c r="F158">
        <v>-1</v>
      </c>
    </row>
    <row r="159" spans="1:6" x14ac:dyDescent="0.45">
      <c r="A159">
        <v>1190</v>
      </c>
      <c r="B159">
        <v>5</v>
      </c>
      <c r="C159">
        <v>-1</v>
      </c>
      <c r="D159">
        <v>1</v>
      </c>
      <c r="E159">
        <v>1</v>
      </c>
      <c r="F159">
        <v>-1</v>
      </c>
    </row>
    <row r="160" spans="1:6" x14ac:dyDescent="0.45">
      <c r="A160">
        <v>1190</v>
      </c>
      <c r="B160">
        <v>2</v>
      </c>
      <c r="C160">
        <v>-2</v>
      </c>
      <c r="D160">
        <v>2</v>
      </c>
      <c r="E160">
        <v>1</v>
      </c>
      <c r="F160">
        <v>-2</v>
      </c>
    </row>
    <row r="161" spans="1:6" x14ac:dyDescent="0.45">
      <c r="A161">
        <v>1190</v>
      </c>
      <c r="B161">
        <v>7</v>
      </c>
      <c r="C161">
        <v>2</v>
      </c>
      <c r="D161">
        <v>1</v>
      </c>
      <c r="E161">
        <v>1</v>
      </c>
      <c r="F161">
        <v>2</v>
      </c>
    </row>
    <row r="162" spans="1:6" x14ac:dyDescent="0.45">
      <c r="A162">
        <v>1200</v>
      </c>
      <c r="B162">
        <v>5</v>
      </c>
      <c r="C162">
        <v>-1</v>
      </c>
      <c r="D162">
        <v>-2</v>
      </c>
      <c r="E162">
        <v>-1</v>
      </c>
      <c r="F162">
        <v>-1</v>
      </c>
    </row>
    <row r="163" spans="1:6" x14ac:dyDescent="0.45">
      <c r="A163">
        <v>1200</v>
      </c>
      <c r="B163">
        <v>4</v>
      </c>
      <c r="C163">
        <v>-2</v>
      </c>
      <c r="D163">
        <v>2</v>
      </c>
      <c r="E163">
        <v>2</v>
      </c>
      <c r="F163">
        <v>-2</v>
      </c>
    </row>
    <row r="164" spans="1:6" x14ac:dyDescent="0.45">
      <c r="A164">
        <v>1200</v>
      </c>
      <c r="B164">
        <v>7</v>
      </c>
      <c r="C164">
        <v>-1</v>
      </c>
      <c r="D164">
        <v>2</v>
      </c>
      <c r="E164">
        <v>2</v>
      </c>
      <c r="F164">
        <v>-1</v>
      </c>
    </row>
    <row r="165" spans="1:6" x14ac:dyDescent="0.45">
      <c r="A165">
        <v>1200</v>
      </c>
      <c r="B165">
        <v>2</v>
      </c>
      <c r="C165">
        <v>-2</v>
      </c>
      <c r="D165">
        <v>-1</v>
      </c>
      <c r="E165">
        <v>2</v>
      </c>
      <c r="F165">
        <v>-2</v>
      </c>
    </row>
    <row r="166" spans="1:6" x14ac:dyDescent="0.45">
      <c r="A166">
        <v>1200</v>
      </c>
      <c r="B166">
        <v>8</v>
      </c>
      <c r="C166">
        <v>-2</v>
      </c>
      <c r="D166">
        <v>2</v>
      </c>
      <c r="E166">
        <v>2</v>
      </c>
      <c r="F166">
        <v>-2</v>
      </c>
    </row>
    <row r="167" spans="1:6" x14ac:dyDescent="0.45">
      <c r="A167">
        <v>1200</v>
      </c>
      <c r="B167">
        <v>1</v>
      </c>
      <c r="C167">
        <v>-1</v>
      </c>
      <c r="D167">
        <v>2</v>
      </c>
      <c r="E167">
        <v>2</v>
      </c>
      <c r="F167">
        <v>-1</v>
      </c>
    </row>
    <row r="168" spans="1:6" x14ac:dyDescent="0.45">
      <c r="A168">
        <v>1200</v>
      </c>
      <c r="B168">
        <v>6</v>
      </c>
      <c r="C168">
        <v>-2</v>
      </c>
      <c r="D168">
        <v>1</v>
      </c>
      <c r="E168">
        <v>2</v>
      </c>
      <c r="F168">
        <v>-2</v>
      </c>
    </row>
    <row r="169" spans="1:6" x14ac:dyDescent="0.45">
      <c r="A169">
        <v>1200</v>
      </c>
      <c r="B169">
        <v>3</v>
      </c>
      <c r="C169">
        <v>-2</v>
      </c>
      <c r="D169">
        <v>2</v>
      </c>
      <c r="E169">
        <v>2</v>
      </c>
      <c r="F169">
        <v>-2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27E2-2BBF-4A4A-86D8-820EE8727D99}">
  <dimension ref="A1:T169"/>
  <sheetViews>
    <sheetView zoomScale="85" zoomScaleNormal="85" workbookViewId="0">
      <selection activeCell="R19" sqref="R19:T32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1</v>
      </c>
      <c r="D2">
        <v>1</v>
      </c>
      <c r="E2">
        <v>1</v>
      </c>
      <c r="F2">
        <v>1</v>
      </c>
      <c r="H2" t="s">
        <v>49</v>
      </c>
    </row>
    <row r="3" spans="1:14" x14ac:dyDescent="0.45">
      <c r="A3">
        <v>1000</v>
      </c>
      <c r="B3">
        <v>4</v>
      </c>
      <c r="C3">
        <v>0</v>
      </c>
      <c r="D3">
        <v>-1</v>
      </c>
      <c r="E3">
        <v>2</v>
      </c>
      <c r="F3">
        <v>0</v>
      </c>
    </row>
    <row r="4" spans="1:14" ht="18.600000000000001" thickBot="1" x14ac:dyDescent="0.5">
      <c r="A4">
        <v>1000</v>
      </c>
      <c r="B4">
        <v>7</v>
      </c>
      <c r="C4">
        <v>0</v>
      </c>
      <c r="D4">
        <v>1</v>
      </c>
      <c r="E4">
        <v>2</v>
      </c>
      <c r="F4">
        <v>0</v>
      </c>
      <c r="H4" t="s">
        <v>50</v>
      </c>
    </row>
    <row r="5" spans="1:14" x14ac:dyDescent="0.45">
      <c r="A5">
        <v>1000</v>
      </c>
      <c r="B5">
        <v>2</v>
      </c>
      <c r="C5">
        <v>1</v>
      </c>
      <c r="D5">
        <v>1</v>
      </c>
      <c r="E5">
        <v>1</v>
      </c>
      <c r="F5">
        <v>1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-2</v>
      </c>
      <c r="D6">
        <v>0</v>
      </c>
      <c r="E6">
        <v>2</v>
      </c>
      <c r="F6">
        <v>-2</v>
      </c>
      <c r="H6" t="s">
        <v>46</v>
      </c>
      <c r="I6">
        <v>168</v>
      </c>
      <c r="J6">
        <v>-63</v>
      </c>
      <c r="K6">
        <v>-0.375</v>
      </c>
      <c r="L6">
        <v>1.625</v>
      </c>
    </row>
    <row r="7" spans="1:14" x14ac:dyDescent="0.45">
      <c r="A7">
        <v>1000</v>
      </c>
      <c r="B7">
        <v>1</v>
      </c>
      <c r="C7">
        <v>-1</v>
      </c>
      <c r="D7">
        <v>-1</v>
      </c>
      <c r="E7">
        <v>2</v>
      </c>
      <c r="F7">
        <v>-1</v>
      </c>
      <c r="H7" t="s">
        <v>47</v>
      </c>
      <c r="I7">
        <v>168</v>
      </c>
      <c r="J7">
        <v>-9</v>
      </c>
      <c r="K7">
        <v>-5.3571428571428568E-2</v>
      </c>
      <c r="L7">
        <v>2.1348374679213005</v>
      </c>
    </row>
    <row r="8" spans="1:14" ht="18.600000000000001" thickBot="1" x14ac:dyDescent="0.5">
      <c r="A8">
        <v>1000</v>
      </c>
      <c r="B8">
        <v>6</v>
      </c>
      <c r="C8">
        <v>-1</v>
      </c>
      <c r="D8">
        <v>-1</v>
      </c>
      <c r="E8">
        <v>2</v>
      </c>
      <c r="F8">
        <v>-1</v>
      </c>
      <c r="H8" s="3" t="s">
        <v>48</v>
      </c>
      <c r="I8" s="3">
        <v>168</v>
      </c>
      <c r="J8" s="3">
        <v>166</v>
      </c>
      <c r="K8" s="3">
        <v>0.98809523809523814</v>
      </c>
      <c r="L8" s="3">
        <v>1.7483604220131166</v>
      </c>
    </row>
    <row r="9" spans="1:14" x14ac:dyDescent="0.45">
      <c r="A9">
        <v>1000</v>
      </c>
      <c r="B9">
        <v>3</v>
      </c>
      <c r="C9">
        <v>-1</v>
      </c>
      <c r="D9">
        <v>2</v>
      </c>
      <c r="E9">
        <v>2</v>
      </c>
      <c r="F9">
        <v>-1</v>
      </c>
    </row>
    <row r="10" spans="1:14" x14ac:dyDescent="0.45">
      <c r="A10">
        <v>1010</v>
      </c>
      <c r="B10">
        <v>5</v>
      </c>
      <c r="C10">
        <v>0</v>
      </c>
      <c r="D10">
        <v>-2</v>
      </c>
      <c r="E10">
        <v>2</v>
      </c>
      <c r="F10">
        <v>0</v>
      </c>
    </row>
    <row r="11" spans="1:14" ht="18.600000000000001" thickBot="1" x14ac:dyDescent="0.5">
      <c r="A11">
        <v>1010</v>
      </c>
      <c r="B11">
        <v>4</v>
      </c>
      <c r="C11">
        <v>1</v>
      </c>
      <c r="D11">
        <v>1</v>
      </c>
      <c r="E11">
        <v>0</v>
      </c>
      <c r="F11">
        <v>1</v>
      </c>
      <c r="H11" t="s">
        <v>56</v>
      </c>
    </row>
    <row r="12" spans="1:14" x14ac:dyDescent="0.45">
      <c r="A12">
        <v>1010</v>
      </c>
      <c r="B12">
        <v>7</v>
      </c>
      <c r="C12">
        <v>0</v>
      </c>
      <c r="D12">
        <v>1</v>
      </c>
      <c r="E12">
        <v>2</v>
      </c>
      <c r="F12">
        <v>0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0</v>
      </c>
      <c r="D13">
        <v>-2</v>
      </c>
      <c r="E13">
        <v>-2</v>
      </c>
      <c r="F13">
        <v>0</v>
      </c>
      <c r="H13" t="s">
        <v>63</v>
      </c>
      <c r="I13">
        <v>170.59920634920695</v>
      </c>
      <c r="J13">
        <v>2</v>
      </c>
      <c r="K13">
        <v>85.299603174603476</v>
      </c>
      <c r="L13">
        <v>46.457809729645909</v>
      </c>
      <c r="M13">
        <v>3.0995682853654065E-19</v>
      </c>
      <c r="N13">
        <v>3.0137168925158462</v>
      </c>
    </row>
    <row r="14" spans="1:14" x14ac:dyDescent="0.45">
      <c r="A14">
        <v>1010</v>
      </c>
      <c r="B14">
        <v>8</v>
      </c>
      <c r="C14">
        <v>1</v>
      </c>
      <c r="D14">
        <v>0</v>
      </c>
      <c r="E14">
        <v>0</v>
      </c>
      <c r="F14">
        <v>1</v>
      </c>
      <c r="H14" t="s">
        <v>64</v>
      </c>
      <c r="I14">
        <v>919.86904761904839</v>
      </c>
      <c r="J14">
        <v>501</v>
      </c>
      <c r="K14">
        <v>1.8360659633114738</v>
      </c>
    </row>
    <row r="15" spans="1:14" x14ac:dyDescent="0.45">
      <c r="A15">
        <v>1010</v>
      </c>
      <c r="B15">
        <v>1</v>
      </c>
      <c r="C15">
        <v>1</v>
      </c>
      <c r="D15">
        <v>1</v>
      </c>
      <c r="E15">
        <v>2</v>
      </c>
      <c r="F15">
        <v>1</v>
      </c>
    </row>
    <row r="16" spans="1:14" ht="18.600000000000001" thickBot="1" x14ac:dyDescent="0.5">
      <c r="A16">
        <v>1010</v>
      </c>
      <c r="B16">
        <v>6</v>
      </c>
      <c r="C16">
        <v>0</v>
      </c>
      <c r="D16">
        <v>1</v>
      </c>
      <c r="E16">
        <v>1</v>
      </c>
      <c r="F16">
        <v>0</v>
      </c>
      <c r="H16" s="3" t="s">
        <v>53</v>
      </c>
      <c r="I16" s="3">
        <v>1090.4682539682553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0</v>
      </c>
      <c r="D17">
        <v>-2</v>
      </c>
      <c r="E17">
        <v>2</v>
      </c>
      <c r="F17">
        <v>0</v>
      </c>
    </row>
    <row r="18" spans="1:20" x14ac:dyDescent="0.45">
      <c r="A18">
        <v>1020</v>
      </c>
      <c r="B18">
        <v>5</v>
      </c>
      <c r="C18">
        <v>2</v>
      </c>
      <c r="D18">
        <v>1</v>
      </c>
      <c r="E18">
        <v>-2</v>
      </c>
      <c r="F18">
        <v>2</v>
      </c>
    </row>
    <row r="19" spans="1:20" x14ac:dyDescent="0.45">
      <c r="A19">
        <v>1020</v>
      </c>
      <c r="B19">
        <v>4</v>
      </c>
      <c r="C19">
        <v>1</v>
      </c>
      <c r="D19">
        <v>-2</v>
      </c>
      <c r="E19">
        <v>2</v>
      </c>
      <c r="F19">
        <v>1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1</v>
      </c>
      <c r="D20">
        <v>-1</v>
      </c>
      <c r="E20">
        <v>1</v>
      </c>
      <c r="F20">
        <v>1</v>
      </c>
    </row>
    <row r="21" spans="1:20" x14ac:dyDescent="0.45">
      <c r="A21">
        <v>1020</v>
      </c>
      <c r="B21">
        <v>2</v>
      </c>
      <c r="C21">
        <v>1</v>
      </c>
      <c r="D21">
        <v>1</v>
      </c>
      <c r="E21">
        <v>2</v>
      </c>
      <c r="F21">
        <v>1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-1</v>
      </c>
      <c r="D22">
        <v>1</v>
      </c>
      <c r="E22">
        <v>1</v>
      </c>
      <c r="F22">
        <v>-1</v>
      </c>
      <c r="H22" t="s">
        <v>54</v>
      </c>
      <c r="I22">
        <v>-0.375</v>
      </c>
      <c r="J22">
        <v>-5.3571428571428568E-2</v>
      </c>
      <c r="M22" t="s">
        <v>54</v>
      </c>
      <c r="N22">
        <v>-5.3571428571428568E-2</v>
      </c>
      <c r="O22">
        <v>0.98809523809523814</v>
      </c>
      <c r="R22" t="s">
        <v>54</v>
      </c>
      <c r="S22">
        <v>0.98809523809523814</v>
      </c>
      <c r="T22">
        <v>-0.375</v>
      </c>
    </row>
    <row r="23" spans="1:20" x14ac:dyDescent="0.45">
      <c r="A23">
        <v>1020</v>
      </c>
      <c r="B23">
        <v>1</v>
      </c>
      <c r="C23">
        <v>-1</v>
      </c>
      <c r="D23">
        <v>1</v>
      </c>
      <c r="E23">
        <v>2</v>
      </c>
      <c r="F23">
        <v>-1</v>
      </c>
      <c r="H23" t="s">
        <v>55</v>
      </c>
      <c r="I23">
        <v>1.625</v>
      </c>
      <c r="J23">
        <v>2.1348374679213005</v>
      </c>
      <c r="M23" t="s">
        <v>55</v>
      </c>
      <c r="N23">
        <v>2.1348374679213005</v>
      </c>
      <c r="O23">
        <v>1.7483604220131166</v>
      </c>
      <c r="R23" t="s">
        <v>55</v>
      </c>
      <c r="S23">
        <v>1.7483604220131166</v>
      </c>
      <c r="T23">
        <v>1.625</v>
      </c>
    </row>
    <row r="24" spans="1:20" x14ac:dyDescent="0.45">
      <c r="A24">
        <v>1020</v>
      </c>
      <c r="B24">
        <v>6</v>
      </c>
      <c r="C24">
        <v>1</v>
      </c>
      <c r="D24">
        <v>-2</v>
      </c>
      <c r="E24">
        <v>2</v>
      </c>
      <c r="F24">
        <v>1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1</v>
      </c>
      <c r="D25">
        <v>1</v>
      </c>
      <c r="E25">
        <v>1</v>
      </c>
      <c r="F25">
        <v>1</v>
      </c>
      <c r="H25" t="s">
        <v>82</v>
      </c>
      <c r="I25">
        <v>-3.978502594488427E-2</v>
      </c>
      <c r="M25" t="s">
        <v>82</v>
      </c>
      <c r="N25">
        <v>5.866829614790443E-3</v>
      </c>
      <c r="R25" t="s">
        <v>82</v>
      </c>
      <c r="S25">
        <v>-9.5030967150164417E-2</v>
      </c>
    </row>
    <row r="26" spans="1:20" x14ac:dyDescent="0.45">
      <c r="A26">
        <v>1030</v>
      </c>
      <c r="B26">
        <v>1</v>
      </c>
      <c r="C26">
        <v>2</v>
      </c>
      <c r="D26">
        <v>-2</v>
      </c>
      <c r="E26">
        <v>1</v>
      </c>
      <c r="F26">
        <v>2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-2</v>
      </c>
      <c r="D27">
        <v>2</v>
      </c>
      <c r="E27">
        <v>2</v>
      </c>
      <c r="F27">
        <v>-2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-1</v>
      </c>
      <c r="D28">
        <v>-2</v>
      </c>
      <c r="E28">
        <v>1</v>
      </c>
      <c r="F28">
        <v>-1</v>
      </c>
      <c r="H28" t="s">
        <v>84</v>
      </c>
      <c r="I28">
        <v>-2.1074610653202748</v>
      </c>
      <c r="M28" t="s">
        <v>84</v>
      </c>
      <c r="N28">
        <v>-6.8716337093297408</v>
      </c>
      <c r="R28" t="s">
        <v>84</v>
      </c>
      <c r="S28">
        <v>9.1928224753002183</v>
      </c>
    </row>
    <row r="29" spans="1:20" x14ac:dyDescent="0.45">
      <c r="A29">
        <v>1030</v>
      </c>
      <c r="B29">
        <v>6</v>
      </c>
      <c r="C29">
        <v>-1</v>
      </c>
      <c r="D29">
        <v>1</v>
      </c>
      <c r="E29">
        <v>1</v>
      </c>
      <c r="F29">
        <v>-1</v>
      </c>
      <c r="H29" t="s">
        <v>85</v>
      </c>
      <c r="I29">
        <v>1.8285452089457921E-2</v>
      </c>
      <c r="M29" t="s">
        <v>85</v>
      </c>
      <c r="N29">
        <v>6.0080574841537026E-11</v>
      </c>
      <c r="R29" t="s">
        <v>85</v>
      </c>
      <c r="S29">
        <v>7.4394539600666612E-17</v>
      </c>
    </row>
    <row r="30" spans="1:20" x14ac:dyDescent="0.45">
      <c r="A30">
        <v>1030</v>
      </c>
      <c r="B30">
        <v>4</v>
      </c>
      <c r="C30">
        <v>-1</v>
      </c>
      <c r="D30">
        <v>2</v>
      </c>
      <c r="E30">
        <v>2</v>
      </c>
      <c r="F30">
        <v>-1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1</v>
      </c>
      <c r="D31">
        <v>1</v>
      </c>
      <c r="E31">
        <v>-2</v>
      </c>
      <c r="F31">
        <v>1</v>
      </c>
      <c r="H31" t="s">
        <v>87</v>
      </c>
      <c r="I31">
        <v>3.6570904178915842E-2</v>
      </c>
      <c r="M31" t="s">
        <v>87</v>
      </c>
      <c r="N31">
        <v>1.2016114968307405E-10</v>
      </c>
      <c r="R31" t="s">
        <v>87</v>
      </c>
      <c r="S31">
        <v>1.4878907920133322E-16</v>
      </c>
    </row>
    <row r="32" spans="1:20" ht="18.600000000000001" thickBot="1" x14ac:dyDescent="0.5">
      <c r="A32">
        <v>1030</v>
      </c>
      <c r="B32">
        <v>2</v>
      </c>
      <c r="C32">
        <v>-1</v>
      </c>
      <c r="D32">
        <v>1</v>
      </c>
      <c r="E32">
        <v>1</v>
      </c>
      <c r="F32">
        <v>-1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0</v>
      </c>
      <c r="D33">
        <v>-2</v>
      </c>
      <c r="E33">
        <v>1</v>
      </c>
      <c r="F33">
        <v>0</v>
      </c>
    </row>
    <row r="34" spans="1:6" x14ac:dyDescent="0.45">
      <c r="A34">
        <v>1040</v>
      </c>
      <c r="B34">
        <v>1</v>
      </c>
      <c r="C34">
        <v>-1</v>
      </c>
      <c r="D34">
        <v>-1</v>
      </c>
      <c r="E34">
        <v>0</v>
      </c>
      <c r="F34">
        <v>-1</v>
      </c>
    </row>
    <row r="35" spans="1:6" x14ac:dyDescent="0.45">
      <c r="A35">
        <v>1040</v>
      </c>
      <c r="B35">
        <v>8</v>
      </c>
      <c r="C35">
        <v>-2</v>
      </c>
      <c r="D35">
        <v>-1</v>
      </c>
      <c r="E35">
        <v>0</v>
      </c>
      <c r="F35">
        <v>-2</v>
      </c>
    </row>
    <row r="36" spans="1:6" x14ac:dyDescent="0.45">
      <c r="A36">
        <v>1040</v>
      </c>
      <c r="B36">
        <v>3</v>
      </c>
      <c r="C36">
        <v>1</v>
      </c>
      <c r="D36">
        <v>-1</v>
      </c>
      <c r="E36">
        <v>1</v>
      </c>
      <c r="F36">
        <v>1</v>
      </c>
    </row>
    <row r="37" spans="1:6" x14ac:dyDescent="0.45">
      <c r="A37">
        <v>1040</v>
      </c>
      <c r="B37">
        <v>6</v>
      </c>
      <c r="C37">
        <v>-2</v>
      </c>
      <c r="D37">
        <v>-2</v>
      </c>
      <c r="E37">
        <v>2</v>
      </c>
      <c r="F37">
        <v>-2</v>
      </c>
    </row>
    <row r="38" spans="1:6" x14ac:dyDescent="0.45">
      <c r="A38">
        <v>1040</v>
      </c>
      <c r="B38">
        <v>4</v>
      </c>
      <c r="C38">
        <v>-2</v>
      </c>
      <c r="D38">
        <v>1</v>
      </c>
      <c r="E38">
        <v>2</v>
      </c>
      <c r="F38">
        <v>-2</v>
      </c>
    </row>
    <row r="39" spans="1:6" x14ac:dyDescent="0.45">
      <c r="A39">
        <v>1040</v>
      </c>
      <c r="B39">
        <v>5</v>
      </c>
      <c r="C39">
        <v>0</v>
      </c>
      <c r="D39">
        <v>-1</v>
      </c>
      <c r="E39">
        <v>2</v>
      </c>
      <c r="F39">
        <v>0</v>
      </c>
    </row>
    <row r="40" spans="1:6" x14ac:dyDescent="0.45">
      <c r="A40">
        <v>1040</v>
      </c>
      <c r="B40">
        <v>2</v>
      </c>
      <c r="C40">
        <v>-1</v>
      </c>
      <c r="D40">
        <v>0</v>
      </c>
      <c r="E40">
        <v>2</v>
      </c>
      <c r="F40">
        <v>-1</v>
      </c>
    </row>
    <row r="41" spans="1:6" x14ac:dyDescent="0.45">
      <c r="A41">
        <v>1040</v>
      </c>
      <c r="B41">
        <v>7</v>
      </c>
      <c r="C41">
        <v>-1</v>
      </c>
      <c r="D41">
        <v>-2</v>
      </c>
      <c r="E41">
        <v>0</v>
      </c>
      <c r="F41">
        <v>-1</v>
      </c>
    </row>
    <row r="42" spans="1:6" x14ac:dyDescent="0.45">
      <c r="A42">
        <v>1050</v>
      </c>
      <c r="B42">
        <v>1</v>
      </c>
      <c r="C42">
        <v>0</v>
      </c>
      <c r="D42">
        <v>-1</v>
      </c>
      <c r="E42">
        <v>2</v>
      </c>
      <c r="F42">
        <v>0</v>
      </c>
    </row>
    <row r="43" spans="1:6" x14ac:dyDescent="0.45">
      <c r="A43">
        <v>1050</v>
      </c>
      <c r="B43">
        <v>8</v>
      </c>
      <c r="C43">
        <v>0</v>
      </c>
      <c r="D43">
        <v>-1</v>
      </c>
      <c r="E43">
        <v>-1</v>
      </c>
      <c r="F43">
        <v>0</v>
      </c>
    </row>
    <row r="44" spans="1:6" x14ac:dyDescent="0.45">
      <c r="A44">
        <v>1050</v>
      </c>
      <c r="B44">
        <v>3</v>
      </c>
      <c r="C44">
        <v>-2</v>
      </c>
      <c r="D44">
        <v>-1</v>
      </c>
      <c r="E44">
        <v>-1</v>
      </c>
      <c r="F44">
        <v>-2</v>
      </c>
    </row>
    <row r="45" spans="1:6" x14ac:dyDescent="0.45">
      <c r="A45">
        <v>1050</v>
      </c>
      <c r="B45">
        <v>6</v>
      </c>
      <c r="C45">
        <v>-1</v>
      </c>
      <c r="D45">
        <v>-1</v>
      </c>
      <c r="E45">
        <v>1</v>
      </c>
      <c r="F45">
        <v>-1</v>
      </c>
    </row>
    <row r="46" spans="1:6" x14ac:dyDescent="0.45">
      <c r="A46">
        <v>1050</v>
      </c>
      <c r="B46">
        <v>4</v>
      </c>
      <c r="C46">
        <v>-1</v>
      </c>
      <c r="D46">
        <v>-2</v>
      </c>
      <c r="E46">
        <v>2</v>
      </c>
      <c r="F46">
        <v>-1</v>
      </c>
    </row>
    <row r="47" spans="1:6" x14ac:dyDescent="0.45">
      <c r="A47">
        <v>1050</v>
      </c>
      <c r="B47">
        <v>5</v>
      </c>
      <c r="C47">
        <v>0</v>
      </c>
      <c r="D47">
        <v>0</v>
      </c>
      <c r="E47">
        <v>-1</v>
      </c>
      <c r="F47">
        <v>0</v>
      </c>
    </row>
    <row r="48" spans="1:6" x14ac:dyDescent="0.45">
      <c r="A48">
        <v>1050</v>
      </c>
      <c r="B48">
        <v>2</v>
      </c>
      <c r="C48">
        <v>-1</v>
      </c>
      <c r="D48">
        <v>0</v>
      </c>
      <c r="E48">
        <v>-1</v>
      </c>
      <c r="F48">
        <v>-1</v>
      </c>
    </row>
    <row r="49" spans="1:6" x14ac:dyDescent="0.45">
      <c r="A49">
        <v>1050</v>
      </c>
      <c r="B49">
        <v>7</v>
      </c>
      <c r="C49">
        <v>1</v>
      </c>
      <c r="D49">
        <v>-1</v>
      </c>
      <c r="E49">
        <v>1</v>
      </c>
      <c r="F49">
        <v>1</v>
      </c>
    </row>
    <row r="50" spans="1:6" x14ac:dyDescent="0.45">
      <c r="A50">
        <v>1060</v>
      </c>
      <c r="B50">
        <v>5</v>
      </c>
      <c r="C50">
        <v>1</v>
      </c>
      <c r="D50">
        <v>1</v>
      </c>
      <c r="E50">
        <v>2</v>
      </c>
      <c r="F50">
        <v>1</v>
      </c>
    </row>
    <row r="51" spans="1:6" x14ac:dyDescent="0.45">
      <c r="A51">
        <v>1060</v>
      </c>
      <c r="B51">
        <v>4</v>
      </c>
      <c r="C51">
        <v>1</v>
      </c>
      <c r="D51">
        <v>-2</v>
      </c>
      <c r="E51">
        <v>-1</v>
      </c>
      <c r="F51">
        <v>1</v>
      </c>
    </row>
    <row r="52" spans="1:6" x14ac:dyDescent="0.45">
      <c r="A52">
        <v>1060</v>
      </c>
      <c r="B52">
        <v>7</v>
      </c>
      <c r="C52">
        <v>0</v>
      </c>
      <c r="D52">
        <v>2</v>
      </c>
      <c r="E52">
        <v>-1</v>
      </c>
      <c r="F52">
        <v>0</v>
      </c>
    </row>
    <row r="53" spans="1:6" x14ac:dyDescent="0.45">
      <c r="A53">
        <v>1060</v>
      </c>
      <c r="B53">
        <v>2</v>
      </c>
      <c r="C53">
        <v>1</v>
      </c>
      <c r="D53">
        <v>2</v>
      </c>
      <c r="E53">
        <v>1</v>
      </c>
      <c r="F53">
        <v>1</v>
      </c>
    </row>
    <row r="54" spans="1:6" x14ac:dyDescent="0.45">
      <c r="A54">
        <v>1060</v>
      </c>
      <c r="B54">
        <v>8</v>
      </c>
      <c r="C54">
        <v>0</v>
      </c>
      <c r="D54">
        <v>-1</v>
      </c>
      <c r="E54">
        <v>-1</v>
      </c>
      <c r="F54">
        <v>0</v>
      </c>
    </row>
    <row r="55" spans="1:6" x14ac:dyDescent="0.45">
      <c r="A55">
        <v>1060</v>
      </c>
      <c r="B55">
        <v>1</v>
      </c>
      <c r="C55">
        <v>-1</v>
      </c>
      <c r="D55">
        <v>-1</v>
      </c>
      <c r="E55">
        <v>2</v>
      </c>
      <c r="F55">
        <v>-1</v>
      </c>
    </row>
    <row r="56" spans="1:6" x14ac:dyDescent="0.45">
      <c r="A56">
        <v>1060</v>
      </c>
      <c r="B56">
        <v>6</v>
      </c>
      <c r="C56">
        <v>-1</v>
      </c>
      <c r="D56">
        <v>-1</v>
      </c>
      <c r="E56">
        <v>-1</v>
      </c>
      <c r="F56">
        <v>-1</v>
      </c>
    </row>
    <row r="57" spans="1:6" x14ac:dyDescent="0.45">
      <c r="A57">
        <v>1060</v>
      </c>
      <c r="B57">
        <v>3</v>
      </c>
      <c r="C57">
        <v>-2</v>
      </c>
      <c r="D57">
        <v>-2</v>
      </c>
      <c r="E57">
        <v>1</v>
      </c>
      <c r="F57">
        <v>-2</v>
      </c>
    </row>
    <row r="58" spans="1:6" x14ac:dyDescent="0.45">
      <c r="A58">
        <v>1070</v>
      </c>
      <c r="B58">
        <v>5</v>
      </c>
      <c r="C58">
        <v>-2</v>
      </c>
      <c r="D58">
        <v>1</v>
      </c>
      <c r="E58">
        <v>2</v>
      </c>
      <c r="F58">
        <v>-2</v>
      </c>
    </row>
    <row r="59" spans="1:6" x14ac:dyDescent="0.45">
      <c r="A59">
        <v>1070</v>
      </c>
      <c r="B59">
        <v>4</v>
      </c>
      <c r="C59">
        <v>-2</v>
      </c>
      <c r="D59">
        <v>1</v>
      </c>
      <c r="E59">
        <v>2</v>
      </c>
      <c r="F59">
        <v>-2</v>
      </c>
    </row>
    <row r="60" spans="1:6" x14ac:dyDescent="0.45">
      <c r="A60">
        <v>1070</v>
      </c>
      <c r="B60">
        <v>7</v>
      </c>
      <c r="C60">
        <v>-1</v>
      </c>
      <c r="D60">
        <v>0</v>
      </c>
      <c r="E60">
        <v>1</v>
      </c>
      <c r="F60">
        <v>-1</v>
      </c>
    </row>
    <row r="61" spans="1:6" x14ac:dyDescent="0.45">
      <c r="A61">
        <v>1070</v>
      </c>
      <c r="B61">
        <v>2</v>
      </c>
      <c r="C61">
        <v>-2</v>
      </c>
      <c r="D61">
        <v>-1</v>
      </c>
      <c r="E61">
        <v>2</v>
      </c>
      <c r="F61">
        <v>-2</v>
      </c>
    </row>
    <row r="62" spans="1:6" x14ac:dyDescent="0.45">
      <c r="A62">
        <v>1070</v>
      </c>
      <c r="B62">
        <v>8</v>
      </c>
      <c r="C62">
        <v>-2</v>
      </c>
      <c r="D62">
        <v>2</v>
      </c>
      <c r="E62">
        <v>-1</v>
      </c>
      <c r="F62">
        <v>-2</v>
      </c>
    </row>
    <row r="63" spans="1:6" x14ac:dyDescent="0.45">
      <c r="A63">
        <v>1070</v>
      </c>
      <c r="B63">
        <v>1</v>
      </c>
      <c r="C63">
        <v>-1</v>
      </c>
      <c r="D63">
        <v>2</v>
      </c>
      <c r="E63">
        <v>1</v>
      </c>
      <c r="F63">
        <v>-1</v>
      </c>
    </row>
    <row r="64" spans="1:6" x14ac:dyDescent="0.45">
      <c r="A64">
        <v>1070</v>
      </c>
      <c r="B64">
        <v>6</v>
      </c>
      <c r="C64">
        <v>-2</v>
      </c>
      <c r="D64">
        <v>1</v>
      </c>
      <c r="E64">
        <v>-2</v>
      </c>
      <c r="F64">
        <v>-2</v>
      </c>
    </row>
    <row r="65" spans="1:6" x14ac:dyDescent="0.45">
      <c r="A65">
        <v>1070</v>
      </c>
      <c r="B65">
        <v>3</v>
      </c>
      <c r="C65">
        <v>0</v>
      </c>
      <c r="D65">
        <v>1</v>
      </c>
      <c r="E65">
        <v>2</v>
      </c>
      <c r="F65">
        <v>0</v>
      </c>
    </row>
    <row r="66" spans="1:6" x14ac:dyDescent="0.45">
      <c r="A66">
        <v>1080</v>
      </c>
      <c r="B66">
        <v>1</v>
      </c>
      <c r="C66">
        <v>-1</v>
      </c>
      <c r="D66">
        <v>-1</v>
      </c>
      <c r="E66">
        <v>2</v>
      </c>
      <c r="F66">
        <v>-1</v>
      </c>
    </row>
    <row r="67" spans="1:6" x14ac:dyDescent="0.45">
      <c r="A67">
        <v>1080</v>
      </c>
      <c r="B67">
        <v>8</v>
      </c>
      <c r="C67">
        <v>-1</v>
      </c>
      <c r="D67">
        <v>-2</v>
      </c>
      <c r="E67">
        <v>2</v>
      </c>
      <c r="F67">
        <v>-1</v>
      </c>
    </row>
    <row r="68" spans="1:6" x14ac:dyDescent="0.45">
      <c r="A68">
        <v>1080</v>
      </c>
      <c r="B68">
        <v>3</v>
      </c>
      <c r="C68">
        <v>-2</v>
      </c>
      <c r="D68">
        <v>-2</v>
      </c>
      <c r="E68">
        <v>2</v>
      </c>
      <c r="F68">
        <v>-2</v>
      </c>
    </row>
    <row r="69" spans="1:6" x14ac:dyDescent="0.45">
      <c r="A69">
        <v>1080</v>
      </c>
      <c r="B69">
        <v>6</v>
      </c>
      <c r="C69">
        <v>-2</v>
      </c>
      <c r="D69">
        <v>-1</v>
      </c>
      <c r="E69">
        <v>2</v>
      </c>
      <c r="F69">
        <v>-2</v>
      </c>
    </row>
    <row r="70" spans="1:6" x14ac:dyDescent="0.45">
      <c r="A70">
        <v>1080</v>
      </c>
      <c r="B70">
        <v>4</v>
      </c>
      <c r="C70">
        <v>-1</v>
      </c>
      <c r="D70">
        <v>0</v>
      </c>
      <c r="E70">
        <v>1</v>
      </c>
      <c r="F70">
        <v>-1</v>
      </c>
    </row>
    <row r="71" spans="1:6" x14ac:dyDescent="0.45">
      <c r="A71">
        <v>1080</v>
      </c>
      <c r="B71">
        <v>5</v>
      </c>
      <c r="C71">
        <v>-2</v>
      </c>
      <c r="D71">
        <v>-1</v>
      </c>
      <c r="E71">
        <v>2</v>
      </c>
      <c r="F71">
        <v>-2</v>
      </c>
    </row>
    <row r="72" spans="1:6" x14ac:dyDescent="0.45">
      <c r="A72">
        <v>1080</v>
      </c>
      <c r="B72">
        <v>2</v>
      </c>
      <c r="C72">
        <v>-2</v>
      </c>
      <c r="D72">
        <v>-2</v>
      </c>
      <c r="E72">
        <v>2</v>
      </c>
      <c r="F72">
        <v>-2</v>
      </c>
    </row>
    <row r="73" spans="1:6" x14ac:dyDescent="0.45">
      <c r="A73">
        <v>1080</v>
      </c>
      <c r="B73">
        <v>7</v>
      </c>
      <c r="C73">
        <v>-1</v>
      </c>
      <c r="D73">
        <v>-1</v>
      </c>
      <c r="E73">
        <v>2</v>
      </c>
      <c r="F73">
        <v>-1</v>
      </c>
    </row>
    <row r="74" spans="1:6" x14ac:dyDescent="0.45">
      <c r="A74">
        <v>1090</v>
      </c>
      <c r="B74">
        <v>5</v>
      </c>
      <c r="C74">
        <v>1</v>
      </c>
      <c r="D74">
        <v>-2</v>
      </c>
      <c r="E74">
        <v>1</v>
      </c>
      <c r="F74">
        <v>1</v>
      </c>
    </row>
    <row r="75" spans="1:6" x14ac:dyDescent="0.45">
      <c r="A75">
        <v>1090</v>
      </c>
      <c r="B75">
        <v>4</v>
      </c>
      <c r="C75">
        <v>1</v>
      </c>
      <c r="D75">
        <v>2</v>
      </c>
      <c r="E75">
        <v>0</v>
      </c>
      <c r="F75">
        <v>1</v>
      </c>
    </row>
    <row r="76" spans="1:6" x14ac:dyDescent="0.45">
      <c r="A76">
        <v>1090</v>
      </c>
      <c r="B76">
        <v>7</v>
      </c>
      <c r="C76">
        <v>0</v>
      </c>
      <c r="D76">
        <v>-2</v>
      </c>
      <c r="E76">
        <v>2</v>
      </c>
      <c r="F76">
        <v>0</v>
      </c>
    </row>
    <row r="77" spans="1:6" x14ac:dyDescent="0.45">
      <c r="A77">
        <v>1090</v>
      </c>
      <c r="B77">
        <v>2</v>
      </c>
      <c r="C77">
        <v>0</v>
      </c>
      <c r="D77">
        <v>0</v>
      </c>
      <c r="E77">
        <v>-2</v>
      </c>
      <c r="F77">
        <v>0</v>
      </c>
    </row>
    <row r="78" spans="1:6" x14ac:dyDescent="0.45">
      <c r="A78">
        <v>1090</v>
      </c>
      <c r="B78">
        <v>8</v>
      </c>
      <c r="C78">
        <v>-1</v>
      </c>
      <c r="D78">
        <v>1</v>
      </c>
      <c r="E78">
        <v>1</v>
      </c>
      <c r="F78">
        <v>-1</v>
      </c>
    </row>
    <row r="79" spans="1:6" x14ac:dyDescent="0.45">
      <c r="A79">
        <v>1090</v>
      </c>
      <c r="B79">
        <v>1</v>
      </c>
      <c r="C79">
        <v>0</v>
      </c>
      <c r="D79">
        <v>-2</v>
      </c>
      <c r="E79">
        <v>2</v>
      </c>
      <c r="F79">
        <v>0</v>
      </c>
    </row>
    <row r="80" spans="1:6" x14ac:dyDescent="0.45">
      <c r="A80">
        <v>1090</v>
      </c>
      <c r="B80">
        <v>6</v>
      </c>
      <c r="C80">
        <v>0</v>
      </c>
      <c r="D80">
        <v>2</v>
      </c>
      <c r="E80">
        <v>2</v>
      </c>
      <c r="F80">
        <v>0</v>
      </c>
    </row>
    <row r="81" spans="1:6" x14ac:dyDescent="0.45">
      <c r="A81">
        <v>1090</v>
      </c>
      <c r="B81">
        <v>3</v>
      </c>
      <c r="C81">
        <v>-1</v>
      </c>
      <c r="D81">
        <v>0</v>
      </c>
      <c r="E81">
        <v>2</v>
      </c>
      <c r="F81">
        <v>-1</v>
      </c>
    </row>
    <row r="82" spans="1:6" x14ac:dyDescent="0.45">
      <c r="A82">
        <v>1100</v>
      </c>
      <c r="B82">
        <v>1</v>
      </c>
      <c r="C82">
        <v>-2</v>
      </c>
      <c r="D82">
        <v>-2</v>
      </c>
      <c r="E82">
        <v>1</v>
      </c>
      <c r="F82">
        <v>-2</v>
      </c>
    </row>
    <row r="83" spans="1:6" x14ac:dyDescent="0.45">
      <c r="A83">
        <v>1100</v>
      </c>
      <c r="B83">
        <v>8</v>
      </c>
      <c r="C83">
        <v>0</v>
      </c>
      <c r="D83">
        <v>1</v>
      </c>
      <c r="E83">
        <v>1</v>
      </c>
      <c r="F83">
        <v>0</v>
      </c>
    </row>
    <row r="84" spans="1:6" x14ac:dyDescent="0.45">
      <c r="A84">
        <v>1100</v>
      </c>
      <c r="B84">
        <v>3</v>
      </c>
      <c r="C84">
        <v>-1</v>
      </c>
      <c r="D84">
        <v>-1</v>
      </c>
      <c r="E84">
        <v>1</v>
      </c>
      <c r="F84">
        <v>-1</v>
      </c>
    </row>
    <row r="85" spans="1:6" x14ac:dyDescent="0.45">
      <c r="A85">
        <v>1100</v>
      </c>
      <c r="B85">
        <v>6</v>
      </c>
      <c r="C85">
        <v>-1</v>
      </c>
      <c r="D85">
        <v>2</v>
      </c>
      <c r="E85">
        <v>-1</v>
      </c>
      <c r="F85">
        <v>-1</v>
      </c>
    </row>
    <row r="86" spans="1:6" x14ac:dyDescent="0.45">
      <c r="A86">
        <v>1100</v>
      </c>
      <c r="B86">
        <v>4</v>
      </c>
      <c r="C86">
        <v>-1</v>
      </c>
      <c r="D86">
        <v>1</v>
      </c>
      <c r="E86">
        <v>-2</v>
      </c>
      <c r="F86">
        <v>-1</v>
      </c>
    </row>
    <row r="87" spans="1:6" x14ac:dyDescent="0.45">
      <c r="A87">
        <v>1100</v>
      </c>
      <c r="B87">
        <v>5</v>
      </c>
      <c r="C87">
        <v>0</v>
      </c>
      <c r="D87">
        <v>2</v>
      </c>
      <c r="E87">
        <v>-2</v>
      </c>
      <c r="F87">
        <v>0</v>
      </c>
    </row>
    <row r="88" spans="1:6" x14ac:dyDescent="0.45">
      <c r="A88">
        <v>1100</v>
      </c>
      <c r="B88">
        <v>2</v>
      </c>
      <c r="C88">
        <v>0</v>
      </c>
      <c r="D88">
        <v>0</v>
      </c>
      <c r="E88">
        <v>1</v>
      </c>
      <c r="F88">
        <v>0</v>
      </c>
    </row>
    <row r="89" spans="1:6" x14ac:dyDescent="0.45">
      <c r="A89">
        <v>1100</v>
      </c>
      <c r="B89">
        <v>7</v>
      </c>
      <c r="C89">
        <v>-1</v>
      </c>
      <c r="D89">
        <v>1</v>
      </c>
      <c r="E89">
        <v>1</v>
      </c>
      <c r="F89">
        <v>-1</v>
      </c>
    </row>
    <row r="90" spans="1:6" x14ac:dyDescent="0.45">
      <c r="A90">
        <v>1110</v>
      </c>
      <c r="B90">
        <v>5</v>
      </c>
      <c r="C90">
        <v>2</v>
      </c>
      <c r="D90">
        <v>2</v>
      </c>
      <c r="E90">
        <v>0</v>
      </c>
      <c r="F90">
        <v>2</v>
      </c>
    </row>
    <row r="91" spans="1:6" x14ac:dyDescent="0.45">
      <c r="A91">
        <v>1110</v>
      </c>
      <c r="B91">
        <v>4</v>
      </c>
      <c r="C91">
        <v>1</v>
      </c>
      <c r="D91">
        <v>1</v>
      </c>
      <c r="E91">
        <v>1</v>
      </c>
      <c r="F91">
        <v>1</v>
      </c>
    </row>
    <row r="92" spans="1:6" x14ac:dyDescent="0.45">
      <c r="A92">
        <v>1110</v>
      </c>
      <c r="B92">
        <v>7</v>
      </c>
      <c r="C92">
        <v>2</v>
      </c>
      <c r="D92">
        <v>1</v>
      </c>
      <c r="E92">
        <v>2</v>
      </c>
      <c r="F92">
        <v>2</v>
      </c>
    </row>
    <row r="93" spans="1:6" x14ac:dyDescent="0.45">
      <c r="A93">
        <v>1110</v>
      </c>
      <c r="B93">
        <v>2</v>
      </c>
      <c r="C93">
        <v>2</v>
      </c>
      <c r="D93">
        <v>-2</v>
      </c>
      <c r="E93">
        <v>-2</v>
      </c>
      <c r="F93">
        <v>2</v>
      </c>
    </row>
    <row r="94" spans="1:6" x14ac:dyDescent="0.45">
      <c r="A94">
        <v>1110</v>
      </c>
      <c r="B94">
        <v>8</v>
      </c>
      <c r="C94">
        <v>-1</v>
      </c>
      <c r="D94">
        <v>-2</v>
      </c>
      <c r="E94">
        <v>2</v>
      </c>
      <c r="F94">
        <v>-1</v>
      </c>
    </row>
    <row r="95" spans="1:6" x14ac:dyDescent="0.45">
      <c r="A95">
        <v>1110</v>
      </c>
      <c r="B95">
        <v>1</v>
      </c>
      <c r="C95">
        <v>2</v>
      </c>
      <c r="D95">
        <v>-2</v>
      </c>
      <c r="E95">
        <v>-2</v>
      </c>
      <c r="F95">
        <v>2</v>
      </c>
    </row>
    <row r="96" spans="1:6" x14ac:dyDescent="0.45">
      <c r="A96">
        <v>1110</v>
      </c>
      <c r="B96">
        <v>6</v>
      </c>
      <c r="C96">
        <v>1</v>
      </c>
      <c r="D96">
        <v>-2</v>
      </c>
      <c r="E96">
        <v>2</v>
      </c>
      <c r="F96">
        <v>1</v>
      </c>
    </row>
    <row r="97" spans="1:6" x14ac:dyDescent="0.45">
      <c r="A97">
        <v>1110</v>
      </c>
      <c r="B97">
        <v>3</v>
      </c>
      <c r="C97">
        <v>1</v>
      </c>
      <c r="D97">
        <v>1</v>
      </c>
      <c r="E97">
        <v>2</v>
      </c>
      <c r="F97">
        <v>1</v>
      </c>
    </row>
    <row r="98" spans="1:6" x14ac:dyDescent="0.45">
      <c r="A98">
        <v>1120</v>
      </c>
      <c r="B98">
        <v>1</v>
      </c>
      <c r="C98">
        <v>-1</v>
      </c>
      <c r="D98">
        <v>-1</v>
      </c>
      <c r="E98">
        <v>2</v>
      </c>
      <c r="F98">
        <v>-1</v>
      </c>
    </row>
    <row r="99" spans="1:6" x14ac:dyDescent="0.45">
      <c r="A99">
        <v>1120</v>
      </c>
      <c r="B99">
        <v>8</v>
      </c>
      <c r="C99">
        <v>-2</v>
      </c>
      <c r="D99">
        <v>2</v>
      </c>
      <c r="E99">
        <v>2</v>
      </c>
      <c r="F99">
        <v>-2</v>
      </c>
    </row>
    <row r="100" spans="1:6" x14ac:dyDescent="0.45">
      <c r="A100">
        <v>1120</v>
      </c>
      <c r="B100">
        <v>3</v>
      </c>
      <c r="C100">
        <v>-1</v>
      </c>
      <c r="D100">
        <v>2</v>
      </c>
      <c r="E100">
        <v>2</v>
      </c>
      <c r="F100">
        <v>-1</v>
      </c>
    </row>
    <row r="101" spans="1:6" x14ac:dyDescent="0.45">
      <c r="A101">
        <v>1120</v>
      </c>
      <c r="B101">
        <v>6</v>
      </c>
      <c r="C101">
        <v>-1</v>
      </c>
      <c r="D101">
        <v>1</v>
      </c>
      <c r="E101">
        <v>2</v>
      </c>
      <c r="F101">
        <v>-1</v>
      </c>
    </row>
    <row r="102" spans="1:6" x14ac:dyDescent="0.45">
      <c r="A102">
        <v>1120</v>
      </c>
      <c r="B102">
        <v>4</v>
      </c>
      <c r="C102">
        <v>-2</v>
      </c>
      <c r="D102">
        <v>-2</v>
      </c>
      <c r="E102">
        <v>-1</v>
      </c>
      <c r="F102">
        <v>-2</v>
      </c>
    </row>
    <row r="103" spans="1:6" x14ac:dyDescent="0.45">
      <c r="A103">
        <v>1120</v>
      </c>
      <c r="B103">
        <v>5</v>
      </c>
      <c r="C103">
        <v>-1</v>
      </c>
      <c r="D103">
        <v>-2</v>
      </c>
      <c r="E103">
        <v>2</v>
      </c>
      <c r="F103">
        <v>-1</v>
      </c>
    </row>
    <row r="104" spans="1:6" x14ac:dyDescent="0.45">
      <c r="A104">
        <v>1120</v>
      </c>
      <c r="B104">
        <v>2</v>
      </c>
      <c r="C104">
        <v>-1</v>
      </c>
      <c r="D104">
        <v>-2</v>
      </c>
      <c r="E104">
        <v>-1</v>
      </c>
      <c r="F104">
        <v>-1</v>
      </c>
    </row>
    <row r="105" spans="1:6" x14ac:dyDescent="0.45">
      <c r="A105">
        <v>1120</v>
      </c>
      <c r="B105">
        <v>7</v>
      </c>
      <c r="C105">
        <v>-1</v>
      </c>
      <c r="D105">
        <v>1</v>
      </c>
      <c r="E105">
        <v>1</v>
      </c>
      <c r="F105">
        <v>-1</v>
      </c>
    </row>
    <row r="106" spans="1:6" x14ac:dyDescent="0.45">
      <c r="A106">
        <v>1130</v>
      </c>
      <c r="B106">
        <v>5</v>
      </c>
      <c r="C106">
        <v>1</v>
      </c>
      <c r="D106">
        <v>-2</v>
      </c>
      <c r="E106">
        <v>1</v>
      </c>
      <c r="F106">
        <v>1</v>
      </c>
    </row>
    <row r="107" spans="1:6" x14ac:dyDescent="0.45">
      <c r="A107">
        <v>1130</v>
      </c>
      <c r="B107">
        <v>4</v>
      </c>
      <c r="C107">
        <v>1</v>
      </c>
      <c r="D107">
        <v>2</v>
      </c>
      <c r="E107">
        <v>2</v>
      </c>
      <c r="F107">
        <v>1</v>
      </c>
    </row>
    <row r="108" spans="1:6" x14ac:dyDescent="0.45">
      <c r="A108">
        <v>1130</v>
      </c>
      <c r="B108">
        <v>7</v>
      </c>
      <c r="C108">
        <v>0</v>
      </c>
      <c r="D108">
        <v>1</v>
      </c>
      <c r="E108">
        <v>2</v>
      </c>
      <c r="F108">
        <v>0</v>
      </c>
    </row>
    <row r="109" spans="1:6" x14ac:dyDescent="0.45">
      <c r="A109">
        <v>1130</v>
      </c>
      <c r="B109">
        <v>2</v>
      </c>
      <c r="C109">
        <v>1</v>
      </c>
      <c r="D109">
        <v>1</v>
      </c>
      <c r="E109">
        <v>2</v>
      </c>
      <c r="F109">
        <v>1</v>
      </c>
    </row>
    <row r="110" spans="1:6" x14ac:dyDescent="0.45">
      <c r="A110">
        <v>1130</v>
      </c>
      <c r="B110">
        <v>8</v>
      </c>
      <c r="C110">
        <v>-1</v>
      </c>
      <c r="D110">
        <v>-2</v>
      </c>
      <c r="E110">
        <v>2</v>
      </c>
      <c r="F110">
        <v>-1</v>
      </c>
    </row>
    <row r="111" spans="1:6" x14ac:dyDescent="0.45">
      <c r="A111">
        <v>1130</v>
      </c>
      <c r="B111">
        <v>1</v>
      </c>
      <c r="C111">
        <v>-1</v>
      </c>
      <c r="D111">
        <v>1</v>
      </c>
      <c r="E111">
        <v>1</v>
      </c>
      <c r="F111">
        <v>-1</v>
      </c>
    </row>
    <row r="112" spans="1:6" x14ac:dyDescent="0.45">
      <c r="A112">
        <v>1130</v>
      </c>
      <c r="B112">
        <v>6</v>
      </c>
      <c r="C112">
        <v>1</v>
      </c>
      <c r="D112">
        <v>-2</v>
      </c>
      <c r="E112">
        <v>2</v>
      </c>
      <c r="F112">
        <v>1</v>
      </c>
    </row>
    <row r="113" spans="1:6" x14ac:dyDescent="0.45">
      <c r="A113">
        <v>1130</v>
      </c>
      <c r="B113">
        <v>3</v>
      </c>
      <c r="C113">
        <v>1</v>
      </c>
      <c r="D113">
        <v>1</v>
      </c>
      <c r="E113">
        <v>2</v>
      </c>
      <c r="F113">
        <v>1</v>
      </c>
    </row>
    <row r="114" spans="1:6" x14ac:dyDescent="0.45">
      <c r="A114">
        <v>1140</v>
      </c>
      <c r="B114">
        <v>1</v>
      </c>
      <c r="C114">
        <v>-1</v>
      </c>
      <c r="D114">
        <v>1</v>
      </c>
      <c r="E114">
        <v>2</v>
      </c>
      <c r="F114">
        <v>-1</v>
      </c>
    </row>
    <row r="115" spans="1:6" x14ac:dyDescent="0.45">
      <c r="A115">
        <v>1140</v>
      </c>
      <c r="B115">
        <v>8</v>
      </c>
      <c r="C115">
        <v>-2</v>
      </c>
      <c r="D115">
        <v>2</v>
      </c>
      <c r="E115">
        <v>1</v>
      </c>
      <c r="F115">
        <v>-2</v>
      </c>
    </row>
    <row r="116" spans="1:6" x14ac:dyDescent="0.45">
      <c r="A116">
        <v>1140</v>
      </c>
      <c r="B116">
        <v>3</v>
      </c>
      <c r="C116">
        <v>-2</v>
      </c>
      <c r="D116">
        <v>2</v>
      </c>
      <c r="E116">
        <v>2</v>
      </c>
      <c r="F116">
        <v>-2</v>
      </c>
    </row>
    <row r="117" spans="1:6" x14ac:dyDescent="0.45">
      <c r="A117">
        <v>1140</v>
      </c>
      <c r="B117">
        <v>6</v>
      </c>
      <c r="C117">
        <v>-2</v>
      </c>
      <c r="D117">
        <v>2</v>
      </c>
      <c r="E117">
        <v>2</v>
      </c>
      <c r="F117">
        <v>-2</v>
      </c>
    </row>
    <row r="118" spans="1:6" x14ac:dyDescent="0.45">
      <c r="A118">
        <v>1140</v>
      </c>
      <c r="B118">
        <v>4</v>
      </c>
      <c r="C118">
        <v>-2</v>
      </c>
      <c r="D118">
        <v>1</v>
      </c>
      <c r="E118">
        <v>2</v>
      </c>
      <c r="F118">
        <v>-2</v>
      </c>
    </row>
    <row r="119" spans="1:6" x14ac:dyDescent="0.45">
      <c r="A119">
        <v>1140</v>
      </c>
      <c r="B119">
        <v>5</v>
      </c>
      <c r="C119">
        <v>1</v>
      </c>
      <c r="D119">
        <v>-1</v>
      </c>
      <c r="E119">
        <v>2</v>
      </c>
      <c r="F119">
        <v>1</v>
      </c>
    </row>
    <row r="120" spans="1:6" x14ac:dyDescent="0.45">
      <c r="A120">
        <v>1140</v>
      </c>
      <c r="B120">
        <v>2</v>
      </c>
      <c r="C120">
        <v>1</v>
      </c>
      <c r="D120">
        <v>1</v>
      </c>
      <c r="E120">
        <v>-1</v>
      </c>
      <c r="F120">
        <v>1</v>
      </c>
    </row>
    <row r="121" spans="1:6" x14ac:dyDescent="0.45">
      <c r="A121">
        <v>1140</v>
      </c>
      <c r="B121">
        <v>7</v>
      </c>
      <c r="C121">
        <v>-2</v>
      </c>
      <c r="D121">
        <v>1</v>
      </c>
      <c r="E121">
        <v>2</v>
      </c>
      <c r="F121">
        <v>-2</v>
      </c>
    </row>
    <row r="122" spans="1:6" x14ac:dyDescent="0.45">
      <c r="A122">
        <v>1150</v>
      </c>
      <c r="B122">
        <v>5</v>
      </c>
      <c r="C122">
        <v>-2</v>
      </c>
      <c r="D122">
        <v>2</v>
      </c>
      <c r="E122">
        <v>2</v>
      </c>
      <c r="F122">
        <v>-2</v>
      </c>
    </row>
    <row r="123" spans="1:6" x14ac:dyDescent="0.45">
      <c r="A123">
        <v>1150</v>
      </c>
      <c r="B123">
        <v>4</v>
      </c>
      <c r="C123">
        <v>-1</v>
      </c>
      <c r="D123">
        <v>2</v>
      </c>
      <c r="E123">
        <v>-2</v>
      </c>
      <c r="F123">
        <v>-1</v>
      </c>
    </row>
    <row r="124" spans="1:6" x14ac:dyDescent="0.45">
      <c r="A124">
        <v>1150</v>
      </c>
      <c r="B124">
        <v>7</v>
      </c>
      <c r="C124">
        <v>2</v>
      </c>
      <c r="D124">
        <v>-1</v>
      </c>
      <c r="E124">
        <v>2</v>
      </c>
      <c r="F124">
        <v>2</v>
      </c>
    </row>
    <row r="125" spans="1:6" x14ac:dyDescent="0.45">
      <c r="A125">
        <v>1150</v>
      </c>
      <c r="B125">
        <v>2</v>
      </c>
      <c r="C125">
        <v>-2</v>
      </c>
      <c r="D125">
        <v>2</v>
      </c>
      <c r="E125">
        <v>2</v>
      </c>
      <c r="F125">
        <v>-2</v>
      </c>
    </row>
    <row r="126" spans="1:6" x14ac:dyDescent="0.45">
      <c r="A126">
        <v>1150</v>
      </c>
      <c r="B126">
        <v>8</v>
      </c>
      <c r="C126">
        <v>-1</v>
      </c>
      <c r="D126">
        <v>2</v>
      </c>
      <c r="E126">
        <v>-2</v>
      </c>
      <c r="F126">
        <v>-1</v>
      </c>
    </row>
    <row r="127" spans="1:6" x14ac:dyDescent="0.45">
      <c r="A127">
        <v>1150</v>
      </c>
      <c r="B127">
        <v>1</v>
      </c>
      <c r="C127">
        <v>0</v>
      </c>
      <c r="D127">
        <v>2</v>
      </c>
      <c r="E127">
        <v>2</v>
      </c>
      <c r="F127">
        <v>0</v>
      </c>
    </row>
    <row r="128" spans="1:6" x14ac:dyDescent="0.45">
      <c r="A128">
        <v>1150</v>
      </c>
      <c r="B128">
        <v>6</v>
      </c>
      <c r="C128">
        <v>1</v>
      </c>
      <c r="D128">
        <v>-2</v>
      </c>
      <c r="E128">
        <v>2</v>
      </c>
      <c r="F128">
        <v>1</v>
      </c>
    </row>
    <row r="129" spans="1:6" x14ac:dyDescent="0.45">
      <c r="A129">
        <v>1150</v>
      </c>
      <c r="B129">
        <v>3</v>
      </c>
      <c r="C129">
        <v>1</v>
      </c>
      <c r="D129">
        <v>-1</v>
      </c>
      <c r="E129">
        <v>2</v>
      </c>
      <c r="F129">
        <v>1</v>
      </c>
    </row>
    <row r="130" spans="1:6" x14ac:dyDescent="0.45">
      <c r="A130">
        <v>1160</v>
      </c>
      <c r="B130">
        <v>5</v>
      </c>
      <c r="C130">
        <v>2</v>
      </c>
      <c r="D130">
        <v>1</v>
      </c>
      <c r="E130">
        <v>1</v>
      </c>
      <c r="F130">
        <v>2</v>
      </c>
    </row>
    <row r="131" spans="1:6" x14ac:dyDescent="0.45">
      <c r="A131">
        <v>1160</v>
      </c>
      <c r="B131">
        <v>4</v>
      </c>
      <c r="C131">
        <v>1</v>
      </c>
      <c r="D131">
        <v>-2</v>
      </c>
      <c r="E131">
        <v>-1</v>
      </c>
      <c r="F131">
        <v>1</v>
      </c>
    </row>
    <row r="132" spans="1:6" x14ac:dyDescent="0.45">
      <c r="A132">
        <v>1160</v>
      </c>
      <c r="B132">
        <v>7</v>
      </c>
      <c r="C132">
        <v>-1</v>
      </c>
      <c r="D132">
        <v>-1</v>
      </c>
      <c r="E132">
        <v>2</v>
      </c>
      <c r="F132">
        <v>-1</v>
      </c>
    </row>
    <row r="133" spans="1:6" x14ac:dyDescent="0.45">
      <c r="A133">
        <v>1160</v>
      </c>
      <c r="B133">
        <v>2</v>
      </c>
      <c r="C133">
        <v>2</v>
      </c>
      <c r="D133">
        <v>-2</v>
      </c>
      <c r="E133">
        <v>1</v>
      </c>
      <c r="F133">
        <v>2</v>
      </c>
    </row>
    <row r="134" spans="1:6" x14ac:dyDescent="0.45">
      <c r="A134">
        <v>1160</v>
      </c>
      <c r="B134">
        <v>8</v>
      </c>
      <c r="C134">
        <v>-2</v>
      </c>
      <c r="D134">
        <v>-1</v>
      </c>
      <c r="E134">
        <v>2</v>
      </c>
      <c r="F134">
        <v>-2</v>
      </c>
    </row>
    <row r="135" spans="1:6" x14ac:dyDescent="0.45">
      <c r="A135">
        <v>1160</v>
      </c>
      <c r="B135">
        <v>1</v>
      </c>
      <c r="C135">
        <v>-2</v>
      </c>
      <c r="D135">
        <v>1</v>
      </c>
      <c r="E135">
        <v>1</v>
      </c>
      <c r="F135">
        <v>-2</v>
      </c>
    </row>
    <row r="136" spans="1:6" x14ac:dyDescent="0.45">
      <c r="A136">
        <v>1160</v>
      </c>
      <c r="B136">
        <v>6</v>
      </c>
      <c r="C136">
        <v>-1</v>
      </c>
      <c r="D136">
        <v>-1</v>
      </c>
      <c r="E136">
        <v>2</v>
      </c>
      <c r="F136">
        <v>-1</v>
      </c>
    </row>
    <row r="137" spans="1:6" x14ac:dyDescent="0.45">
      <c r="A137">
        <v>1160</v>
      </c>
      <c r="B137">
        <v>3</v>
      </c>
      <c r="C137">
        <v>-1</v>
      </c>
      <c r="D137">
        <v>1</v>
      </c>
      <c r="E137">
        <v>2</v>
      </c>
      <c r="F137">
        <v>-1</v>
      </c>
    </row>
    <row r="138" spans="1:6" x14ac:dyDescent="0.45">
      <c r="A138">
        <v>1170</v>
      </c>
      <c r="B138">
        <v>1</v>
      </c>
      <c r="C138">
        <v>1</v>
      </c>
      <c r="D138">
        <v>0</v>
      </c>
      <c r="E138">
        <v>1</v>
      </c>
      <c r="F138">
        <v>1</v>
      </c>
    </row>
    <row r="139" spans="1:6" x14ac:dyDescent="0.45">
      <c r="A139">
        <v>1170</v>
      </c>
      <c r="B139">
        <v>8</v>
      </c>
      <c r="C139">
        <v>-1</v>
      </c>
      <c r="D139">
        <v>1</v>
      </c>
      <c r="E139">
        <v>1</v>
      </c>
      <c r="F139">
        <v>-1</v>
      </c>
    </row>
    <row r="140" spans="1:6" x14ac:dyDescent="0.45">
      <c r="A140">
        <v>1170</v>
      </c>
      <c r="B140">
        <v>3</v>
      </c>
      <c r="C140">
        <v>-2</v>
      </c>
      <c r="D140">
        <v>-1</v>
      </c>
      <c r="E140">
        <v>1</v>
      </c>
      <c r="F140">
        <v>-2</v>
      </c>
    </row>
    <row r="141" spans="1:6" x14ac:dyDescent="0.45">
      <c r="A141">
        <v>1170</v>
      </c>
      <c r="B141">
        <v>6</v>
      </c>
      <c r="C141">
        <v>-1</v>
      </c>
      <c r="D141">
        <v>0</v>
      </c>
      <c r="E141">
        <v>0</v>
      </c>
      <c r="F141">
        <v>-1</v>
      </c>
    </row>
    <row r="142" spans="1:6" x14ac:dyDescent="0.45">
      <c r="A142">
        <v>1170</v>
      </c>
      <c r="B142">
        <v>4</v>
      </c>
      <c r="C142">
        <v>1</v>
      </c>
      <c r="D142">
        <v>1</v>
      </c>
      <c r="E142">
        <v>1</v>
      </c>
      <c r="F142">
        <v>1</v>
      </c>
    </row>
    <row r="143" spans="1:6" x14ac:dyDescent="0.45">
      <c r="A143">
        <v>1170</v>
      </c>
      <c r="B143">
        <v>5</v>
      </c>
      <c r="C143">
        <v>2</v>
      </c>
      <c r="D143">
        <v>0</v>
      </c>
      <c r="E143">
        <v>2</v>
      </c>
      <c r="F143">
        <v>2</v>
      </c>
    </row>
    <row r="144" spans="1:6" x14ac:dyDescent="0.45">
      <c r="A144">
        <v>1170</v>
      </c>
      <c r="B144">
        <v>2</v>
      </c>
      <c r="C144">
        <v>0</v>
      </c>
      <c r="D144">
        <v>0</v>
      </c>
      <c r="E144">
        <v>0</v>
      </c>
      <c r="F144">
        <v>0</v>
      </c>
    </row>
    <row r="145" spans="1:6" x14ac:dyDescent="0.45">
      <c r="A145">
        <v>1170</v>
      </c>
      <c r="B145">
        <v>7</v>
      </c>
      <c r="C145">
        <v>-2</v>
      </c>
      <c r="D145">
        <v>1</v>
      </c>
      <c r="E145">
        <v>2</v>
      </c>
      <c r="F145">
        <v>-2</v>
      </c>
    </row>
    <row r="146" spans="1:6" x14ac:dyDescent="0.45">
      <c r="A146">
        <v>1180</v>
      </c>
      <c r="B146">
        <v>5</v>
      </c>
      <c r="C146">
        <v>-1</v>
      </c>
      <c r="D146">
        <v>-2</v>
      </c>
      <c r="E146">
        <v>-1</v>
      </c>
      <c r="F146">
        <v>-1</v>
      </c>
    </row>
    <row r="147" spans="1:6" x14ac:dyDescent="0.45">
      <c r="A147">
        <v>1180</v>
      </c>
      <c r="B147">
        <v>4</v>
      </c>
      <c r="C147">
        <v>-1</v>
      </c>
      <c r="D147">
        <v>-1</v>
      </c>
      <c r="E147">
        <v>2</v>
      </c>
      <c r="F147">
        <v>-1</v>
      </c>
    </row>
    <row r="148" spans="1:6" x14ac:dyDescent="0.45">
      <c r="A148">
        <v>1180</v>
      </c>
      <c r="B148">
        <v>7</v>
      </c>
      <c r="C148">
        <v>-2</v>
      </c>
      <c r="D148">
        <v>2</v>
      </c>
      <c r="E148">
        <v>-1</v>
      </c>
      <c r="F148">
        <v>-2</v>
      </c>
    </row>
    <row r="149" spans="1:6" x14ac:dyDescent="0.45">
      <c r="A149">
        <v>1180</v>
      </c>
      <c r="B149">
        <v>2</v>
      </c>
      <c r="C149">
        <v>-2</v>
      </c>
      <c r="D149">
        <v>-2</v>
      </c>
      <c r="E149">
        <v>-2</v>
      </c>
      <c r="F149">
        <v>-2</v>
      </c>
    </row>
    <row r="150" spans="1:6" x14ac:dyDescent="0.45">
      <c r="A150">
        <v>1180</v>
      </c>
      <c r="B150">
        <v>8</v>
      </c>
      <c r="C150">
        <v>-2</v>
      </c>
      <c r="D150">
        <v>1</v>
      </c>
      <c r="E150">
        <v>2</v>
      </c>
      <c r="F150">
        <v>-2</v>
      </c>
    </row>
    <row r="151" spans="1:6" x14ac:dyDescent="0.45">
      <c r="A151">
        <v>1180</v>
      </c>
      <c r="B151">
        <v>1</v>
      </c>
      <c r="C151">
        <v>-2</v>
      </c>
      <c r="D151">
        <v>2</v>
      </c>
      <c r="E151">
        <v>1</v>
      </c>
      <c r="F151">
        <v>-2</v>
      </c>
    </row>
    <row r="152" spans="1:6" x14ac:dyDescent="0.45">
      <c r="A152">
        <v>1180</v>
      </c>
      <c r="B152">
        <v>6</v>
      </c>
      <c r="C152">
        <v>-1</v>
      </c>
      <c r="D152">
        <v>-2</v>
      </c>
      <c r="E152">
        <v>2</v>
      </c>
      <c r="F152">
        <v>-1</v>
      </c>
    </row>
    <row r="153" spans="1:6" x14ac:dyDescent="0.45">
      <c r="A153">
        <v>1180</v>
      </c>
      <c r="B153">
        <v>3</v>
      </c>
      <c r="C153">
        <v>0</v>
      </c>
      <c r="D153">
        <v>2</v>
      </c>
      <c r="E153">
        <v>1</v>
      </c>
      <c r="F153">
        <v>0</v>
      </c>
    </row>
    <row r="154" spans="1:6" x14ac:dyDescent="0.45">
      <c r="A154">
        <v>1190</v>
      </c>
      <c r="B154">
        <v>1</v>
      </c>
      <c r="C154">
        <v>-1</v>
      </c>
      <c r="D154">
        <v>-1</v>
      </c>
      <c r="E154">
        <v>-1</v>
      </c>
      <c r="F154">
        <v>-1</v>
      </c>
    </row>
    <row r="155" spans="1:6" x14ac:dyDescent="0.45">
      <c r="A155">
        <v>1190</v>
      </c>
      <c r="B155">
        <v>8</v>
      </c>
      <c r="C155">
        <v>2</v>
      </c>
      <c r="D155">
        <v>2</v>
      </c>
      <c r="E155">
        <v>1</v>
      </c>
      <c r="F155">
        <v>2</v>
      </c>
    </row>
    <row r="156" spans="1:6" x14ac:dyDescent="0.45">
      <c r="A156">
        <v>1190</v>
      </c>
      <c r="B156">
        <v>3</v>
      </c>
      <c r="C156">
        <v>-2</v>
      </c>
      <c r="D156">
        <v>-2</v>
      </c>
      <c r="E156">
        <v>2</v>
      </c>
      <c r="F156">
        <v>-2</v>
      </c>
    </row>
    <row r="157" spans="1:6" x14ac:dyDescent="0.45">
      <c r="A157">
        <v>1190</v>
      </c>
      <c r="B157">
        <v>6</v>
      </c>
      <c r="C157">
        <v>-1</v>
      </c>
      <c r="D157">
        <v>-1</v>
      </c>
      <c r="E157">
        <v>-2</v>
      </c>
      <c r="F157">
        <v>-1</v>
      </c>
    </row>
    <row r="158" spans="1:6" x14ac:dyDescent="0.45">
      <c r="A158">
        <v>1190</v>
      </c>
      <c r="B158">
        <v>4</v>
      </c>
      <c r="C158">
        <v>-1</v>
      </c>
      <c r="D158">
        <v>-1</v>
      </c>
      <c r="E158">
        <v>2</v>
      </c>
      <c r="F158">
        <v>-1</v>
      </c>
    </row>
    <row r="159" spans="1:6" x14ac:dyDescent="0.45">
      <c r="A159">
        <v>1190</v>
      </c>
      <c r="B159">
        <v>5</v>
      </c>
      <c r="C159">
        <v>1</v>
      </c>
      <c r="D159">
        <v>-1</v>
      </c>
      <c r="E159">
        <v>1</v>
      </c>
      <c r="F159">
        <v>1</v>
      </c>
    </row>
    <row r="160" spans="1:6" x14ac:dyDescent="0.45">
      <c r="A160">
        <v>1190</v>
      </c>
      <c r="B160">
        <v>2</v>
      </c>
      <c r="C160">
        <v>-1</v>
      </c>
      <c r="D160">
        <v>1</v>
      </c>
      <c r="E160">
        <v>-1</v>
      </c>
      <c r="F160">
        <v>-1</v>
      </c>
    </row>
    <row r="161" spans="1:6" x14ac:dyDescent="0.45">
      <c r="A161">
        <v>1190</v>
      </c>
      <c r="B161">
        <v>7</v>
      </c>
      <c r="C161">
        <v>-1</v>
      </c>
      <c r="D161">
        <v>1</v>
      </c>
      <c r="E161">
        <v>2</v>
      </c>
      <c r="F161">
        <v>-1</v>
      </c>
    </row>
    <row r="162" spans="1:6" x14ac:dyDescent="0.45">
      <c r="A162">
        <v>1200</v>
      </c>
      <c r="B162">
        <v>5</v>
      </c>
      <c r="C162">
        <v>2</v>
      </c>
      <c r="D162">
        <v>0</v>
      </c>
      <c r="E162">
        <v>2</v>
      </c>
      <c r="F162">
        <v>2</v>
      </c>
    </row>
    <row r="163" spans="1:6" x14ac:dyDescent="0.45">
      <c r="A163">
        <v>1200</v>
      </c>
      <c r="B163">
        <v>4</v>
      </c>
      <c r="C163">
        <v>2</v>
      </c>
      <c r="D163">
        <v>2</v>
      </c>
      <c r="E163">
        <v>2</v>
      </c>
      <c r="F163">
        <v>2</v>
      </c>
    </row>
    <row r="164" spans="1:6" x14ac:dyDescent="0.45">
      <c r="A164">
        <v>1200</v>
      </c>
      <c r="B164">
        <v>7</v>
      </c>
      <c r="C164">
        <v>1</v>
      </c>
      <c r="D164">
        <v>2</v>
      </c>
      <c r="E164">
        <v>2</v>
      </c>
      <c r="F164">
        <v>1</v>
      </c>
    </row>
    <row r="165" spans="1:6" x14ac:dyDescent="0.45">
      <c r="A165">
        <v>1200</v>
      </c>
      <c r="B165">
        <v>2</v>
      </c>
      <c r="C165">
        <v>2</v>
      </c>
      <c r="D165">
        <v>-2</v>
      </c>
      <c r="E165">
        <v>-2</v>
      </c>
      <c r="F165">
        <v>2</v>
      </c>
    </row>
    <row r="166" spans="1:6" x14ac:dyDescent="0.45">
      <c r="A166">
        <v>1200</v>
      </c>
      <c r="B166">
        <v>8</v>
      </c>
      <c r="C166">
        <v>-2</v>
      </c>
      <c r="D166">
        <v>-2</v>
      </c>
      <c r="E166">
        <v>2</v>
      </c>
      <c r="F166">
        <v>-2</v>
      </c>
    </row>
    <row r="167" spans="1:6" x14ac:dyDescent="0.45">
      <c r="A167">
        <v>1200</v>
      </c>
      <c r="B167">
        <v>1</v>
      </c>
      <c r="C167">
        <v>-1</v>
      </c>
      <c r="D167">
        <v>1</v>
      </c>
      <c r="E167">
        <v>2</v>
      </c>
      <c r="F167">
        <v>-1</v>
      </c>
    </row>
    <row r="168" spans="1:6" x14ac:dyDescent="0.45">
      <c r="A168">
        <v>1200</v>
      </c>
      <c r="B168">
        <v>6</v>
      </c>
      <c r="C168">
        <v>2</v>
      </c>
      <c r="D168">
        <v>-1</v>
      </c>
      <c r="E168">
        <v>2</v>
      </c>
      <c r="F168">
        <v>2</v>
      </c>
    </row>
    <row r="169" spans="1:6" x14ac:dyDescent="0.45">
      <c r="A169">
        <v>1200</v>
      </c>
      <c r="B169">
        <v>3</v>
      </c>
      <c r="C169">
        <v>-1</v>
      </c>
      <c r="D169">
        <v>-1</v>
      </c>
      <c r="E169">
        <v>2</v>
      </c>
      <c r="F169">
        <v>-1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C2D21-37D4-410B-90F5-22737B3D56ED}">
  <dimension ref="A1:T169"/>
  <sheetViews>
    <sheetView topLeftCell="A49" zoomScale="85" zoomScaleNormal="85" workbookViewId="0">
      <selection activeCell="R19" sqref="R19:T32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2</v>
      </c>
      <c r="D2">
        <v>2</v>
      </c>
      <c r="E2">
        <v>-1</v>
      </c>
      <c r="F2">
        <v>2</v>
      </c>
      <c r="H2" t="s">
        <v>49</v>
      </c>
    </row>
    <row r="3" spans="1:14" x14ac:dyDescent="0.45">
      <c r="A3">
        <v>1000</v>
      </c>
      <c r="B3">
        <v>4</v>
      </c>
      <c r="C3">
        <v>-1</v>
      </c>
      <c r="D3">
        <v>-1</v>
      </c>
      <c r="E3">
        <v>2</v>
      </c>
      <c r="F3">
        <v>-1</v>
      </c>
    </row>
    <row r="4" spans="1:14" ht="18.600000000000001" thickBot="1" x14ac:dyDescent="0.5">
      <c r="A4">
        <v>1000</v>
      </c>
      <c r="B4">
        <v>7</v>
      </c>
      <c r="C4">
        <v>0</v>
      </c>
      <c r="D4">
        <v>2</v>
      </c>
      <c r="E4">
        <v>2</v>
      </c>
      <c r="F4">
        <v>0</v>
      </c>
      <c r="H4" t="s">
        <v>50</v>
      </c>
    </row>
    <row r="5" spans="1:14" x14ac:dyDescent="0.45">
      <c r="A5">
        <v>1000</v>
      </c>
      <c r="B5">
        <v>2</v>
      </c>
      <c r="C5">
        <v>2</v>
      </c>
      <c r="D5">
        <v>2</v>
      </c>
      <c r="E5">
        <v>-1</v>
      </c>
      <c r="F5">
        <v>2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-2</v>
      </c>
      <c r="D6">
        <v>-2</v>
      </c>
      <c r="E6">
        <v>2</v>
      </c>
      <c r="F6">
        <v>-2</v>
      </c>
      <c r="H6" t="s">
        <v>46</v>
      </c>
      <c r="I6">
        <v>168</v>
      </c>
      <c r="J6">
        <v>-21</v>
      </c>
      <c r="K6">
        <v>-0.125</v>
      </c>
      <c r="L6">
        <v>1.6309880239520957</v>
      </c>
    </row>
    <row r="7" spans="1:14" x14ac:dyDescent="0.45">
      <c r="A7">
        <v>1000</v>
      </c>
      <c r="B7">
        <v>1</v>
      </c>
      <c r="C7">
        <v>-1</v>
      </c>
      <c r="D7">
        <v>-1</v>
      </c>
      <c r="E7">
        <v>1</v>
      </c>
      <c r="F7">
        <v>-1</v>
      </c>
      <c r="H7" t="s">
        <v>47</v>
      </c>
      <c r="I7">
        <v>168</v>
      </c>
      <c r="J7">
        <v>27</v>
      </c>
      <c r="K7">
        <v>0.16071428571428573</v>
      </c>
      <c r="L7">
        <v>2.3752138579982889</v>
      </c>
    </row>
    <row r="8" spans="1:14" ht="18.600000000000001" thickBot="1" x14ac:dyDescent="0.5">
      <c r="A8">
        <v>1000</v>
      </c>
      <c r="B8">
        <v>6</v>
      </c>
      <c r="C8">
        <v>-1</v>
      </c>
      <c r="D8">
        <v>-2</v>
      </c>
      <c r="E8">
        <v>2</v>
      </c>
      <c r="F8">
        <v>-1</v>
      </c>
      <c r="H8" s="3" t="s">
        <v>48</v>
      </c>
      <c r="I8" s="3">
        <v>168</v>
      </c>
      <c r="J8" s="3">
        <v>155</v>
      </c>
      <c r="K8" s="3">
        <v>0.92261904761904767</v>
      </c>
      <c r="L8" s="3">
        <v>1.6885871114913029</v>
      </c>
    </row>
    <row r="9" spans="1:14" x14ac:dyDescent="0.45">
      <c r="A9">
        <v>1000</v>
      </c>
      <c r="B9">
        <v>3</v>
      </c>
      <c r="C9">
        <v>-1</v>
      </c>
      <c r="D9">
        <v>2</v>
      </c>
      <c r="E9">
        <v>2</v>
      </c>
      <c r="F9">
        <v>-1</v>
      </c>
    </row>
    <row r="10" spans="1:14" x14ac:dyDescent="0.45">
      <c r="A10">
        <v>1010</v>
      </c>
      <c r="B10">
        <v>5</v>
      </c>
      <c r="C10">
        <v>0</v>
      </c>
      <c r="D10">
        <v>-2</v>
      </c>
      <c r="E10">
        <v>2</v>
      </c>
      <c r="F10">
        <v>0</v>
      </c>
    </row>
    <row r="11" spans="1:14" ht="18.600000000000001" thickBot="1" x14ac:dyDescent="0.5">
      <c r="A11">
        <v>1010</v>
      </c>
      <c r="B11">
        <v>4</v>
      </c>
      <c r="C11">
        <v>0</v>
      </c>
      <c r="D11">
        <v>1</v>
      </c>
      <c r="E11">
        <v>1</v>
      </c>
      <c r="F11">
        <v>0</v>
      </c>
      <c r="H11" t="s">
        <v>56</v>
      </c>
    </row>
    <row r="12" spans="1:14" x14ac:dyDescent="0.45">
      <c r="A12">
        <v>1010</v>
      </c>
      <c r="B12">
        <v>7</v>
      </c>
      <c r="C12">
        <v>1</v>
      </c>
      <c r="D12">
        <v>1</v>
      </c>
      <c r="E12">
        <v>2</v>
      </c>
      <c r="F12">
        <v>1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-1</v>
      </c>
      <c r="D13">
        <v>-2</v>
      </c>
      <c r="E13">
        <v>-2</v>
      </c>
      <c r="F13">
        <v>-1</v>
      </c>
      <c r="H13" t="s">
        <v>63</v>
      </c>
      <c r="I13">
        <v>98.539682539683554</v>
      </c>
      <c r="J13">
        <v>2</v>
      </c>
      <c r="K13">
        <v>49.269841269841777</v>
      </c>
      <c r="L13">
        <v>25.955223974013403</v>
      </c>
      <c r="M13">
        <v>1.8807178037150152E-11</v>
      </c>
      <c r="N13">
        <v>3.0137168925158462</v>
      </c>
    </row>
    <row r="14" spans="1:14" x14ac:dyDescent="0.45">
      <c r="A14">
        <v>1010</v>
      </c>
      <c r="B14">
        <v>8</v>
      </c>
      <c r="C14">
        <v>0</v>
      </c>
      <c r="D14">
        <v>0</v>
      </c>
      <c r="E14">
        <v>0</v>
      </c>
      <c r="F14">
        <v>0</v>
      </c>
      <c r="H14" t="s">
        <v>64</v>
      </c>
      <c r="I14">
        <v>951.0297619047617</v>
      </c>
      <c r="J14">
        <v>501</v>
      </c>
      <c r="K14">
        <v>1.8982629978138956</v>
      </c>
    </row>
    <row r="15" spans="1:14" x14ac:dyDescent="0.45">
      <c r="A15">
        <v>1010</v>
      </c>
      <c r="B15">
        <v>1</v>
      </c>
      <c r="C15">
        <v>1</v>
      </c>
      <c r="D15">
        <v>1</v>
      </c>
      <c r="E15">
        <v>2</v>
      </c>
      <c r="F15">
        <v>1</v>
      </c>
    </row>
    <row r="16" spans="1:14" ht="18.600000000000001" thickBot="1" x14ac:dyDescent="0.5">
      <c r="A16">
        <v>1010</v>
      </c>
      <c r="B16">
        <v>6</v>
      </c>
      <c r="C16">
        <v>0</v>
      </c>
      <c r="D16">
        <v>1</v>
      </c>
      <c r="E16">
        <v>1</v>
      </c>
      <c r="F16">
        <v>0</v>
      </c>
      <c r="H16" s="3" t="s">
        <v>53</v>
      </c>
      <c r="I16" s="3">
        <v>1049.5694444444453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1</v>
      </c>
      <c r="D17">
        <v>-2</v>
      </c>
      <c r="E17">
        <v>2</v>
      </c>
      <c r="F17">
        <v>1</v>
      </c>
    </row>
    <row r="18" spans="1:20" x14ac:dyDescent="0.45">
      <c r="A18">
        <v>1020</v>
      </c>
      <c r="B18">
        <v>5</v>
      </c>
      <c r="C18">
        <v>1</v>
      </c>
      <c r="D18">
        <v>1</v>
      </c>
      <c r="E18">
        <v>-1</v>
      </c>
      <c r="F18">
        <v>1</v>
      </c>
    </row>
    <row r="19" spans="1:20" x14ac:dyDescent="0.45">
      <c r="A19">
        <v>1020</v>
      </c>
      <c r="B19">
        <v>4</v>
      </c>
      <c r="C19">
        <v>-1</v>
      </c>
      <c r="D19">
        <v>-2</v>
      </c>
      <c r="E19">
        <v>2</v>
      </c>
      <c r="F19">
        <v>-1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-1</v>
      </c>
      <c r="D20">
        <v>0</v>
      </c>
      <c r="E20">
        <v>1</v>
      </c>
      <c r="F20">
        <v>-1</v>
      </c>
    </row>
    <row r="21" spans="1:20" x14ac:dyDescent="0.45">
      <c r="A21">
        <v>1020</v>
      </c>
      <c r="B21">
        <v>2</v>
      </c>
      <c r="C21">
        <v>-1</v>
      </c>
      <c r="D21">
        <v>1</v>
      </c>
      <c r="E21">
        <v>2</v>
      </c>
      <c r="F21">
        <v>-1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-1</v>
      </c>
      <c r="D22">
        <v>1</v>
      </c>
      <c r="E22">
        <v>2</v>
      </c>
      <c r="F22">
        <v>-1</v>
      </c>
      <c r="H22" t="s">
        <v>54</v>
      </c>
      <c r="I22">
        <v>-0.125</v>
      </c>
      <c r="J22">
        <v>0.16071428571428573</v>
      </c>
      <c r="M22" t="s">
        <v>54</v>
      </c>
      <c r="N22">
        <v>0.16071428571428573</v>
      </c>
      <c r="O22">
        <v>0.92261904761904767</v>
      </c>
      <c r="R22" t="s">
        <v>54</v>
      </c>
      <c r="S22">
        <v>0.92261904761904767</v>
      </c>
      <c r="T22">
        <v>-0.125</v>
      </c>
    </row>
    <row r="23" spans="1:20" x14ac:dyDescent="0.45">
      <c r="A23">
        <v>1020</v>
      </c>
      <c r="B23">
        <v>1</v>
      </c>
      <c r="C23">
        <v>-1</v>
      </c>
      <c r="D23">
        <v>2</v>
      </c>
      <c r="E23">
        <v>0</v>
      </c>
      <c r="F23">
        <v>-1</v>
      </c>
      <c r="H23" t="s">
        <v>55</v>
      </c>
      <c r="I23">
        <v>1.6309880239520957</v>
      </c>
      <c r="J23">
        <v>2.3752138579982889</v>
      </c>
      <c r="M23" t="s">
        <v>55</v>
      </c>
      <c r="N23">
        <v>2.3752138579982889</v>
      </c>
      <c r="O23">
        <v>1.6885871114913029</v>
      </c>
      <c r="R23" t="s">
        <v>55</v>
      </c>
      <c r="S23">
        <v>1.6885871114913029</v>
      </c>
      <c r="T23">
        <v>1.6309880239520957</v>
      </c>
    </row>
    <row r="24" spans="1:20" x14ac:dyDescent="0.45">
      <c r="A24">
        <v>1020</v>
      </c>
      <c r="B24">
        <v>6</v>
      </c>
      <c r="C24">
        <v>1</v>
      </c>
      <c r="D24">
        <v>-2</v>
      </c>
      <c r="E24">
        <v>2</v>
      </c>
      <c r="F24">
        <v>1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1</v>
      </c>
      <c r="D25">
        <v>2</v>
      </c>
      <c r="E25">
        <v>1</v>
      </c>
      <c r="F25">
        <v>1</v>
      </c>
      <c r="H25" t="s">
        <v>82</v>
      </c>
      <c r="I25">
        <v>6.5029873167580202E-2</v>
      </c>
      <c r="M25" t="s">
        <v>82</v>
      </c>
      <c r="N25">
        <v>5.1096875603308861E-2</v>
      </c>
      <c r="R25" t="s">
        <v>82</v>
      </c>
      <c r="S25">
        <v>-2.3904644550908148E-2</v>
      </c>
    </row>
    <row r="26" spans="1:20" x14ac:dyDescent="0.45">
      <c r="A26">
        <v>1030</v>
      </c>
      <c r="B26">
        <v>1</v>
      </c>
      <c r="C26">
        <v>1</v>
      </c>
      <c r="D26">
        <v>-2</v>
      </c>
      <c r="E26">
        <v>1</v>
      </c>
      <c r="F26">
        <v>1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-1</v>
      </c>
      <c r="D27">
        <v>2</v>
      </c>
      <c r="E27">
        <v>2</v>
      </c>
      <c r="F27">
        <v>-1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1</v>
      </c>
      <c r="D28">
        <v>-2</v>
      </c>
      <c r="E28">
        <v>1</v>
      </c>
      <c r="F28">
        <v>1</v>
      </c>
      <c r="H28" t="s">
        <v>84</v>
      </c>
      <c r="I28">
        <v>-1.9123112473050361</v>
      </c>
      <c r="M28" t="s">
        <v>84</v>
      </c>
      <c r="N28">
        <v>-5.0270143580451716</v>
      </c>
      <c r="R28" t="s">
        <v>84</v>
      </c>
      <c r="S28">
        <v>7.3652549084041761</v>
      </c>
    </row>
    <row r="29" spans="1:20" x14ac:dyDescent="0.45">
      <c r="A29">
        <v>1030</v>
      </c>
      <c r="B29">
        <v>6</v>
      </c>
      <c r="C29">
        <v>-1</v>
      </c>
      <c r="D29">
        <v>-1</v>
      </c>
      <c r="E29">
        <v>1</v>
      </c>
      <c r="F29">
        <v>-1</v>
      </c>
      <c r="H29" t="s">
        <v>85</v>
      </c>
      <c r="I29">
        <v>2.8774034189177795E-2</v>
      </c>
      <c r="M29" t="s">
        <v>85</v>
      </c>
      <c r="N29">
        <v>6.3680420453307742E-7</v>
      </c>
      <c r="R29" t="s">
        <v>85</v>
      </c>
      <c r="S29">
        <v>3.855986211464753E-12</v>
      </c>
    </row>
    <row r="30" spans="1:20" x14ac:dyDescent="0.45">
      <c r="A30">
        <v>1030</v>
      </c>
      <c r="B30">
        <v>4</v>
      </c>
      <c r="C30">
        <v>0</v>
      </c>
      <c r="D30">
        <v>1</v>
      </c>
      <c r="E30">
        <v>2</v>
      </c>
      <c r="F30">
        <v>0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1</v>
      </c>
      <c r="D31">
        <v>-1</v>
      </c>
      <c r="E31">
        <v>-2</v>
      </c>
      <c r="F31">
        <v>1</v>
      </c>
      <c r="H31" t="s">
        <v>87</v>
      </c>
      <c r="I31">
        <v>5.7548068378355591E-2</v>
      </c>
      <c r="M31" t="s">
        <v>87</v>
      </c>
      <c r="N31">
        <v>1.2736084090661548E-6</v>
      </c>
      <c r="R31" t="s">
        <v>87</v>
      </c>
      <c r="S31">
        <v>7.711972422929506E-12</v>
      </c>
    </row>
    <row r="32" spans="1:20" ht="18.600000000000001" thickBot="1" x14ac:dyDescent="0.5">
      <c r="A32">
        <v>1030</v>
      </c>
      <c r="B32">
        <v>2</v>
      </c>
      <c r="C32">
        <v>-1</v>
      </c>
      <c r="D32">
        <v>1</v>
      </c>
      <c r="E32">
        <v>1</v>
      </c>
      <c r="F32">
        <v>-1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1</v>
      </c>
      <c r="D33">
        <v>-2</v>
      </c>
      <c r="E33">
        <v>1</v>
      </c>
      <c r="F33">
        <v>1</v>
      </c>
    </row>
    <row r="34" spans="1:6" x14ac:dyDescent="0.45">
      <c r="A34">
        <v>1040</v>
      </c>
      <c r="B34">
        <v>1</v>
      </c>
      <c r="C34">
        <v>-1</v>
      </c>
      <c r="D34">
        <v>0</v>
      </c>
      <c r="E34">
        <v>1</v>
      </c>
      <c r="F34">
        <v>-1</v>
      </c>
    </row>
    <row r="35" spans="1:6" x14ac:dyDescent="0.45">
      <c r="A35">
        <v>1040</v>
      </c>
      <c r="B35">
        <v>8</v>
      </c>
      <c r="C35">
        <v>-1</v>
      </c>
      <c r="D35">
        <v>0</v>
      </c>
      <c r="E35">
        <v>1</v>
      </c>
      <c r="F35">
        <v>-1</v>
      </c>
    </row>
    <row r="36" spans="1:6" x14ac:dyDescent="0.45">
      <c r="A36">
        <v>1040</v>
      </c>
      <c r="B36">
        <v>3</v>
      </c>
      <c r="C36">
        <v>1</v>
      </c>
      <c r="D36">
        <v>0</v>
      </c>
      <c r="E36">
        <v>0</v>
      </c>
      <c r="F36">
        <v>1</v>
      </c>
    </row>
    <row r="37" spans="1:6" x14ac:dyDescent="0.45">
      <c r="A37">
        <v>1040</v>
      </c>
      <c r="B37">
        <v>6</v>
      </c>
      <c r="C37">
        <v>-1</v>
      </c>
      <c r="D37">
        <v>-2</v>
      </c>
      <c r="E37">
        <v>2</v>
      </c>
      <c r="F37">
        <v>-1</v>
      </c>
    </row>
    <row r="38" spans="1:6" x14ac:dyDescent="0.45">
      <c r="A38">
        <v>1040</v>
      </c>
      <c r="B38">
        <v>4</v>
      </c>
      <c r="C38">
        <v>-1</v>
      </c>
      <c r="D38">
        <v>1</v>
      </c>
      <c r="E38">
        <v>-1</v>
      </c>
      <c r="F38">
        <v>-1</v>
      </c>
    </row>
    <row r="39" spans="1:6" x14ac:dyDescent="0.45">
      <c r="A39">
        <v>1040</v>
      </c>
      <c r="B39">
        <v>5</v>
      </c>
      <c r="C39">
        <v>0</v>
      </c>
      <c r="D39">
        <v>0</v>
      </c>
      <c r="E39">
        <v>2</v>
      </c>
      <c r="F39">
        <v>0</v>
      </c>
    </row>
    <row r="40" spans="1:6" x14ac:dyDescent="0.45">
      <c r="A40">
        <v>1040</v>
      </c>
      <c r="B40">
        <v>2</v>
      </c>
      <c r="C40">
        <v>0</v>
      </c>
      <c r="D40">
        <v>0</v>
      </c>
      <c r="E40">
        <v>1</v>
      </c>
      <c r="F40">
        <v>0</v>
      </c>
    </row>
    <row r="41" spans="1:6" x14ac:dyDescent="0.45">
      <c r="A41">
        <v>1040</v>
      </c>
      <c r="B41">
        <v>7</v>
      </c>
      <c r="C41">
        <v>-2</v>
      </c>
      <c r="D41">
        <v>-2</v>
      </c>
      <c r="E41">
        <v>1</v>
      </c>
      <c r="F41">
        <v>-2</v>
      </c>
    </row>
    <row r="42" spans="1:6" x14ac:dyDescent="0.45">
      <c r="A42">
        <v>1050</v>
      </c>
      <c r="B42">
        <v>1</v>
      </c>
      <c r="C42">
        <v>1</v>
      </c>
      <c r="D42">
        <v>0</v>
      </c>
      <c r="E42">
        <v>2</v>
      </c>
      <c r="F42">
        <v>1</v>
      </c>
    </row>
    <row r="43" spans="1:6" x14ac:dyDescent="0.45">
      <c r="A43">
        <v>1050</v>
      </c>
      <c r="B43">
        <v>8</v>
      </c>
      <c r="C43">
        <v>1</v>
      </c>
      <c r="D43">
        <v>0</v>
      </c>
      <c r="E43">
        <v>0</v>
      </c>
      <c r="F43">
        <v>1</v>
      </c>
    </row>
    <row r="44" spans="1:6" x14ac:dyDescent="0.45">
      <c r="A44">
        <v>1050</v>
      </c>
      <c r="B44">
        <v>3</v>
      </c>
      <c r="C44">
        <v>-2</v>
      </c>
      <c r="D44">
        <v>1</v>
      </c>
      <c r="E44">
        <v>1</v>
      </c>
      <c r="F44">
        <v>-2</v>
      </c>
    </row>
    <row r="45" spans="1:6" x14ac:dyDescent="0.45">
      <c r="A45">
        <v>1050</v>
      </c>
      <c r="B45">
        <v>6</v>
      </c>
      <c r="C45">
        <v>-1</v>
      </c>
      <c r="D45">
        <v>1</v>
      </c>
      <c r="E45">
        <v>1</v>
      </c>
      <c r="F45">
        <v>-1</v>
      </c>
    </row>
    <row r="46" spans="1:6" x14ac:dyDescent="0.45">
      <c r="A46">
        <v>1050</v>
      </c>
      <c r="B46">
        <v>4</v>
      </c>
      <c r="C46">
        <v>-1</v>
      </c>
      <c r="D46">
        <v>-2</v>
      </c>
      <c r="E46">
        <v>2</v>
      </c>
      <c r="F46">
        <v>-1</v>
      </c>
    </row>
    <row r="47" spans="1:6" x14ac:dyDescent="0.45">
      <c r="A47">
        <v>1050</v>
      </c>
      <c r="B47">
        <v>5</v>
      </c>
      <c r="C47">
        <v>1</v>
      </c>
      <c r="D47">
        <v>2</v>
      </c>
      <c r="E47">
        <v>1</v>
      </c>
      <c r="F47">
        <v>1</v>
      </c>
    </row>
    <row r="48" spans="1:6" x14ac:dyDescent="0.45">
      <c r="A48">
        <v>1050</v>
      </c>
      <c r="B48">
        <v>2</v>
      </c>
      <c r="C48">
        <v>1</v>
      </c>
      <c r="D48">
        <v>1</v>
      </c>
      <c r="E48">
        <v>1</v>
      </c>
      <c r="F48">
        <v>1</v>
      </c>
    </row>
    <row r="49" spans="1:6" x14ac:dyDescent="0.45">
      <c r="A49">
        <v>1050</v>
      </c>
      <c r="B49">
        <v>7</v>
      </c>
      <c r="C49">
        <v>1</v>
      </c>
      <c r="D49">
        <v>-1</v>
      </c>
      <c r="E49">
        <v>1</v>
      </c>
      <c r="F49">
        <v>1</v>
      </c>
    </row>
    <row r="50" spans="1:6" x14ac:dyDescent="0.45">
      <c r="A50">
        <v>1060</v>
      </c>
      <c r="B50">
        <v>5</v>
      </c>
      <c r="C50">
        <v>1</v>
      </c>
      <c r="D50">
        <v>1</v>
      </c>
      <c r="E50">
        <v>2</v>
      </c>
      <c r="F50">
        <v>1</v>
      </c>
    </row>
    <row r="51" spans="1:6" x14ac:dyDescent="0.45">
      <c r="A51">
        <v>1060</v>
      </c>
      <c r="B51">
        <v>4</v>
      </c>
      <c r="C51">
        <v>0</v>
      </c>
      <c r="D51">
        <v>-2</v>
      </c>
      <c r="E51">
        <v>-1</v>
      </c>
      <c r="F51">
        <v>0</v>
      </c>
    </row>
    <row r="52" spans="1:6" x14ac:dyDescent="0.45">
      <c r="A52">
        <v>1060</v>
      </c>
      <c r="B52">
        <v>7</v>
      </c>
      <c r="C52">
        <v>-1</v>
      </c>
      <c r="D52">
        <v>1</v>
      </c>
      <c r="E52">
        <v>-1</v>
      </c>
      <c r="F52">
        <v>-1</v>
      </c>
    </row>
    <row r="53" spans="1:6" x14ac:dyDescent="0.45">
      <c r="A53">
        <v>1060</v>
      </c>
      <c r="B53">
        <v>2</v>
      </c>
      <c r="C53">
        <v>0</v>
      </c>
      <c r="D53">
        <v>2</v>
      </c>
      <c r="E53">
        <v>1</v>
      </c>
      <c r="F53">
        <v>0</v>
      </c>
    </row>
    <row r="54" spans="1:6" x14ac:dyDescent="0.45">
      <c r="A54">
        <v>1060</v>
      </c>
      <c r="B54">
        <v>8</v>
      </c>
      <c r="C54">
        <v>-1</v>
      </c>
      <c r="D54">
        <v>-1</v>
      </c>
      <c r="E54">
        <v>-1</v>
      </c>
      <c r="F54">
        <v>-1</v>
      </c>
    </row>
    <row r="55" spans="1:6" x14ac:dyDescent="0.45">
      <c r="A55">
        <v>1060</v>
      </c>
      <c r="B55">
        <v>1</v>
      </c>
      <c r="C55">
        <v>-1</v>
      </c>
      <c r="D55">
        <v>-1</v>
      </c>
      <c r="E55">
        <v>2</v>
      </c>
      <c r="F55">
        <v>-1</v>
      </c>
    </row>
    <row r="56" spans="1:6" x14ac:dyDescent="0.45">
      <c r="A56">
        <v>1060</v>
      </c>
      <c r="B56">
        <v>6</v>
      </c>
      <c r="C56">
        <v>-1</v>
      </c>
      <c r="D56">
        <v>-2</v>
      </c>
      <c r="E56">
        <v>-1</v>
      </c>
      <c r="F56">
        <v>-1</v>
      </c>
    </row>
    <row r="57" spans="1:6" x14ac:dyDescent="0.45">
      <c r="A57">
        <v>1060</v>
      </c>
      <c r="B57">
        <v>3</v>
      </c>
      <c r="C57">
        <v>-1</v>
      </c>
      <c r="D57">
        <v>-2</v>
      </c>
      <c r="E57">
        <v>1</v>
      </c>
      <c r="F57">
        <v>-1</v>
      </c>
    </row>
    <row r="58" spans="1:6" x14ac:dyDescent="0.45">
      <c r="A58">
        <v>1070</v>
      </c>
      <c r="B58">
        <v>5</v>
      </c>
      <c r="C58">
        <v>-1</v>
      </c>
      <c r="D58">
        <v>1</v>
      </c>
      <c r="E58">
        <v>2</v>
      </c>
      <c r="F58">
        <v>-1</v>
      </c>
    </row>
    <row r="59" spans="1:6" x14ac:dyDescent="0.45">
      <c r="A59">
        <v>1070</v>
      </c>
      <c r="B59">
        <v>4</v>
      </c>
      <c r="C59">
        <v>-2</v>
      </c>
      <c r="D59">
        <v>1</v>
      </c>
      <c r="E59">
        <v>2</v>
      </c>
      <c r="F59">
        <v>-2</v>
      </c>
    </row>
    <row r="60" spans="1:6" x14ac:dyDescent="0.45">
      <c r="A60">
        <v>1070</v>
      </c>
      <c r="B60">
        <v>7</v>
      </c>
      <c r="C60">
        <v>-1</v>
      </c>
      <c r="D60">
        <v>1</v>
      </c>
      <c r="E60">
        <v>2</v>
      </c>
      <c r="F60">
        <v>-1</v>
      </c>
    </row>
    <row r="61" spans="1:6" x14ac:dyDescent="0.45">
      <c r="A61">
        <v>1070</v>
      </c>
      <c r="B61">
        <v>2</v>
      </c>
      <c r="C61">
        <v>-1</v>
      </c>
      <c r="D61">
        <v>0</v>
      </c>
      <c r="E61">
        <v>2</v>
      </c>
      <c r="F61">
        <v>-1</v>
      </c>
    </row>
    <row r="62" spans="1:6" x14ac:dyDescent="0.45">
      <c r="A62">
        <v>1070</v>
      </c>
      <c r="B62">
        <v>8</v>
      </c>
      <c r="C62">
        <v>-1</v>
      </c>
      <c r="D62">
        <v>2</v>
      </c>
      <c r="E62">
        <v>-1</v>
      </c>
      <c r="F62">
        <v>-1</v>
      </c>
    </row>
    <row r="63" spans="1:6" x14ac:dyDescent="0.45">
      <c r="A63">
        <v>1070</v>
      </c>
      <c r="B63">
        <v>1</v>
      </c>
      <c r="C63">
        <v>-2</v>
      </c>
      <c r="D63">
        <v>0</v>
      </c>
      <c r="E63">
        <v>1</v>
      </c>
      <c r="F63">
        <v>-2</v>
      </c>
    </row>
    <row r="64" spans="1:6" x14ac:dyDescent="0.45">
      <c r="A64">
        <v>1070</v>
      </c>
      <c r="B64">
        <v>6</v>
      </c>
      <c r="C64">
        <v>-1</v>
      </c>
      <c r="D64">
        <v>1</v>
      </c>
      <c r="E64">
        <v>-1</v>
      </c>
      <c r="F64">
        <v>-1</v>
      </c>
    </row>
    <row r="65" spans="1:6" x14ac:dyDescent="0.45">
      <c r="A65">
        <v>1070</v>
      </c>
      <c r="B65">
        <v>3</v>
      </c>
      <c r="C65">
        <v>1</v>
      </c>
      <c r="D65">
        <v>1</v>
      </c>
      <c r="E65">
        <v>2</v>
      </c>
      <c r="F65">
        <v>1</v>
      </c>
    </row>
    <row r="66" spans="1:6" x14ac:dyDescent="0.45">
      <c r="A66">
        <v>1080</v>
      </c>
      <c r="B66">
        <v>1</v>
      </c>
      <c r="C66">
        <v>2</v>
      </c>
      <c r="D66">
        <v>1</v>
      </c>
      <c r="E66">
        <v>1</v>
      </c>
      <c r="F66">
        <v>2</v>
      </c>
    </row>
    <row r="67" spans="1:6" x14ac:dyDescent="0.45">
      <c r="A67">
        <v>1080</v>
      </c>
      <c r="B67">
        <v>8</v>
      </c>
      <c r="C67">
        <v>-1</v>
      </c>
      <c r="D67">
        <v>-2</v>
      </c>
      <c r="E67">
        <v>2</v>
      </c>
      <c r="F67">
        <v>-1</v>
      </c>
    </row>
    <row r="68" spans="1:6" x14ac:dyDescent="0.45">
      <c r="A68">
        <v>1080</v>
      </c>
      <c r="B68">
        <v>3</v>
      </c>
      <c r="C68">
        <v>-1</v>
      </c>
      <c r="D68">
        <v>-2</v>
      </c>
      <c r="E68">
        <v>1</v>
      </c>
      <c r="F68">
        <v>-1</v>
      </c>
    </row>
    <row r="69" spans="1:6" x14ac:dyDescent="0.45">
      <c r="A69">
        <v>1080</v>
      </c>
      <c r="B69">
        <v>6</v>
      </c>
      <c r="C69">
        <v>-1</v>
      </c>
      <c r="D69">
        <v>-1</v>
      </c>
      <c r="E69">
        <v>1</v>
      </c>
      <c r="F69">
        <v>-1</v>
      </c>
    </row>
    <row r="70" spans="1:6" x14ac:dyDescent="0.45">
      <c r="A70">
        <v>1080</v>
      </c>
      <c r="B70">
        <v>4</v>
      </c>
      <c r="C70">
        <v>1</v>
      </c>
      <c r="D70">
        <v>1</v>
      </c>
      <c r="E70">
        <v>1</v>
      </c>
      <c r="F70">
        <v>1</v>
      </c>
    </row>
    <row r="71" spans="1:6" x14ac:dyDescent="0.45">
      <c r="A71">
        <v>1080</v>
      </c>
      <c r="B71">
        <v>5</v>
      </c>
      <c r="C71">
        <v>-2</v>
      </c>
      <c r="D71">
        <v>-1</v>
      </c>
      <c r="E71">
        <v>2</v>
      </c>
      <c r="F71">
        <v>-2</v>
      </c>
    </row>
    <row r="72" spans="1:6" x14ac:dyDescent="0.45">
      <c r="A72">
        <v>1080</v>
      </c>
      <c r="B72">
        <v>2</v>
      </c>
      <c r="C72">
        <v>-1</v>
      </c>
      <c r="D72">
        <v>-2</v>
      </c>
      <c r="E72">
        <v>1</v>
      </c>
      <c r="F72">
        <v>-1</v>
      </c>
    </row>
    <row r="73" spans="1:6" x14ac:dyDescent="0.45">
      <c r="A73">
        <v>1080</v>
      </c>
      <c r="B73">
        <v>7</v>
      </c>
      <c r="C73">
        <v>0</v>
      </c>
      <c r="D73">
        <v>-1</v>
      </c>
      <c r="E73">
        <v>1</v>
      </c>
      <c r="F73">
        <v>0</v>
      </c>
    </row>
    <row r="74" spans="1:6" x14ac:dyDescent="0.45">
      <c r="A74">
        <v>1090</v>
      </c>
      <c r="B74">
        <v>5</v>
      </c>
      <c r="C74">
        <v>0</v>
      </c>
      <c r="D74">
        <v>-2</v>
      </c>
      <c r="E74">
        <v>1</v>
      </c>
      <c r="F74">
        <v>0</v>
      </c>
    </row>
    <row r="75" spans="1:6" x14ac:dyDescent="0.45">
      <c r="A75">
        <v>1090</v>
      </c>
      <c r="B75">
        <v>4</v>
      </c>
      <c r="C75">
        <v>1</v>
      </c>
      <c r="D75">
        <v>2</v>
      </c>
      <c r="E75">
        <v>1</v>
      </c>
      <c r="F75">
        <v>1</v>
      </c>
    </row>
    <row r="76" spans="1:6" x14ac:dyDescent="0.45">
      <c r="A76">
        <v>1090</v>
      </c>
      <c r="B76">
        <v>7</v>
      </c>
      <c r="C76">
        <v>0</v>
      </c>
      <c r="D76">
        <v>-2</v>
      </c>
      <c r="E76">
        <v>2</v>
      </c>
      <c r="F76">
        <v>0</v>
      </c>
    </row>
    <row r="77" spans="1:6" x14ac:dyDescent="0.45">
      <c r="A77">
        <v>1090</v>
      </c>
      <c r="B77">
        <v>2</v>
      </c>
      <c r="C77">
        <v>0</v>
      </c>
      <c r="D77">
        <v>-1</v>
      </c>
      <c r="E77">
        <v>-2</v>
      </c>
      <c r="F77">
        <v>0</v>
      </c>
    </row>
    <row r="78" spans="1:6" x14ac:dyDescent="0.45">
      <c r="A78">
        <v>1090</v>
      </c>
      <c r="B78">
        <v>8</v>
      </c>
      <c r="C78">
        <v>-2</v>
      </c>
      <c r="D78">
        <v>1</v>
      </c>
      <c r="E78">
        <v>1</v>
      </c>
      <c r="F78">
        <v>-2</v>
      </c>
    </row>
    <row r="79" spans="1:6" x14ac:dyDescent="0.45">
      <c r="A79">
        <v>1090</v>
      </c>
      <c r="B79">
        <v>1</v>
      </c>
      <c r="C79">
        <v>1</v>
      </c>
      <c r="D79">
        <v>-2</v>
      </c>
      <c r="E79">
        <v>2</v>
      </c>
      <c r="F79">
        <v>1</v>
      </c>
    </row>
    <row r="80" spans="1:6" x14ac:dyDescent="0.45">
      <c r="A80">
        <v>1090</v>
      </c>
      <c r="B80">
        <v>6</v>
      </c>
      <c r="C80">
        <v>-1</v>
      </c>
      <c r="D80">
        <v>2</v>
      </c>
      <c r="E80">
        <v>2</v>
      </c>
      <c r="F80">
        <v>-1</v>
      </c>
    </row>
    <row r="81" spans="1:6" x14ac:dyDescent="0.45">
      <c r="A81">
        <v>1090</v>
      </c>
      <c r="B81">
        <v>3</v>
      </c>
      <c r="C81">
        <v>0</v>
      </c>
      <c r="D81">
        <v>1</v>
      </c>
      <c r="E81">
        <v>2</v>
      </c>
      <c r="F81">
        <v>0</v>
      </c>
    </row>
    <row r="82" spans="1:6" x14ac:dyDescent="0.45">
      <c r="A82">
        <v>1100</v>
      </c>
      <c r="B82">
        <v>1</v>
      </c>
      <c r="C82">
        <v>-1</v>
      </c>
      <c r="D82">
        <v>-1</v>
      </c>
      <c r="E82">
        <v>0</v>
      </c>
      <c r="F82">
        <v>-1</v>
      </c>
    </row>
    <row r="83" spans="1:6" x14ac:dyDescent="0.45">
      <c r="A83">
        <v>1100</v>
      </c>
      <c r="B83">
        <v>8</v>
      </c>
      <c r="C83">
        <v>1</v>
      </c>
      <c r="D83">
        <v>0</v>
      </c>
      <c r="E83">
        <v>2</v>
      </c>
      <c r="F83">
        <v>1</v>
      </c>
    </row>
    <row r="84" spans="1:6" x14ac:dyDescent="0.45">
      <c r="A84">
        <v>1100</v>
      </c>
      <c r="B84">
        <v>3</v>
      </c>
      <c r="C84">
        <v>-1</v>
      </c>
      <c r="D84">
        <v>1</v>
      </c>
      <c r="E84">
        <v>1</v>
      </c>
      <c r="F84">
        <v>-1</v>
      </c>
    </row>
    <row r="85" spans="1:6" x14ac:dyDescent="0.45">
      <c r="A85">
        <v>1100</v>
      </c>
      <c r="B85">
        <v>6</v>
      </c>
      <c r="C85">
        <v>1</v>
      </c>
      <c r="D85">
        <v>2</v>
      </c>
      <c r="E85">
        <v>0</v>
      </c>
      <c r="F85">
        <v>1</v>
      </c>
    </row>
    <row r="86" spans="1:6" x14ac:dyDescent="0.45">
      <c r="A86">
        <v>1100</v>
      </c>
      <c r="B86">
        <v>4</v>
      </c>
      <c r="C86">
        <v>0</v>
      </c>
      <c r="D86">
        <v>2</v>
      </c>
      <c r="E86">
        <v>1</v>
      </c>
      <c r="F86">
        <v>0</v>
      </c>
    </row>
    <row r="87" spans="1:6" x14ac:dyDescent="0.45">
      <c r="A87">
        <v>1100</v>
      </c>
      <c r="B87">
        <v>5</v>
      </c>
      <c r="C87">
        <v>1</v>
      </c>
      <c r="D87">
        <v>2</v>
      </c>
      <c r="E87">
        <v>-2</v>
      </c>
      <c r="F87">
        <v>1</v>
      </c>
    </row>
    <row r="88" spans="1:6" x14ac:dyDescent="0.45">
      <c r="A88">
        <v>1100</v>
      </c>
      <c r="B88">
        <v>2</v>
      </c>
      <c r="C88">
        <v>-1</v>
      </c>
      <c r="D88">
        <v>1</v>
      </c>
      <c r="E88">
        <v>1</v>
      </c>
      <c r="F88">
        <v>-1</v>
      </c>
    </row>
    <row r="89" spans="1:6" x14ac:dyDescent="0.45">
      <c r="A89">
        <v>1100</v>
      </c>
      <c r="B89">
        <v>7</v>
      </c>
      <c r="C89">
        <v>1</v>
      </c>
      <c r="D89">
        <v>2</v>
      </c>
      <c r="E89">
        <v>1</v>
      </c>
      <c r="F89">
        <v>1</v>
      </c>
    </row>
    <row r="90" spans="1:6" x14ac:dyDescent="0.45">
      <c r="A90">
        <v>1110</v>
      </c>
      <c r="B90">
        <v>5</v>
      </c>
      <c r="C90">
        <v>2</v>
      </c>
      <c r="D90">
        <v>1</v>
      </c>
      <c r="E90">
        <v>-2</v>
      </c>
      <c r="F90">
        <v>2</v>
      </c>
    </row>
    <row r="91" spans="1:6" x14ac:dyDescent="0.45">
      <c r="A91">
        <v>1110</v>
      </c>
      <c r="B91">
        <v>4</v>
      </c>
      <c r="C91">
        <v>1</v>
      </c>
      <c r="D91">
        <v>1</v>
      </c>
      <c r="E91">
        <v>1</v>
      </c>
      <c r="F91">
        <v>1</v>
      </c>
    </row>
    <row r="92" spans="1:6" x14ac:dyDescent="0.45">
      <c r="A92">
        <v>1110</v>
      </c>
      <c r="B92">
        <v>7</v>
      </c>
      <c r="C92">
        <v>1</v>
      </c>
      <c r="D92">
        <v>1</v>
      </c>
      <c r="E92">
        <v>2</v>
      </c>
      <c r="F92">
        <v>1</v>
      </c>
    </row>
    <row r="93" spans="1:6" x14ac:dyDescent="0.45">
      <c r="A93">
        <v>1110</v>
      </c>
      <c r="B93">
        <v>2</v>
      </c>
      <c r="C93">
        <v>2</v>
      </c>
      <c r="D93">
        <v>-2</v>
      </c>
      <c r="E93">
        <v>-2</v>
      </c>
      <c r="F93">
        <v>2</v>
      </c>
    </row>
    <row r="94" spans="1:6" x14ac:dyDescent="0.45">
      <c r="A94">
        <v>1110</v>
      </c>
      <c r="B94">
        <v>8</v>
      </c>
      <c r="C94">
        <v>-1</v>
      </c>
      <c r="D94">
        <v>-2</v>
      </c>
      <c r="E94">
        <v>2</v>
      </c>
      <c r="F94">
        <v>-1</v>
      </c>
    </row>
    <row r="95" spans="1:6" x14ac:dyDescent="0.45">
      <c r="A95">
        <v>1110</v>
      </c>
      <c r="B95">
        <v>1</v>
      </c>
      <c r="C95">
        <v>2</v>
      </c>
      <c r="D95">
        <v>-2</v>
      </c>
      <c r="E95">
        <v>-2</v>
      </c>
      <c r="F95">
        <v>2</v>
      </c>
    </row>
    <row r="96" spans="1:6" x14ac:dyDescent="0.45">
      <c r="A96">
        <v>1110</v>
      </c>
      <c r="B96">
        <v>6</v>
      </c>
      <c r="C96">
        <v>1</v>
      </c>
      <c r="D96">
        <v>-2</v>
      </c>
      <c r="E96">
        <v>2</v>
      </c>
      <c r="F96">
        <v>1</v>
      </c>
    </row>
    <row r="97" spans="1:6" x14ac:dyDescent="0.45">
      <c r="A97">
        <v>1110</v>
      </c>
      <c r="B97">
        <v>3</v>
      </c>
      <c r="C97">
        <v>1</v>
      </c>
      <c r="D97">
        <v>1</v>
      </c>
      <c r="E97">
        <v>2</v>
      </c>
      <c r="F97">
        <v>1</v>
      </c>
    </row>
    <row r="98" spans="1:6" x14ac:dyDescent="0.45">
      <c r="A98">
        <v>1120</v>
      </c>
      <c r="B98">
        <v>1</v>
      </c>
      <c r="C98">
        <v>-1</v>
      </c>
      <c r="D98">
        <v>0</v>
      </c>
      <c r="E98">
        <v>2</v>
      </c>
      <c r="F98">
        <v>-1</v>
      </c>
    </row>
    <row r="99" spans="1:6" x14ac:dyDescent="0.45">
      <c r="A99">
        <v>1120</v>
      </c>
      <c r="B99">
        <v>8</v>
      </c>
      <c r="C99">
        <v>-1</v>
      </c>
      <c r="D99">
        <v>2</v>
      </c>
      <c r="E99">
        <v>2</v>
      </c>
      <c r="F99">
        <v>-1</v>
      </c>
    </row>
    <row r="100" spans="1:6" x14ac:dyDescent="0.45">
      <c r="A100">
        <v>1120</v>
      </c>
      <c r="B100">
        <v>3</v>
      </c>
      <c r="C100">
        <v>-1</v>
      </c>
      <c r="D100">
        <v>2</v>
      </c>
      <c r="E100">
        <v>2</v>
      </c>
      <c r="F100">
        <v>-1</v>
      </c>
    </row>
    <row r="101" spans="1:6" x14ac:dyDescent="0.45">
      <c r="A101">
        <v>1120</v>
      </c>
      <c r="B101">
        <v>6</v>
      </c>
      <c r="C101">
        <v>-1</v>
      </c>
      <c r="D101">
        <v>1</v>
      </c>
      <c r="E101">
        <v>2</v>
      </c>
      <c r="F101">
        <v>-1</v>
      </c>
    </row>
    <row r="102" spans="1:6" x14ac:dyDescent="0.45">
      <c r="A102">
        <v>1120</v>
      </c>
      <c r="B102">
        <v>4</v>
      </c>
      <c r="C102">
        <v>-2</v>
      </c>
      <c r="D102">
        <v>-1</v>
      </c>
      <c r="E102">
        <v>-2</v>
      </c>
      <c r="F102">
        <v>-2</v>
      </c>
    </row>
    <row r="103" spans="1:6" x14ac:dyDescent="0.45">
      <c r="A103">
        <v>1120</v>
      </c>
      <c r="B103">
        <v>5</v>
      </c>
      <c r="C103">
        <v>-1</v>
      </c>
      <c r="D103">
        <v>-1</v>
      </c>
      <c r="E103">
        <v>2</v>
      </c>
      <c r="F103">
        <v>-1</v>
      </c>
    </row>
    <row r="104" spans="1:6" x14ac:dyDescent="0.45">
      <c r="A104">
        <v>1120</v>
      </c>
      <c r="B104">
        <v>2</v>
      </c>
      <c r="C104">
        <v>-2</v>
      </c>
      <c r="D104">
        <v>-2</v>
      </c>
      <c r="E104">
        <v>-1</v>
      </c>
      <c r="F104">
        <v>-2</v>
      </c>
    </row>
    <row r="105" spans="1:6" x14ac:dyDescent="0.45">
      <c r="A105">
        <v>1120</v>
      </c>
      <c r="B105">
        <v>7</v>
      </c>
      <c r="C105">
        <v>-2</v>
      </c>
      <c r="D105">
        <v>2</v>
      </c>
      <c r="E105">
        <v>1</v>
      </c>
      <c r="F105">
        <v>-2</v>
      </c>
    </row>
    <row r="106" spans="1:6" x14ac:dyDescent="0.45">
      <c r="A106">
        <v>1130</v>
      </c>
      <c r="B106">
        <v>5</v>
      </c>
      <c r="C106">
        <v>1</v>
      </c>
      <c r="D106">
        <v>-2</v>
      </c>
      <c r="E106">
        <v>-1</v>
      </c>
      <c r="F106">
        <v>1</v>
      </c>
    </row>
    <row r="107" spans="1:6" x14ac:dyDescent="0.45">
      <c r="A107">
        <v>1130</v>
      </c>
      <c r="B107">
        <v>4</v>
      </c>
      <c r="C107">
        <v>1</v>
      </c>
      <c r="D107">
        <v>2</v>
      </c>
      <c r="E107">
        <v>2</v>
      </c>
      <c r="F107">
        <v>1</v>
      </c>
    </row>
    <row r="108" spans="1:6" x14ac:dyDescent="0.45">
      <c r="A108">
        <v>1130</v>
      </c>
      <c r="B108">
        <v>7</v>
      </c>
      <c r="C108">
        <v>2</v>
      </c>
      <c r="D108">
        <v>2</v>
      </c>
      <c r="E108">
        <v>2</v>
      </c>
      <c r="F108">
        <v>2</v>
      </c>
    </row>
    <row r="109" spans="1:6" x14ac:dyDescent="0.45">
      <c r="A109">
        <v>1130</v>
      </c>
      <c r="B109">
        <v>2</v>
      </c>
      <c r="C109">
        <v>-2</v>
      </c>
      <c r="D109">
        <v>0</v>
      </c>
      <c r="E109">
        <v>1</v>
      </c>
      <c r="F109">
        <v>-2</v>
      </c>
    </row>
    <row r="110" spans="1:6" x14ac:dyDescent="0.45">
      <c r="A110">
        <v>1130</v>
      </c>
      <c r="B110">
        <v>8</v>
      </c>
      <c r="C110">
        <v>-1</v>
      </c>
      <c r="D110">
        <v>-2</v>
      </c>
      <c r="E110">
        <v>2</v>
      </c>
      <c r="F110">
        <v>-1</v>
      </c>
    </row>
    <row r="111" spans="1:6" x14ac:dyDescent="0.45">
      <c r="A111">
        <v>1130</v>
      </c>
      <c r="B111">
        <v>1</v>
      </c>
      <c r="C111">
        <v>2</v>
      </c>
      <c r="D111">
        <v>2</v>
      </c>
      <c r="E111">
        <v>2</v>
      </c>
      <c r="F111">
        <v>2</v>
      </c>
    </row>
    <row r="112" spans="1:6" x14ac:dyDescent="0.45">
      <c r="A112">
        <v>1130</v>
      </c>
      <c r="B112">
        <v>6</v>
      </c>
      <c r="C112">
        <v>2</v>
      </c>
      <c r="D112">
        <v>-2</v>
      </c>
      <c r="E112">
        <v>2</v>
      </c>
      <c r="F112">
        <v>2</v>
      </c>
    </row>
    <row r="113" spans="1:6" x14ac:dyDescent="0.45">
      <c r="A113">
        <v>1130</v>
      </c>
      <c r="B113">
        <v>3</v>
      </c>
      <c r="C113">
        <v>2</v>
      </c>
      <c r="D113">
        <v>2</v>
      </c>
      <c r="E113">
        <v>2</v>
      </c>
      <c r="F113">
        <v>2</v>
      </c>
    </row>
    <row r="114" spans="1:6" x14ac:dyDescent="0.45">
      <c r="A114">
        <v>1140</v>
      </c>
      <c r="B114">
        <v>1</v>
      </c>
      <c r="C114">
        <v>1</v>
      </c>
      <c r="D114">
        <v>-1</v>
      </c>
      <c r="E114">
        <v>2</v>
      </c>
      <c r="F114">
        <v>1</v>
      </c>
    </row>
    <row r="115" spans="1:6" x14ac:dyDescent="0.45">
      <c r="A115">
        <v>1140</v>
      </c>
      <c r="B115">
        <v>8</v>
      </c>
      <c r="C115">
        <v>-1</v>
      </c>
      <c r="D115">
        <v>2</v>
      </c>
      <c r="E115">
        <v>1</v>
      </c>
      <c r="F115">
        <v>-1</v>
      </c>
    </row>
    <row r="116" spans="1:6" x14ac:dyDescent="0.45">
      <c r="A116">
        <v>1140</v>
      </c>
      <c r="B116">
        <v>3</v>
      </c>
      <c r="C116">
        <v>0</v>
      </c>
      <c r="D116">
        <v>1</v>
      </c>
      <c r="E116">
        <v>1</v>
      </c>
      <c r="F116">
        <v>0</v>
      </c>
    </row>
    <row r="117" spans="1:6" x14ac:dyDescent="0.45">
      <c r="A117">
        <v>1140</v>
      </c>
      <c r="B117">
        <v>6</v>
      </c>
      <c r="C117">
        <v>-1</v>
      </c>
      <c r="D117">
        <v>2</v>
      </c>
      <c r="E117">
        <v>1</v>
      </c>
      <c r="F117">
        <v>-1</v>
      </c>
    </row>
    <row r="118" spans="1:6" x14ac:dyDescent="0.45">
      <c r="A118">
        <v>1140</v>
      </c>
      <c r="B118">
        <v>4</v>
      </c>
      <c r="C118">
        <v>0</v>
      </c>
      <c r="D118">
        <v>2</v>
      </c>
      <c r="E118">
        <v>2</v>
      </c>
      <c r="F118">
        <v>0</v>
      </c>
    </row>
    <row r="119" spans="1:6" x14ac:dyDescent="0.45">
      <c r="A119">
        <v>1140</v>
      </c>
      <c r="B119">
        <v>5</v>
      </c>
      <c r="C119">
        <v>1</v>
      </c>
      <c r="D119">
        <v>2</v>
      </c>
      <c r="E119">
        <v>2</v>
      </c>
      <c r="F119">
        <v>1</v>
      </c>
    </row>
    <row r="120" spans="1:6" x14ac:dyDescent="0.45">
      <c r="A120">
        <v>1140</v>
      </c>
      <c r="B120">
        <v>2</v>
      </c>
      <c r="C120">
        <v>-1</v>
      </c>
      <c r="D120">
        <v>2</v>
      </c>
      <c r="E120">
        <v>-1</v>
      </c>
      <c r="F120">
        <v>-1</v>
      </c>
    </row>
    <row r="121" spans="1:6" x14ac:dyDescent="0.45">
      <c r="A121">
        <v>1140</v>
      </c>
      <c r="B121">
        <v>7</v>
      </c>
      <c r="C121">
        <v>-2</v>
      </c>
      <c r="D121">
        <v>2</v>
      </c>
      <c r="E121">
        <v>2</v>
      </c>
      <c r="F121">
        <v>-2</v>
      </c>
    </row>
    <row r="122" spans="1:6" x14ac:dyDescent="0.45">
      <c r="A122">
        <v>1150</v>
      </c>
      <c r="B122">
        <v>5</v>
      </c>
      <c r="C122">
        <v>-2</v>
      </c>
      <c r="D122">
        <v>2</v>
      </c>
      <c r="E122">
        <v>2</v>
      </c>
      <c r="F122">
        <v>-2</v>
      </c>
    </row>
    <row r="123" spans="1:6" x14ac:dyDescent="0.45">
      <c r="A123">
        <v>1150</v>
      </c>
      <c r="B123">
        <v>4</v>
      </c>
      <c r="C123">
        <v>-1</v>
      </c>
      <c r="D123">
        <v>2</v>
      </c>
      <c r="E123">
        <v>-2</v>
      </c>
      <c r="F123">
        <v>-1</v>
      </c>
    </row>
    <row r="124" spans="1:6" x14ac:dyDescent="0.45">
      <c r="A124">
        <v>1150</v>
      </c>
      <c r="B124">
        <v>7</v>
      </c>
      <c r="C124">
        <v>2</v>
      </c>
      <c r="D124">
        <v>-1</v>
      </c>
      <c r="E124">
        <v>2</v>
      </c>
      <c r="F124">
        <v>2</v>
      </c>
    </row>
    <row r="125" spans="1:6" x14ac:dyDescent="0.45">
      <c r="A125">
        <v>1150</v>
      </c>
      <c r="B125">
        <v>2</v>
      </c>
      <c r="C125">
        <v>-2</v>
      </c>
      <c r="D125">
        <v>1</v>
      </c>
      <c r="E125">
        <v>2</v>
      </c>
      <c r="F125">
        <v>-2</v>
      </c>
    </row>
    <row r="126" spans="1:6" x14ac:dyDescent="0.45">
      <c r="A126">
        <v>1150</v>
      </c>
      <c r="B126">
        <v>8</v>
      </c>
      <c r="C126">
        <v>-1</v>
      </c>
      <c r="D126">
        <v>2</v>
      </c>
      <c r="E126">
        <v>-2</v>
      </c>
      <c r="F126">
        <v>-1</v>
      </c>
    </row>
    <row r="127" spans="1:6" x14ac:dyDescent="0.45">
      <c r="A127">
        <v>1150</v>
      </c>
      <c r="B127">
        <v>1</v>
      </c>
      <c r="C127">
        <v>0</v>
      </c>
      <c r="D127">
        <v>2</v>
      </c>
      <c r="E127">
        <v>2</v>
      </c>
      <c r="F127">
        <v>0</v>
      </c>
    </row>
    <row r="128" spans="1:6" x14ac:dyDescent="0.45">
      <c r="A128">
        <v>1150</v>
      </c>
      <c r="B128">
        <v>6</v>
      </c>
      <c r="C128">
        <v>1</v>
      </c>
      <c r="D128">
        <v>-2</v>
      </c>
      <c r="E128">
        <v>2</v>
      </c>
      <c r="F128">
        <v>1</v>
      </c>
    </row>
    <row r="129" spans="1:6" x14ac:dyDescent="0.45">
      <c r="A129">
        <v>1150</v>
      </c>
      <c r="B129">
        <v>3</v>
      </c>
      <c r="C129">
        <v>1</v>
      </c>
      <c r="D129">
        <v>-1</v>
      </c>
      <c r="E129">
        <v>2</v>
      </c>
      <c r="F129">
        <v>1</v>
      </c>
    </row>
    <row r="130" spans="1:6" x14ac:dyDescent="0.45">
      <c r="A130">
        <v>1160</v>
      </c>
      <c r="B130">
        <v>5</v>
      </c>
      <c r="C130">
        <v>2</v>
      </c>
      <c r="D130">
        <v>1</v>
      </c>
      <c r="E130">
        <v>1</v>
      </c>
      <c r="F130">
        <v>2</v>
      </c>
    </row>
    <row r="131" spans="1:6" x14ac:dyDescent="0.45">
      <c r="A131">
        <v>1160</v>
      </c>
      <c r="B131">
        <v>4</v>
      </c>
      <c r="C131">
        <v>2</v>
      </c>
      <c r="D131">
        <v>-2</v>
      </c>
      <c r="E131">
        <v>1</v>
      </c>
      <c r="F131">
        <v>2</v>
      </c>
    </row>
    <row r="132" spans="1:6" x14ac:dyDescent="0.45">
      <c r="A132">
        <v>1160</v>
      </c>
      <c r="B132">
        <v>7</v>
      </c>
      <c r="C132">
        <v>-1</v>
      </c>
      <c r="D132">
        <v>-1</v>
      </c>
      <c r="E132">
        <v>2</v>
      </c>
      <c r="F132">
        <v>-1</v>
      </c>
    </row>
    <row r="133" spans="1:6" x14ac:dyDescent="0.45">
      <c r="A133">
        <v>1160</v>
      </c>
      <c r="B133">
        <v>2</v>
      </c>
      <c r="C133">
        <v>2</v>
      </c>
      <c r="D133">
        <v>-2</v>
      </c>
      <c r="E133">
        <v>-1</v>
      </c>
      <c r="F133">
        <v>2</v>
      </c>
    </row>
    <row r="134" spans="1:6" x14ac:dyDescent="0.45">
      <c r="A134">
        <v>1160</v>
      </c>
      <c r="B134">
        <v>8</v>
      </c>
      <c r="C134">
        <v>-2</v>
      </c>
      <c r="D134">
        <v>-1</v>
      </c>
      <c r="E134">
        <v>2</v>
      </c>
      <c r="F134">
        <v>-2</v>
      </c>
    </row>
    <row r="135" spans="1:6" x14ac:dyDescent="0.45">
      <c r="A135">
        <v>1160</v>
      </c>
      <c r="B135">
        <v>1</v>
      </c>
      <c r="C135">
        <v>-2</v>
      </c>
      <c r="D135">
        <v>2</v>
      </c>
      <c r="E135">
        <v>1</v>
      </c>
      <c r="F135">
        <v>-2</v>
      </c>
    </row>
    <row r="136" spans="1:6" x14ac:dyDescent="0.45">
      <c r="A136">
        <v>1160</v>
      </c>
      <c r="B136">
        <v>6</v>
      </c>
      <c r="C136">
        <v>-1</v>
      </c>
      <c r="D136">
        <v>2</v>
      </c>
      <c r="E136">
        <v>2</v>
      </c>
      <c r="F136">
        <v>-1</v>
      </c>
    </row>
    <row r="137" spans="1:6" x14ac:dyDescent="0.45">
      <c r="A137">
        <v>1160</v>
      </c>
      <c r="B137">
        <v>3</v>
      </c>
      <c r="C137">
        <v>-1</v>
      </c>
      <c r="D137">
        <v>2</v>
      </c>
      <c r="E137">
        <v>2</v>
      </c>
      <c r="F137">
        <v>-1</v>
      </c>
    </row>
    <row r="138" spans="1:6" x14ac:dyDescent="0.45">
      <c r="A138">
        <v>1170</v>
      </c>
      <c r="B138">
        <v>1</v>
      </c>
      <c r="C138">
        <v>0</v>
      </c>
      <c r="D138">
        <v>1</v>
      </c>
      <c r="E138">
        <v>1</v>
      </c>
      <c r="F138">
        <v>0</v>
      </c>
    </row>
    <row r="139" spans="1:6" x14ac:dyDescent="0.45">
      <c r="A139">
        <v>1170</v>
      </c>
      <c r="B139">
        <v>8</v>
      </c>
      <c r="C139">
        <v>1</v>
      </c>
      <c r="D139">
        <v>0</v>
      </c>
      <c r="E139">
        <v>2</v>
      </c>
      <c r="F139">
        <v>1</v>
      </c>
    </row>
    <row r="140" spans="1:6" x14ac:dyDescent="0.45">
      <c r="A140">
        <v>1170</v>
      </c>
      <c r="B140">
        <v>3</v>
      </c>
      <c r="C140">
        <v>0</v>
      </c>
      <c r="D140">
        <v>0</v>
      </c>
      <c r="E140">
        <v>1</v>
      </c>
      <c r="F140">
        <v>0</v>
      </c>
    </row>
    <row r="141" spans="1:6" x14ac:dyDescent="0.45">
      <c r="A141">
        <v>1170</v>
      </c>
      <c r="B141">
        <v>6</v>
      </c>
      <c r="C141">
        <v>-1</v>
      </c>
      <c r="D141">
        <v>1</v>
      </c>
      <c r="E141">
        <v>1</v>
      </c>
      <c r="F141">
        <v>-1</v>
      </c>
    </row>
    <row r="142" spans="1:6" x14ac:dyDescent="0.45">
      <c r="A142">
        <v>1170</v>
      </c>
      <c r="B142">
        <v>4</v>
      </c>
      <c r="C142">
        <v>1</v>
      </c>
      <c r="D142">
        <v>1</v>
      </c>
      <c r="E142">
        <v>1</v>
      </c>
      <c r="F142">
        <v>1</v>
      </c>
    </row>
    <row r="143" spans="1:6" x14ac:dyDescent="0.45">
      <c r="A143">
        <v>1170</v>
      </c>
      <c r="B143">
        <v>5</v>
      </c>
      <c r="C143">
        <v>1</v>
      </c>
      <c r="D143">
        <v>1</v>
      </c>
      <c r="E143">
        <v>1</v>
      </c>
      <c r="F143">
        <v>1</v>
      </c>
    </row>
    <row r="144" spans="1:6" x14ac:dyDescent="0.45">
      <c r="A144">
        <v>1170</v>
      </c>
      <c r="B144">
        <v>2</v>
      </c>
      <c r="C144">
        <v>1</v>
      </c>
      <c r="D144">
        <v>1</v>
      </c>
      <c r="E144">
        <v>1</v>
      </c>
      <c r="F144">
        <v>1</v>
      </c>
    </row>
    <row r="145" spans="1:6" x14ac:dyDescent="0.45">
      <c r="A145">
        <v>1170</v>
      </c>
      <c r="B145">
        <v>7</v>
      </c>
      <c r="C145">
        <v>-1</v>
      </c>
      <c r="D145">
        <v>2</v>
      </c>
      <c r="E145">
        <v>1</v>
      </c>
      <c r="F145">
        <v>-1</v>
      </c>
    </row>
    <row r="146" spans="1:6" x14ac:dyDescent="0.45">
      <c r="A146">
        <v>1180</v>
      </c>
      <c r="B146">
        <v>5</v>
      </c>
      <c r="C146">
        <v>-1</v>
      </c>
      <c r="D146">
        <v>-2</v>
      </c>
      <c r="E146">
        <v>-2</v>
      </c>
      <c r="F146">
        <v>-1</v>
      </c>
    </row>
    <row r="147" spans="1:6" x14ac:dyDescent="0.45">
      <c r="A147">
        <v>1180</v>
      </c>
      <c r="B147">
        <v>4</v>
      </c>
      <c r="C147">
        <v>-1</v>
      </c>
      <c r="D147">
        <v>-1</v>
      </c>
      <c r="E147">
        <v>2</v>
      </c>
      <c r="F147">
        <v>-1</v>
      </c>
    </row>
    <row r="148" spans="1:6" x14ac:dyDescent="0.45">
      <c r="A148">
        <v>1180</v>
      </c>
      <c r="B148">
        <v>7</v>
      </c>
      <c r="C148">
        <v>-2</v>
      </c>
      <c r="D148">
        <v>1</v>
      </c>
      <c r="E148">
        <v>-2</v>
      </c>
      <c r="F148">
        <v>-2</v>
      </c>
    </row>
    <row r="149" spans="1:6" x14ac:dyDescent="0.45">
      <c r="A149">
        <v>1180</v>
      </c>
      <c r="B149">
        <v>2</v>
      </c>
      <c r="C149">
        <v>-2</v>
      </c>
      <c r="D149">
        <v>-2</v>
      </c>
      <c r="E149">
        <v>-2</v>
      </c>
      <c r="F149">
        <v>-2</v>
      </c>
    </row>
    <row r="150" spans="1:6" x14ac:dyDescent="0.45">
      <c r="A150">
        <v>1180</v>
      </c>
      <c r="B150">
        <v>8</v>
      </c>
      <c r="C150">
        <v>-1</v>
      </c>
      <c r="D150">
        <v>2</v>
      </c>
      <c r="E150">
        <v>2</v>
      </c>
      <c r="F150">
        <v>-1</v>
      </c>
    </row>
    <row r="151" spans="1:6" x14ac:dyDescent="0.45">
      <c r="A151">
        <v>1180</v>
      </c>
      <c r="B151">
        <v>1</v>
      </c>
      <c r="C151">
        <v>-1</v>
      </c>
      <c r="D151">
        <v>1</v>
      </c>
      <c r="E151">
        <v>0</v>
      </c>
      <c r="F151">
        <v>-1</v>
      </c>
    </row>
    <row r="152" spans="1:6" x14ac:dyDescent="0.45">
      <c r="A152">
        <v>1180</v>
      </c>
      <c r="B152">
        <v>6</v>
      </c>
      <c r="C152">
        <v>-2</v>
      </c>
      <c r="D152">
        <v>-2</v>
      </c>
      <c r="E152">
        <v>1</v>
      </c>
      <c r="F152">
        <v>-2</v>
      </c>
    </row>
    <row r="153" spans="1:6" x14ac:dyDescent="0.45">
      <c r="A153">
        <v>1180</v>
      </c>
      <c r="B153">
        <v>3</v>
      </c>
      <c r="C153">
        <v>1</v>
      </c>
      <c r="D153">
        <v>2</v>
      </c>
      <c r="E153">
        <v>-1</v>
      </c>
      <c r="F153">
        <v>1</v>
      </c>
    </row>
    <row r="154" spans="1:6" x14ac:dyDescent="0.45">
      <c r="A154">
        <v>1190</v>
      </c>
      <c r="B154">
        <v>1</v>
      </c>
      <c r="C154">
        <v>1</v>
      </c>
      <c r="D154">
        <v>-1</v>
      </c>
      <c r="E154">
        <v>-1</v>
      </c>
      <c r="F154">
        <v>1</v>
      </c>
    </row>
    <row r="155" spans="1:6" x14ac:dyDescent="0.45">
      <c r="A155">
        <v>1190</v>
      </c>
      <c r="B155">
        <v>8</v>
      </c>
      <c r="C155">
        <v>1</v>
      </c>
      <c r="D155">
        <v>2</v>
      </c>
      <c r="E155">
        <v>-1</v>
      </c>
      <c r="F155">
        <v>1</v>
      </c>
    </row>
    <row r="156" spans="1:6" x14ac:dyDescent="0.45">
      <c r="A156">
        <v>1190</v>
      </c>
      <c r="B156">
        <v>3</v>
      </c>
      <c r="C156">
        <v>-2</v>
      </c>
      <c r="D156">
        <v>-2</v>
      </c>
      <c r="E156">
        <v>2</v>
      </c>
      <c r="F156">
        <v>-2</v>
      </c>
    </row>
    <row r="157" spans="1:6" x14ac:dyDescent="0.45">
      <c r="A157">
        <v>1190</v>
      </c>
      <c r="B157">
        <v>6</v>
      </c>
      <c r="C157">
        <v>-2</v>
      </c>
      <c r="D157">
        <v>-1</v>
      </c>
      <c r="E157">
        <v>-2</v>
      </c>
      <c r="F157">
        <v>-2</v>
      </c>
    </row>
    <row r="158" spans="1:6" x14ac:dyDescent="0.45">
      <c r="A158">
        <v>1190</v>
      </c>
      <c r="B158">
        <v>4</v>
      </c>
      <c r="C158">
        <v>-2</v>
      </c>
      <c r="D158">
        <v>-1</v>
      </c>
      <c r="E158">
        <v>2</v>
      </c>
      <c r="F158">
        <v>-2</v>
      </c>
    </row>
    <row r="159" spans="1:6" x14ac:dyDescent="0.45">
      <c r="A159">
        <v>1190</v>
      </c>
      <c r="B159">
        <v>5</v>
      </c>
      <c r="C159">
        <v>1</v>
      </c>
      <c r="D159">
        <v>-1</v>
      </c>
      <c r="E159">
        <v>-1</v>
      </c>
      <c r="F159">
        <v>1</v>
      </c>
    </row>
    <row r="160" spans="1:6" x14ac:dyDescent="0.45">
      <c r="A160">
        <v>1190</v>
      </c>
      <c r="B160">
        <v>2</v>
      </c>
      <c r="C160">
        <v>1</v>
      </c>
      <c r="D160">
        <v>1</v>
      </c>
      <c r="E160">
        <v>-1</v>
      </c>
      <c r="F160">
        <v>1</v>
      </c>
    </row>
    <row r="161" spans="1:6" x14ac:dyDescent="0.45">
      <c r="A161">
        <v>1190</v>
      </c>
      <c r="B161">
        <v>7</v>
      </c>
      <c r="C161">
        <v>-1</v>
      </c>
      <c r="D161">
        <v>2</v>
      </c>
      <c r="E161">
        <v>1</v>
      </c>
      <c r="F161">
        <v>-1</v>
      </c>
    </row>
    <row r="162" spans="1:6" x14ac:dyDescent="0.45">
      <c r="A162">
        <v>1200</v>
      </c>
      <c r="B162">
        <v>5</v>
      </c>
      <c r="C162">
        <v>2</v>
      </c>
      <c r="D162">
        <v>2</v>
      </c>
      <c r="E162">
        <v>2</v>
      </c>
      <c r="F162">
        <v>2</v>
      </c>
    </row>
    <row r="163" spans="1:6" x14ac:dyDescent="0.45">
      <c r="A163">
        <v>1200</v>
      </c>
      <c r="B163">
        <v>4</v>
      </c>
      <c r="C163">
        <v>2</v>
      </c>
      <c r="D163">
        <v>2</v>
      </c>
      <c r="E163">
        <v>2</v>
      </c>
      <c r="F163">
        <v>2</v>
      </c>
    </row>
    <row r="164" spans="1:6" x14ac:dyDescent="0.45">
      <c r="A164">
        <v>1200</v>
      </c>
      <c r="B164">
        <v>7</v>
      </c>
      <c r="C164">
        <v>2</v>
      </c>
      <c r="D164">
        <v>2</v>
      </c>
      <c r="E164">
        <v>2</v>
      </c>
      <c r="F164">
        <v>2</v>
      </c>
    </row>
    <row r="165" spans="1:6" x14ac:dyDescent="0.45">
      <c r="A165">
        <v>1200</v>
      </c>
      <c r="B165">
        <v>2</v>
      </c>
      <c r="C165">
        <v>2</v>
      </c>
      <c r="D165">
        <v>-2</v>
      </c>
      <c r="E165">
        <v>1</v>
      </c>
      <c r="F165">
        <v>2</v>
      </c>
    </row>
    <row r="166" spans="1:6" x14ac:dyDescent="0.45">
      <c r="A166">
        <v>1200</v>
      </c>
      <c r="B166">
        <v>8</v>
      </c>
      <c r="C166">
        <v>-2</v>
      </c>
      <c r="D166">
        <v>-2</v>
      </c>
      <c r="E166">
        <v>2</v>
      </c>
      <c r="F166">
        <v>-2</v>
      </c>
    </row>
    <row r="167" spans="1:6" x14ac:dyDescent="0.45">
      <c r="A167">
        <v>1200</v>
      </c>
      <c r="B167">
        <v>1</v>
      </c>
      <c r="C167">
        <v>0</v>
      </c>
      <c r="D167">
        <v>1</v>
      </c>
      <c r="E167">
        <v>2</v>
      </c>
      <c r="F167">
        <v>0</v>
      </c>
    </row>
    <row r="168" spans="1:6" x14ac:dyDescent="0.45">
      <c r="A168">
        <v>1200</v>
      </c>
      <c r="B168">
        <v>6</v>
      </c>
      <c r="C168">
        <v>2</v>
      </c>
      <c r="D168">
        <v>-1</v>
      </c>
      <c r="E168">
        <v>2</v>
      </c>
      <c r="F168">
        <v>2</v>
      </c>
    </row>
    <row r="169" spans="1:6" x14ac:dyDescent="0.45">
      <c r="A169">
        <v>1200</v>
      </c>
      <c r="B169">
        <v>3</v>
      </c>
      <c r="C169">
        <v>2</v>
      </c>
      <c r="D169">
        <v>-1</v>
      </c>
      <c r="E169">
        <v>2</v>
      </c>
      <c r="F169">
        <v>2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06F11-3465-4045-9E50-81E3C784DA4C}">
  <dimension ref="A1:T169"/>
  <sheetViews>
    <sheetView topLeftCell="A48" zoomScaleNormal="100" workbookViewId="0">
      <selection activeCell="H1" sqref="H1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0</v>
      </c>
      <c r="D2">
        <v>1</v>
      </c>
      <c r="E2">
        <v>1</v>
      </c>
      <c r="F2">
        <v>0</v>
      </c>
      <c r="H2" t="s">
        <v>49</v>
      </c>
    </row>
    <row r="3" spans="1:14" x14ac:dyDescent="0.45">
      <c r="A3">
        <v>1000</v>
      </c>
      <c r="B3">
        <v>4</v>
      </c>
      <c r="C3">
        <v>-1</v>
      </c>
      <c r="D3">
        <v>1</v>
      </c>
      <c r="E3">
        <v>2</v>
      </c>
      <c r="F3">
        <v>-1</v>
      </c>
    </row>
    <row r="4" spans="1:14" ht="18.600000000000001" thickBot="1" x14ac:dyDescent="0.5">
      <c r="A4">
        <v>1000</v>
      </c>
      <c r="B4">
        <v>7</v>
      </c>
      <c r="C4">
        <v>0</v>
      </c>
      <c r="D4">
        <v>2</v>
      </c>
      <c r="E4">
        <v>2</v>
      </c>
      <c r="F4">
        <v>0</v>
      </c>
      <c r="H4" t="s">
        <v>50</v>
      </c>
    </row>
    <row r="5" spans="1:14" x14ac:dyDescent="0.45">
      <c r="A5">
        <v>1000</v>
      </c>
      <c r="B5">
        <v>2</v>
      </c>
      <c r="C5">
        <v>2</v>
      </c>
      <c r="D5">
        <v>1</v>
      </c>
      <c r="E5">
        <v>0</v>
      </c>
      <c r="F5">
        <v>2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-1</v>
      </c>
      <c r="D6">
        <v>-2</v>
      </c>
      <c r="E6">
        <v>2</v>
      </c>
      <c r="F6">
        <v>-1</v>
      </c>
      <c r="H6" t="s">
        <v>46</v>
      </c>
      <c r="I6">
        <v>168</v>
      </c>
      <c r="J6">
        <v>-49</v>
      </c>
      <c r="K6">
        <v>-0.29166666666666669</v>
      </c>
      <c r="L6">
        <v>1.3216067864271457</v>
      </c>
    </row>
    <row r="7" spans="1:14" x14ac:dyDescent="0.45">
      <c r="A7">
        <v>1000</v>
      </c>
      <c r="B7">
        <v>1</v>
      </c>
      <c r="C7">
        <v>-1</v>
      </c>
      <c r="D7">
        <v>0</v>
      </c>
      <c r="E7">
        <v>1</v>
      </c>
      <c r="F7">
        <v>-1</v>
      </c>
      <c r="H7" t="s">
        <v>47</v>
      </c>
      <c r="I7">
        <v>168</v>
      </c>
      <c r="J7">
        <v>4</v>
      </c>
      <c r="K7">
        <v>2.3809523809523808E-2</v>
      </c>
      <c r="L7">
        <v>2.1431422868548617</v>
      </c>
    </row>
    <row r="8" spans="1:14" ht="18.600000000000001" thickBot="1" x14ac:dyDescent="0.5">
      <c r="A8">
        <v>1000</v>
      </c>
      <c r="B8">
        <v>6</v>
      </c>
      <c r="C8">
        <v>-1</v>
      </c>
      <c r="D8">
        <v>-2</v>
      </c>
      <c r="E8">
        <v>2</v>
      </c>
      <c r="F8">
        <v>-1</v>
      </c>
      <c r="H8" s="3" t="s">
        <v>48</v>
      </c>
      <c r="I8" s="3">
        <v>168</v>
      </c>
      <c r="J8" s="3">
        <v>139</v>
      </c>
      <c r="K8" s="3">
        <v>0.82738095238095233</v>
      </c>
      <c r="L8" s="3">
        <v>1.748467351012261</v>
      </c>
    </row>
    <row r="9" spans="1:14" x14ac:dyDescent="0.45">
      <c r="A9">
        <v>1000</v>
      </c>
      <c r="B9">
        <v>3</v>
      </c>
      <c r="C9">
        <v>-1</v>
      </c>
      <c r="D9">
        <v>2</v>
      </c>
      <c r="E9">
        <v>2</v>
      </c>
      <c r="F9">
        <v>-1</v>
      </c>
    </row>
    <row r="10" spans="1:14" x14ac:dyDescent="0.45">
      <c r="A10">
        <v>1010</v>
      </c>
      <c r="B10">
        <v>5</v>
      </c>
      <c r="C10">
        <v>0</v>
      </c>
      <c r="D10">
        <v>-2</v>
      </c>
      <c r="E10">
        <v>1</v>
      </c>
      <c r="F10">
        <v>0</v>
      </c>
    </row>
    <row r="11" spans="1:14" ht="18.600000000000001" thickBot="1" x14ac:dyDescent="0.5">
      <c r="A11">
        <v>1010</v>
      </c>
      <c r="B11">
        <v>4</v>
      </c>
      <c r="C11">
        <v>1</v>
      </c>
      <c r="D11">
        <v>0</v>
      </c>
      <c r="E11">
        <v>0</v>
      </c>
      <c r="F11">
        <v>1</v>
      </c>
      <c r="H11" t="s">
        <v>56</v>
      </c>
    </row>
    <row r="12" spans="1:14" x14ac:dyDescent="0.45">
      <c r="A12">
        <v>1010</v>
      </c>
      <c r="B12">
        <v>7</v>
      </c>
      <c r="C12">
        <v>1</v>
      </c>
      <c r="D12">
        <v>1</v>
      </c>
      <c r="E12">
        <v>1</v>
      </c>
      <c r="F12">
        <v>1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-1</v>
      </c>
      <c r="D13">
        <v>-2</v>
      </c>
      <c r="E13">
        <v>-2</v>
      </c>
      <c r="F13">
        <v>-1</v>
      </c>
      <c r="H13" t="s">
        <v>63</v>
      </c>
      <c r="I13">
        <v>111.86111111111143</v>
      </c>
      <c r="J13">
        <v>2</v>
      </c>
      <c r="K13">
        <v>55.930555555555713</v>
      </c>
      <c r="L13">
        <v>32.185824069136295</v>
      </c>
      <c r="M13">
        <v>7.0741915602291804E-14</v>
      </c>
      <c r="N13">
        <v>3.0137168925158462</v>
      </c>
    </row>
    <row r="14" spans="1:14" x14ac:dyDescent="0.45">
      <c r="A14">
        <v>1010</v>
      </c>
      <c r="B14">
        <v>8</v>
      </c>
      <c r="C14">
        <v>1</v>
      </c>
      <c r="D14">
        <v>0</v>
      </c>
      <c r="E14">
        <v>0</v>
      </c>
      <c r="F14">
        <v>1</v>
      </c>
      <c r="H14" t="s">
        <v>64</v>
      </c>
      <c r="I14">
        <v>870.60714285714289</v>
      </c>
      <c r="J14">
        <v>501</v>
      </c>
      <c r="K14">
        <v>1.7377388080980896</v>
      </c>
    </row>
    <row r="15" spans="1:14" x14ac:dyDescent="0.45">
      <c r="A15">
        <v>1010</v>
      </c>
      <c r="B15">
        <v>1</v>
      </c>
      <c r="C15">
        <v>1</v>
      </c>
      <c r="D15">
        <v>1</v>
      </c>
      <c r="E15">
        <v>2</v>
      </c>
      <c r="F15">
        <v>1</v>
      </c>
    </row>
    <row r="16" spans="1:14" ht="18.600000000000001" thickBot="1" x14ac:dyDescent="0.5">
      <c r="A16">
        <v>1010</v>
      </c>
      <c r="B16">
        <v>6</v>
      </c>
      <c r="C16">
        <v>1</v>
      </c>
      <c r="D16">
        <v>1</v>
      </c>
      <c r="E16">
        <v>1</v>
      </c>
      <c r="F16">
        <v>1</v>
      </c>
      <c r="H16" s="3" t="s">
        <v>53</v>
      </c>
      <c r="I16" s="3">
        <v>982.46825396825432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1</v>
      </c>
      <c r="D17">
        <v>-2</v>
      </c>
      <c r="E17">
        <v>2</v>
      </c>
      <c r="F17">
        <v>1</v>
      </c>
    </row>
    <row r="18" spans="1:20" x14ac:dyDescent="0.45">
      <c r="A18">
        <v>1020</v>
      </c>
      <c r="B18">
        <v>5</v>
      </c>
      <c r="C18">
        <v>2</v>
      </c>
      <c r="D18">
        <v>1</v>
      </c>
      <c r="E18">
        <v>-1</v>
      </c>
      <c r="F18">
        <v>2</v>
      </c>
    </row>
    <row r="19" spans="1:20" x14ac:dyDescent="0.45">
      <c r="A19">
        <v>1020</v>
      </c>
      <c r="B19">
        <v>4</v>
      </c>
      <c r="C19">
        <v>1</v>
      </c>
      <c r="D19">
        <v>-2</v>
      </c>
      <c r="E19">
        <v>2</v>
      </c>
      <c r="F19">
        <v>1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-1</v>
      </c>
      <c r="D20">
        <v>-1</v>
      </c>
      <c r="E20">
        <v>2</v>
      </c>
      <c r="F20">
        <v>-1</v>
      </c>
    </row>
    <row r="21" spans="1:20" x14ac:dyDescent="0.45">
      <c r="A21">
        <v>1020</v>
      </c>
      <c r="B21">
        <v>2</v>
      </c>
      <c r="C21">
        <v>-1</v>
      </c>
      <c r="D21">
        <v>1</v>
      </c>
      <c r="E21">
        <v>2</v>
      </c>
      <c r="F21">
        <v>-1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-1</v>
      </c>
      <c r="D22">
        <v>1</v>
      </c>
      <c r="E22">
        <v>1</v>
      </c>
      <c r="F22">
        <v>-1</v>
      </c>
      <c r="H22" t="s">
        <v>54</v>
      </c>
      <c r="I22">
        <v>-0.29166666666666669</v>
      </c>
      <c r="J22">
        <v>2.3809523809523808E-2</v>
      </c>
      <c r="M22" t="s">
        <v>54</v>
      </c>
      <c r="N22">
        <v>2.3809523809523808E-2</v>
      </c>
      <c r="O22">
        <v>0.82738095238095233</v>
      </c>
      <c r="R22" t="s">
        <v>54</v>
      </c>
      <c r="S22">
        <v>0.82738095238095233</v>
      </c>
      <c r="T22">
        <v>-0.29166666666666669</v>
      </c>
    </row>
    <row r="23" spans="1:20" x14ac:dyDescent="0.45">
      <c r="A23">
        <v>1020</v>
      </c>
      <c r="B23">
        <v>1</v>
      </c>
      <c r="C23">
        <v>-1</v>
      </c>
      <c r="D23">
        <v>1</v>
      </c>
      <c r="E23">
        <v>2</v>
      </c>
      <c r="F23">
        <v>-1</v>
      </c>
      <c r="H23" t="s">
        <v>55</v>
      </c>
      <c r="I23">
        <v>1.3216067864271457</v>
      </c>
      <c r="J23">
        <v>2.1431422868548617</v>
      </c>
      <c r="M23" t="s">
        <v>55</v>
      </c>
      <c r="N23">
        <v>2.1431422868548617</v>
      </c>
      <c r="O23">
        <v>1.748467351012261</v>
      </c>
      <c r="R23" t="s">
        <v>55</v>
      </c>
      <c r="S23">
        <v>1.748467351012261</v>
      </c>
      <c r="T23">
        <v>1.3216067864271457</v>
      </c>
    </row>
    <row r="24" spans="1:20" x14ac:dyDescent="0.45">
      <c r="A24">
        <v>1020</v>
      </c>
      <c r="B24">
        <v>6</v>
      </c>
      <c r="C24">
        <v>1</v>
      </c>
      <c r="D24">
        <v>-2</v>
      </c>
      <c r="E24">
        <v>2</v>
      </c>
      <c r="F24">
        <v>1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1</v>
      </c>
      <c r="D25">
        <v>1</v>
      </c>
      <c r="E25">
        <v>1</v>
      </c>
      <c r="F25">
        <v>1</v>
      </c>
      <c r="H25" t="s">
        <v>82</v>
      </c>
      <c r="I25">
        <v>-9.5473209347240726E-2</v>
      </c>
      <c r="M25" t="s">
        <v>82</v>
      </c>
      <c r="N25">
        <v>4.2349454128787462E-2</v>
      </c>
      <c r="R25" t="s">
        <v>82</v>
      </c>
      <c r="S25">
        <v>-0.14361521295434646</v>
      </c>
    </row>
    <row r="26" spans="1:20" x14ac:dyDescent="0.45">
      <c r="A26">
        <v>1030</v>
      </c>
      <c r="B26">
        <v>1</v>
      </c>
      <c r="C26">
        <v>1</v>
      </c>
      <c r="D26">
        <v>-1</v>
      </c>
      <c r="E26">
        <v>1</v>
      </c>
      <c r="F26">
        <v>1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-1</v>
      </c>
      <c r="D27">
        <v>2</v>
      </c>
      <c r="E27">
        <v>2</v>
      </c>
      <c r="F27">
        <v>-1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1</v>
      </c>
      <c r="D28">
        <v>-2</v>
      </c>
      <c r="E28">
        <v>1</v>
      </c>
      <c r="F28">
        <v>1</v>
      </c>
      <c r="H28" t="s">
        <v>84</v>
      </c>
      <c r="I28">
        <v>-2.1014778836663095</v>
      </c>
      <c r="M28" t="s">
        <v>84</v>
      </c>
      <c r="N28">
        <v>-5.3946274297668033</v>
      </c>
      <c r="R28" t="s">
        <v>84</v>
      </c>
      <c r="S28">
        <v>7.7455782715962931</v>
      </c>
    </row>
    <row r="29" spans="1:20" x14ac:dyDescent="0.45">
      <c r="A29">
        <v>1030</v>
      </c>
      <c r="B29">
        <v>6</v>
      </c>
      <c r="C29">
        <v>-1</v>
      </c>
      <c r="D29">
        <v>-1</v>
      </c>
      <c r="E29">
        <v>1</v>
      </c>
      <c r="F29">
        <v>-1</v>
      </c>
      <c r="H29" t="s">
        <v>85</v>
      </c>
      <c r="I29">
        <v>1.8549900919710705E-2</v>
      </c>
      <c r="M29" t="s">
        <v>85</v>
      </c>
      <c r="N29">
        <v>1.1589897818029845E-7</v>
      </c>
      <c r="R29" t="s">
        <v>85</v>
      </c>
      <c r="S29">
        <v>4.37118284607238E-13</v>
      </c>
    </row>
    <row r="30" spans="1:20" x14ac:dyDescent="0.45">
      <c r="A30">
        <v>1030</v>
      </c>
      <c r="B30">
        <v>4</v>
      </c>
      <c r="C30">
        <v>-1</v>
      </c>
      <c r="D30">
        <v>1</v>
      </c>
      <c r="E30">
        <v>2</v>
      </c>
      <c r="F30">
        <v>-1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-1</v>
      </c>
      <c r="D31">
        <v>1</v>
      </c>
      <c r="E31">
        <v>-2</v>
      </c>
      <c r="F31">
        <v>-1</v>
      </c>
      <c r="H31" t="s">
        <v>87</v>
      </c>
      <c r="I31">
        <v>3.7099801839421409E-2</v>
      </c>
      <c r="M31" t="s">
        <v>87</v>
      </c>
      <c r="N31">
        <v>2.317979563605969E-7</v>
      </c>
      <c r="R31" t="s">
        <v>87</v>
      </c>
      <c r="S31">
        <v>8.7423656921447601E-13</v>
      </c>
    </row>
    <row r="32" spans="1:20" ht="18.600000000000001" thickBot="1" x14ac:dyDescent="0.5">
      <c r="A32">
        <v>1030</v>
      </c>
      <c r="B32">
        <v>2</v>
      </c>
      <c r="C32">
        <v>-1</v>
      </c>
      <c r="D32">
        <v>0</v>
      </c>
      <c r="E32">
        <v>-1</v>
      </c>
      <c r="F32">
        <v>-1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-1</v>
      </c>
      <c r="D33">
        <v>-2</v>
      </c>
      <c r="E33">
        <v>1</v>
      </c>
      <c r="F33">
        <v>-1</v>
      </c>
    </row>
    <row r="34" spans="1:6" x14ac:dyDescent="0.45">
      <c r="A34">
        <v>1040</v>
      </c>
      <c r="B34">
        <v>1</v>
      </c>
      <c r="C34">
        <v>-1</v>
      </c>
      <c r="D34">
        <v>-1</v>
      </c>
      <c r="E34">
        <v>1</v>
      </c>
      <c r="F34">
        <v>-1</v>
      </c>
    </row>
    <row r="35" spans="1:6" x14ac:dyDescent="0.45">
      <c r="A35">
        <v>1040</v>
      </c>
      <c r="B35">
        <v>8</v>
      </c>
      <c r="C35">
        <v>-1</v>
      </c>
      <c r="D35">
        <v>-1</v>
      </c>
      <c r="E35">
        <v>0</v>
      </c>
      <c r="F35">
        <v>-1</v>
      </c>
    </row>
    <row r="36" spans="1:6" x14ac:dyDescent="0.45">
      <c r="A36">
        <v>1040</v>
      </c>
      <c r="B36">
        <v>3</v>
      </c>
      <c r="C36">
        <v>1</v>
      </c>
      <c r="D36">
        <v>-1</v>
      </c>
      <c r="E36">
        <v>1</v>
      </c>
      <c r="F36">
        <v>1</v>
      </c>
    </row>
    <row r="37" spans="1:6" x14ac:dyDescent="0.45">
      <c r="A37">
        <v>1040</v>
      </c>
      <c r="B37">
        <v>6</v>
      </c>
      <c r="C37">
        <v>-1</v>
      </c>
      <c r="D37">
        <v>-2</v>
      </c>
      <c r="E37">
        <v>2</v>
      </c>
      <c r="F37">
        <v>-1</v>
      </c>
    </row>
    <row r="38" spans="1:6" x14ac:dyDescent="0.45">
      <c r="A38">
        <v>1040</v>
      </c>
      <c r="B38">
        <v>4</v>
      </c>
      <c r="C38">
        <v>-2</v>
      </c>
      <c r="D38">
        <v>1</v>
      </c>
      <c r="E38">
        <v>2</v>
      </c>
      <c r="F38">
        <v>-2</v>
      </c>
    </row>
    <row r="39" spans="1:6" x14ac:dyDescent="0.45">
      <c r="A39">
        <v>1040</v>
      </c>
      <c r="B39">
        <v>5</v>
      </c>
      <c r="C39">
        <v>0</v>
      </c>
      <c r="D39">
        <v>0</v>
      </c>
      <c r="E39">
        <v>2</v>
      </c>
      <c r="F39">
        <v>0</v>
      </c>
    </row>
    <row r="40" spans="1:6" x14ac:dyDescent="0.45">
      <c r="A40">
        <v>1040</v>
      </c>
      <c r="B40">
        <v>2</v>
      </c>
      <c r="C40">
        <v>-1</v>
      </c>
      <c r="D40">
        <v>0</v>
      </c>
      <c r="E40">
        <v>2</v>
      </c>
      <c r="F40">
        <v>-1</v>
      </c>
    </row>
    <row r="41" spans="1:6" x14ac:dyDescent="0.45">
      <c r="A41">
        <v>1040</v>
      </c>
      <c r="B41">
        <v>7</v>
      </c>
      <c r="C41">
        <v>-1</v>
      </c>
      <c r="D41">
        <v>-2</v>
      </c>
      <c r="E41">
        <v>1</v>
      </c>
      <c r="F41">
        <v>-1</v>
      </c>
    </row>
    <row r="42" spans="1:6" x14ac:dyDescent="0.45">
      <c r="A42">
        <v>1050</v>
      </c>
      <c r="B42">
        <v>1</v>
      </c>
      <c r="C42">
        <v>0</v>
      </c>
      <c r="D42">
        <v>0</v>
      </c>
      <c r="E42">
        <v>2</v>
      </c>
      <c r="F42">
        <v>0</v>
      </c>
    </row>
    <row r="43" spans="1:6" x14ac:dyDescent="0.45">
      <c r="A43">
        <v>1050</v>
      </c>
      <c r="B43">
        <v>8</v>
      </c>
      <c r="C43">
        <v>0</v>
      </c>
      <c r="D43">
        <v>-1</v>
      </c>
      <c r="E43">
        <v>-1</v>
      </c>
      <c r="F43">
        <v>0</v>
      </c>
    </row>
    <row r="44" spans="1:6" x14ac:dyDescent="0.45">
      <c r="A44">
        <v>1050</v>
      </c>
      <c r="B44">
        <v>3</v>
      </c>
      <c r="C44">
        <v>-1</v>
      </c>
      <c r="D44">
        <v>0</v>
      </c>
      <c r="E44">
        <v>0</v>
      </c>
      <c r="F44">
        <v>-1</v>
      </c>
    </row>
    <row r="45" spans="1:6" x14ac:dyDescent="0.45">
      <c r="A45">
        <v>1050</v>
      </c>
      <c r="B45">
        <v>6</v>
      </c>
      <c r="C45">
        <v>-1</v>
      </c>
      <c r="D45">
        <v>1</v>
      </c>
      <c r="E45">
        <v>1</v>
      </c>
      <c r="F45">
        <v>-1</v>
      </c>
    </row>
    <row r="46" spans="1:6" x14ac:dyDescent="0.45">
      <c r="A46">
        <v>1050</v>
      </c>
      <c r="B46">
        <v>4</v>
      </c>
      <c r="C46">
        <v>-1</v>
      </c>
      <c r="D46">
        <v>-2</v>
      </c>
      <c r="E46">
        <v>1</v>
      </c>
      <c r="F46">
        <v>-1</v>
      </c>
    </row>
    <row r="47" spans="1:6" x14ac:dyDescent="0.45">
      <c r="A47">
        <v>1050</v>
      </c>
      <c r="B47">
        <v>5</v>
      </c>
      <c r="C47">
        <v>0</v>
      </c>
      <c r="D47">
        <v>-1</v>
      </c>
      <c r="E47">
        <v>-1</v>
      </c>
      <c r="F47">
        <v>0</v>
      </c>
    </row>
    <row r="48" spans="1:6" x14ac:dyDescent="0.45">
      <c r="A48">
        <v>1050</v>
      </c>
      <c r="B48">
        <v>2</v>
      </c>
      <c r="C48">
        <v>-1</v>
      </c>
      <c r="D48">
        <v>0</v>
      </c>
      <c r="E48">
        <v>1</v>
      </c>
      <c r="F48">
        <v>-1</v>
      </c>
    </row>
    <row r="49" spans="1:6" x14ac:dyDescent="0.45">
      <c r="A49">
        <v>1050</v>
      </c>
      <c r="B49">
        <v>7</v>
      </c>
      <c r="C49">
        <v>1</v>
      </c>
      <c r="D49">
        <v>-1</v>
      </c>
      <c r="E49">
        <v>0</v>
      </c>
      <c r="F49">
        <v>1</v>
      </c>
    </row>
    <row r="50" spans="1:6" x14ac:dyDescent="0.45">
      <c r="A50">
        <v>1060</v>
      </c>
      <c r="B50">
        <v>5</v>
      </c>
      <c r="C50">
        <v>1</v>
      </c>
      <c r="D50">
        <v>1</v>
      </c>
      <c r="E50">
        <v>2</v>
      </c>
      <c r="F50">
        <v>1</v>
      </c>
    </row>
    <row r="51" spans="1:6" x14ac:dyDescent="0.45">
      <c r="A51">
        <v>1060</v>
      </c>
      <c r="B51">
        <v>4</v>
      </c>
      <c r="C51">
        <v>-1</v>
      </c>
      <c r="D51">
        <v>-2</v>
      </c>
      <c r="E51">
        <v>0</v>
      </c>
      <c r="F51">
        <v>-1</v>
      </c>
    </row>
    <row r="52" spans="1:6" x14ac:dyDescent="0.45">
      <c r="A52">
        <v>1060</v>
      </c>
      <c r="B52">
        <v>7</v>
      </c>
      <c r="C52">
        <v>-1</v>
      </c>
      <c r="D52">
        <v>1</v>
      </c>
      <c r="E52">
        <v>-1</v>
      </c>
      <c r="F52">
        <v>-1</v>
      </c>
    </row>
    <row r="53" spans="1:6" x14ac:dyDescent="0.45">
      <c r="A53">
        <v>1060</v>
      </c>
      <c r="B53">
        <v>2</v>
      </c>
      <c r="C53">
        <v>1</v>
      </c>
      <c r="D53">
        <v>2</v>
      </c>
      <c r="E53">
        <v>1</v>
      </c>
      <c r="F53">
        <v>1</v>
      </c>
    </row>
    <row r="54" spans="1:6" x14ac:dyDescent="0.45">
      <c r="A54">
        <v>1060</v>
      </c>
      <c r="B54">
        <v>8</v>
      </c>
      <c r="C54">
        <v>-1</v>
      </c>
      <c r="D54">
        <v>-1</v>
      </c>
      <c r="E54">
        <v>0</v>
      </c>
      <c r="F54">
        <v>-1</v>
      </c>
    </row>
    <row r="55" spans="1:6" x14ac:dyDescent="0.45">
      <c r="A55">
        <v>1060</v>
      </c>
      <c r="B55">
        <v>1</v>
      </c>
      <c r="C55">
        <v>-1</v>
      </c>
      <c r="D55">
        <v>-1</v>
      </c>
      <c r="E55">
        <v>2</v>
      </c>
      <c r="F55">
        <v>-1</v>
      </c>
    </row>
    <row r="56" spans="1:6" x14ac:dyDescent="0.45">
      <c r="A56">
        <v>1060</v>
      </c>
      <c r="B56">
        <v>6</v>
      </c>
      <c r="C56">
        <v>-1</v>
      </c>
      <c r="D56">
        <v>0</v>
      </c>
      <c r="E56">
        <v>-1</v>
      </c>
      <c r="F56">
        <v>-1</v>
      </c>
    </row>
    <row r="57" spans="1:6" x14ac:dyDescent="0.45">
      <c r="A57">
        <v>1060</v>
      </c>
      <c r="B57">
        <v>3</v>
      </c>
      <c r="C57">
        <v>-1</v>
      </c>
      <c r="D57">
        <v>-2</v>
      </c>
      <c r="E57">
        <v>1</v>
      </c>
      <c r="F57">
        <v>-1</v>
      </c>
    </row>
    <row r="58" spans="1:6" x14ac:dyDescent="0.45">
      <c r="A58">
        <v>1070</v>
      </c>
      <c r="B58">
        <v>5</v>
      </c>
      <c r="C58">
        <v>-2</v>
      </c>
      <c r="D58">
        <v>2</v>
      </c>
      <c r="E58">
        <v>1</v>
      </c>
      <c r="F58">
        <v>-2</v>
      </c>
    </row>
    <row r="59" spans="1:6" x14ac:dyDescent="0.45">
      <c r="A59">
        <v>1070</v>
      </c>
      <c r="B59">
        <v>4</v>
      </c>
      <c r="C59">
        <v>-2</v>
      </c>
      <c r="D59">
        <v>1</v>
      </c>
      <c r="E59">
        <v>2</v>
      </c>
      <c r="F59">
        <v>-2</v>
      </c>
    </row>
    <row r="60" spans="1:6" x14ac:dyDescent="0.45">
      <c r="A60">
        <v>1070</v>
      </c>
      <c r="B60">
        <v>7</v>
      </c>
      <c r="C60">
        <v>-1</v>
      </c>
      <c r="D60">
        <v>-1</v>
      </c>
      <c r="E60">
        <v>1</v>
      </c>
      <c r="F60">
        <v>-1</v>
      </c>
    </row>
    <row r="61" spans="1:6" x14ac:dyDescent="0.45">
      <c r="A61">
        <v>1070</v>
      </c>
      <c r="B61">
        <v>2</v>
      </c>
      <c r="C61">
        <v>-1</v>
      </c>
      <c r="D61">
        <v>-2</v>
      </c>
      <c r="E61">
        <v>2</v>
      </c>
      <c r="F61">
        <v>-1</v>
      </c>
    </row>
    <row r="62" spans="1:6" x14ac:dyDescent="0.45">
      <c r="A62">
        <v>1070</v>
      </c>
      <c r="B62">
        <v>8</v>
      </c>
      <c r="C62">
        <v>0</v>
      </c>
      <c r="D62">
        <v>2</v>
      </c>
      <c r="E62">
        <v>-1</v>
      </c>
      <c r="F62">
        <v>0</v>
      </c>
    </row>
    <row r="63" spans="1:6" x14ac:dyDescent="0.45">
      <c r="A63">
        <v>1070</v>
      </c>
      <c r="B63">
        <v>1</v>
      </c>
      <c r="C63">
        <v>-2</v>
      </c>
      <c r="D63">
        <v>2</v>
      </c>
      <c r="E63">
        <v>1</v>
      </c>
      <c r="F63">
        <v>-2</v>
      </c>
    </row>
    <row r="64" spans="1:6" x14ac:dyDescent="0.45">
      <c r="A64">
        <v>1070</v>
      </c>
      <c r="B64">
        <v>6</v>
      </c>
      <c r="C64">
        <v>-2</v>
      </c>
      <c r="D64">
        <v>2</v>
      </c>
      <c r="E64">
        <v>-1</v>
      </c>
      <c r="F64">
        <v>-2</v>
      </c>
    </row>
    <row r="65" spans="1:6" x14ac:dyDescent="0.45">
      <c r="A65">
        <v>1070</v>
      </c>
      <c r="B65">
        <v>3</v>
      </c>
      <c r="C65">
        <v>0</v>
      </c>
      <c r="D65">
        <v>1</v>
      </c>
      <c r="E65">
        <v>2</v>
      </c>
      <c r="F65">
        <v>0</v>
      </c>
    </row>
    <row r="66" spans="1:6" x14ac:dyDescent="0.45">
      <c r="A66">
        <v>1080</v>
      </c>
      <c r="B66">
        <v>1</v>
      </c>
      <c r="C66">
        <v>2</v>
      </c>
      <c r="D66">
        <v>1</v>
      </c>
      <c r="E66">
        <v>2</v>
      </c>
      <c r="F66">
        <v>2</v>
      </c>
    </row>
    <row r="67" spans="1:6" x14ac:dyDescent="0.45">
      <c r="A67">
        <v>1080</v>
      </c>
      <c r="B67">
        <v>8</v>
      </c>
      <c r="C67">
        <v>0</v>
      </c>
      <c r="D67">
        <v>-2</v>
      </c>
      <c r="E67">
        <v>2</v>
      </c>
      <c r="F67">
        <v>0</v>
      </c>
    </row>
    <row r="68" spans="1:6" x14ac:dyDescent="0.45">
      <c r="A68">
        <v>1080</v>
      </c>
      <c r="B68">
        <v>3</v>
      </c>
      <c r="C68">
        <v>-1</v>
      </c>
      <c r="D68">
        <v>-2</v>
      </c>
      <c r="E68">
        <v>1</v>
      </c>
      <c r="F68">
        <v>-1</v>
      </c>
    </row>
    <row r="69" spans="1:6" x14ac:dyDescent="0.45">
      <c r="A69">
        <v>1080</v>
      </c>
      <c r="B69">
        <v>6</v>
      </c>
      <c r="C69">
        <v>0</v>
      </c>
      <c r="D69">
        <v>1</v>
      </c>
      <c r="E69">
        <v>2</v>
      </c>
      <c r="F69">
        <v>0</v>
      </c>
    </row>
    <row r="70" spans="1:6" x14ac:dyDescent="0.45">
      <c r="A70">
        <v>1080</v>
      </c>
      <c r="B70">
        <v>4</v>
      </c>
      <c r="C70">
        <v>0</v>
      </c>
      <c r="D70">
        <v>1</v>
      </c>
      <c r="E70">
        <v>-1</v>
      </c>
      <c r="F70">
        <v>0</v>
      </c>
    </row>
    <row r="71" spans="1:6" x14ac:dyDescent="0.45">
      <c r="A71">
        <v>1080</v>
      </c>
      <c r="B71">
        <v>5</v>
      </c>
      <c r="C71">
        <v>-2</v>
      </c>
      <c r="D71">
        <v>1</v>
      </c>
      <c r="E71">
        <v>2</v>
      </c>
      <c r="F71">
        <v>-2</v>
      </c>
    </row>
    <row r="72" spans="1:6" x14ac:dyDescent="0.45">
      <c r="A72">
        <v>1080</v>
      </c>
      <c r="B72">
        <v>2</v>
      </c>
      <c r="C72">
        <v>-2</v>
      </c>
      <c r="D72">
        <v>-2</v>
      </c>
      <c r="E72">
        <v>2</v>
      </c>
      <c r="F72">
        <v>-2</v>
      </c>
    </row>
    <row r="73" spans="1:6" x14ac:dyDescent="0.45">
      <c r="A73">
        <v>1080</v>
      </c>
      <c r="B73">
        <v>7</v>
      </c>
      <c r="C73">
        <v>-1</v>
      </c>
      <c r="D73">
        <v>1</v>
      </c>
      <c r="E73">
        <v>1</v>
      </c>
      <c r="F73">
        <v>-1</v>
      </c>
    </row>
    <row r="74" spans="1:6" x14ac:dyDescent="0.45">
      <c r="A74">
        <v>1090</v>
      </c>
      <c r="B74">
        <v>5</v>
      </c>
      <c r="C74">
        <v>1</v>
      </c>
      <c r="D74">
        <v>-1</v>
      </c>
      <c r="E74">
        <v>2</v>
      </c>
      <c r="F74">
        <v>1</v>
      </c>
    </row>
    <row r="75" spans="1:6" x14ac:dyDescent="0.45">
      <c r="A75">
        <v>1090</v>
      </c>
      <c r="B75">
        <v>4</v>
      </c>
      <c r="C75">
        <v>1</v>
      </c>
      <c r="D75">
        <v>2</v>
      </c>
      <c r="E75">
        <v>0</v>
      </c>
      <c r="F75">
        <v>1</v>
      </c>
    </row>
    <row r="76" spans="1:6" x14ac:dyDescent="0.45">
      <c r="A76">
        <v>1090</v>
      </c>
      <c r="B76">
        <v>7</v>
      </c>
      <c r="C76">
        <v>0</v>
      </c>
      <c r="D76">
        <v>-2</v>
      </c>
      <c r="E76">
        <v>2</v>
      </c>
      <c r="F76">
        <v>0</v>
      </c>
    </row>
    <row r="77" spans="1:6" x14ac:dyDescent="0.45">
      <c r="A77">
        <v>1090</v>
      </c>
      <c r="B77">
        <v>2</v>
      </c>
      <c r="C77">
        <v>0</v>
      </c>
      <c r="D77">
        <v>0</v>
      </c>
      <c r="E77">
        <v>-2</v>
      </c>
      <c r="F77">
        <v>0</v>
      </c>
    </row>
    <row r="78" spans="1:6" x14ac:dyDescent="0.45">
      <c r="A78">
        <v>1090</v>
      </c>
      <c r="B78">
        <v>8</v>
      </c>
      <c r="C78">
        <v>-1</v>
      </c>
      <c r="D78">
        <v>1</v>
      </c>
      <c r="E78">
        <v>1</v>
      </c>
      <c r="F78">
        <v>-1</v>
      </c>
    </row>
    <row r="79" spans="1:6" x14ac:dyDescent="0.45">
      <c r="A79">
        <v>1090</v>
      </c>
      <c r="B79">
        <v>1</v>
      </c>
      <c r="C79">
        <v>0</v>
      </c>
      <c r="D79">
        <v>-2</v>
      </c>
      <c r="E79">
        <v>2</v>
      </c>
      <c r="F79">
        <v>0</v>
      </c>
    </row>
    <row r="80" spans="1:6" x14ac:dyDescent="0.45">
      <c r="A80">
        <v>1090</v>
      </c>
      <c r="B80">
        <v>6</v>
      </c>
      <c r="C80">
        <v>-1</v>
      </c>
      <c r="D80">
        <v>2</v>
      </c>
      <c r="E80">
        <v>2</v>
      </c>
      <c r="F80">
        <v>-1</v>
      </c>
    </row>
    <row r="81" spans="1:6" x14ac:dyDescent="0.45">
      <c r="A81">
        <v>1090</v>
      </c>
      <c r="B81">
        <v>3</v>
      </c>
      <c r="C81">
        <v>-1</v>
      </c>
      <c r="D81">
        <v>1</v>
      </c>
      <c r="E81">
        <v>1</v>
      </c>
      <c r="F81">
        <v>-1</v>
      </c>
    </row>
    <row r="82" spans="1:6" x14ac:dyDescent="0.45">
      <c r="A82">
        <v>1100</v>
      </c>
      <c r="B82">
        <v>1</v>
      </c>
      <c r="C82">
        <v>0</v>
      </c>
      <c r="D82">
        <v>-2</v>
      </c>
      <c r="E82">
        <v>1</v>
      </c>
      <c r="F82">
        <v>0</v>
      </c>
    </row>
    <row r="83" spans="1:6" x14ac:dyDescent="0.45">
      <c r="A83">
        <v>1100</v>
      </c>
      <c r="B83">
        <v>8</v>
      </c>
      <c r="C83">
        <v>1</v>
      </c>
      <c r="D83">
        <v>1</v>
      </c>
      <c r="E83">
        <v>1</v>
      </c>
      <c r="F83">
        <v>1</v>
      </c>
    </row>
    <row r="84" spans="1:6" x14ac:dyDescent="0.45">
      <c r="A84">
        <v>1100</v>
      </c>
      <c r="B84">
        <v>3</v>
      </c>
      <c r="C84">
        <v>0</v>
      </c>
      <c r="D84">
        <v>0</v>
      </c>
      <c r="E84">
        <v>1</v>
      </c>
      <c r="F84">
        <v>0</v>
      </c>
    </row>
    <row r="85" spans="1:6" x14ac:dyDescent="0.45">
      <c r="A85">
        <v>1100</v>
      </c>
      <c r="B85">
        <v>6</v>
      </c>
      <c r="C85">
        <v>0</v>
      </c>
      <c r="D85">
        <v>2</v>
      </c>
      <c r="E85">
        <v>-1</v>
      </c>
      <c r="F85">
        <v>0</v>
      </c>
    </row>
    <row r="86" spans="1:6" x14ac:dyDescent="0.45">
      <c r="A86">
        <v>1100</v>
      </c>
      <c r="B86">
        <v>4</v>
      </c>
      <c r="C86">
        <v>0</v>
      </c>
      <c r="D86">
        <v>1</v>
      </c>
      <c r="E86">
        <v>-2</v>
      </c>
      <c r="F86">
        <v>0</v>
      </c>
    </row>
    <row r="87" spans="1:6" x14ac:dyDescent="0.45">
      <c r="A87">
        <v>1100</v>
      </c>
      <c r="B87">
        <v>5</v>
      </c>
      <c r="C87">
        <v>1</v>
      </c>
      <c r="D87">
        <v>2</v>
      </c>
      <c r="E87">
        <v>-2</v>
      </c>
      <c r="F87">
        <v>1</v>
      </c>
    </row>
    <row r="88" spans="1:6" x14ac:dyDescent="0.45">
      <c r="A88">
        <v>1100</v>
      </c>
      <c r="B88">
        <v>2</v>
      </c>
      <c r="C88">
        <v>0</v>
      </c>
      <c r="D88">
        <v>-1</v>
      </c>
      <c r="E88">
        <v>1</v>
      </c>
      <c r="F88">
        <v>0</v>
      </c>
    </row>
    <row r="89" spans="1:6" x14ac:dyDescent="0.45">
      <c r="A89">
        <v>1100</v>
      </c>
      <c r="B89">
        <v>7</v>
      </c>
      <c r="C89">
        <v>-1</v>
      </c>
      <c r="D89">
        <v>2</v>
      </c>
      <c r="E89">
        <v>1</v>
      </c>
      <c r="F89">
        <v>-1</v>
      </c>
    </row>
    <row r="90" spans="1:6" x14ac:dyDescent="0.45">
      <c r="A90">
        <v>1110</v>
      </c>
      <c r="B90">
        <v>5</v>
      </c>
      <c r="C90">
        <v>1</v>
      </c>
      <c r="D90">
        <v>1</v>
      </c>
      <c r="E90">
        <v>-2</v>
      </c>
      <c r="F90">
        <v>1</v>
      </c>
    </row>
    <row r="91" spans="1:6" x14ac:dyDescent="0.45">
      <c r="A91">
        <v>1110</v>
      </c>
      <c r="B91">
        <v>4</v>
      </c>
      <c r="C91">
        <v>1</v>
      </c>
      <c r="D91">
        <v>1</v>
      </c>
      <c r="E91">
        <v>1</v>
      </c>
      <c r="F91">
        <v>1</v>
      </c>
    </row>
    <row r="92" spans="1:6" x14ac:dyDescent="0.45">
      <c r="A92">
        <v>1110</v>
      </c>
      <c r="B92">
        <v>7</v>
      </c>
      <c r="C92">
        <v>1</v>
      </c>
      <c r="D92">
        <v>1</v>
      </c>
      <c r="E92">
        <v>2</v>
      </c>
      <c r="F92">
        <v>1</v>
      </c>
    </row>
    <row r="93" spans="1:6" x14ac:dyDescent="0.45">
      <c r="A93">
        <v>1110</v>
      </c>
      <c r="B93">
        <v>2</v>
      </c>
      <c r="C93">
        <v>1</v>
      </c>
      <c r="D93">
        <v>-2</v>
      </c>
      <c r="E93">
        <v>-2</v>
      </c>
      <c r="F93">
        <v>1</v>
      </c>
    </row>
    <row r="94" spans="1:6" x14ac:dyDescent="0.45">
      <c r="A94">
        <v>1110</v>
      </c>
      <c r="B94">
        <v>8</v>
      </c>
      <c r="C94">
        <v>0</v>
      </c>
      <c r="D94">
        <v>-2</v>
      </c>
      <c r="E94">
        <v>2</v>
      </c>
      <c r="F94">
        <v>0</v>
      </c>
    </row>
    <row r="95" spans="1:6" x14ac:dyDescent="0.45">
      <c r="A95">
        <v>1110</v>
      </c>
      <c r="B95">
        <v>1</v>
      </c>
      <c r="C95">
        <v>2</v>
      </c>
      <c r="D95">
        <v>-2</v>
      </c>
      <c r="E95">
        <v>-2</v>
      </c>
      <c r="F95">
        <v>2</v>
      </c>
    </row>
    <row r="96" spans="1:6" x14ac:dyDescent="0.45">
      <c r="A96">
        <v>1110</v>
      </c>
      <c r="B96">
        <v>6</v>
      </c>
      <c r="C96">
        <v>1</v>
      </c>
      <c r="D96">
        <v>-2</v>
      </c>
      <c r="E96">
        <v>2</v>
      </c>
      <c r="F96">
        <v>1</v>
      </c>
    </row>
    <row r="97" spans="1:6" x14ac:dyDescent="0.45">
      <c r="A97">
        <v>1110</v>
      </c>
      <c r="B97">
        <v>3</v>
      </c>
      <c r="C97">
        <v>1</v>
      </c>
      <c r="D97">
        <v>1</v>
      </c>
      <c r="E97">
        <v>2</v>
      </c>
      <c r="F97">
        <v>1</v>
      </c>
    </row>
    <row r="98" spans="1:6" x14ac:dyDescent="0.45">
      <c r="A98">
        <v>1120</v>
      </c>
      <c r="B98">
        <v>1</v>
      </c>
      <c r="C98">
        <v>-1</v>
      </c>
      <c r="D98">
        <v>-2</v>
      </c>
      <c r="E98">
        <v>2</v>
      </c>
      <c r="F98">
        <v>-1</v>
      </c>
    </row>
    <row r="99" spans="1:6" x14ac:dyDescent="0.45">
      <c r="A99">
        <v>1120</v>
      </c>
      <c r="B99">
        <v>8</v>
      </c>
      <c r="C99">
        <v>-1</v>
      </c>
      <c r="D99">
        <v>2</v>
      </c>
      <c r="E99">
        <v>2</v>
      </c>
      <c r="F99">
        <v>-1</v>
      </c>
    </row>
    <row r="100" spans="1:6" x14ac:dyDescent="0.45">
      <c r="A100">
        <v>1120</v>
      </c>
      <c r="B100">
        <v>3</v>
      </c>
      <c r="C100">
        <v>-2</v>
      </c>
      <c r="D100">
        <v>2</v>
      </c>
      <c r="E100">
        <v>2</v>
      </c>
      <c r="F100">
        <v>-2</v>
      </c>
    </row>
    <row r="101" spans="1:6" x14ac:dyDescent="0.45">
      <c r="A101">
        <v>1120</v>
      </c>
      <c r="B101">
        <v>6</v>
      </c>
      <c r="C101">
        <v>-1</v>
      </c>
      <c r="D101">
        <v>2</v>
      </c>
      <c r="E101">
        <v>2</v>
      </c>
      <c r="F101">
        <v>-1</v>
      </c>
    </row>
    <row r="102" spans="1:6" x14ac:dyDescent="0.45">
      <c r="A102">
        <v>1120</v>
      </c>
      <c r="B102">
        <v>4</v>
      </c>
      <c r="C102">
        <v>-2</v>
      </c>
      <c r="D102">
        <v>-1</v>
      </c>
      <c r="E102">
        <v>-2</v>
      </c>
      <c r="F102">
        <v>-2</v>
      </c>
    </row>
    <row r="103" spans="1:6" x14ac:dyDescent="0.45">
      <c r="A103">
        <v>1120</v>
      </c>
      <c r="B103">
        <v>5</v>
      </c>
      <c r="C103">
        <v>-1</v>
      </c>
      <c r="D103">
        <v>-1</v>
      </c>
      <c r="E103">
        <v>2</v>
      </c>
      <c r="F103">
        <v>-1</v>
      </c>
    </row>
    <row r="104" spans="1:6" x14ac:dyDescent="0.45">
      <c r="A104">
        <v>1120</v>
      </c>
      <c r="B104">
        <v>2</v>
      </c>
      <c r="C104">
        <v>-1</v>
      </c>
      <c r="D104">
        <v>-2</v>
      </c>
      <c r="E104">
        <v>-1</v>
      </c>
      <c r="F104">
        <v>-1</v>
      </c>
    </row>
    <row r="105" spans="1:6" x14ac:dyDescent="0.45">
      <c r="A105">
        <v>1120</v>
      </c>
      <c r="B105">
        <v>7</v>
      </c>
      <c r="C105">
        <v>-1</v>
      </c>
      <c r="D105">
        <v>2</v>
      </c>
      <c r="E105">
        <v>1</v>
      </c>
      <c r="F105">
        <v>-1</v>
      </c>
    </row>
    <row r="106" spans="1:6" x14ac:dyDescent="0.45">
      <c r="A106">
        <v>1130</v>
      </c>
      <c r="B106">
        <v>5</v>
      </c>
      <c r="C106">
        <v>-2</v>
      </c>
      <c r="D106">
        <v>-2</v>
      </c>
      <c r="E106">
        <v>-1</v>
      </c>
      <c r="F106">
        <v>-2</v>
      </c>
    </row>
    <row r="107" spans="1:6" x14ac:dyDescent="0.45">
      <c r="A107">
        <v>1130</v>
      </c>
      <c r="B107">
        <v>4</v>
      </c>
      <c r="C107">
        <v>-1</v>
      </c>
      <c r="D107">
        <v>1</v>
      </c>
      <c r="E107">
        <v>2</v>
      </c>
      <c r="F107">
        <v>-1</v>
      </c>
    </row>
    <row r="108" spans="1:6" x14ac:dyDescent="0.45">
      <c r="A108">
        <v>1130</v>
      </c>
      <c r="B108">
        <v>7</v>
      </c>
      <c r="C108">
        <v>1</v>
      </c>
      <c r="D108">
        <v>0</v>
      </c>
      <c r="E108">
        <v>2</v>
      </c>
      <c r="F108">
        <v>1</v>
      </c>
    </row>
    <row r="109" spans="1:6" x14ac:dyDescent="0.45">
      <c r="A109">
        <v>1130</v>
      </c>
      <c r="B109">
        <v>2</v>
      </c>
      <c r="C109">
        <v>-1</v>
      </c>
      <c r="D109">
        <v>-1</v>
      </c>
      <c r="E109">
        <v>2</v>
      </c>
      <c r="F109">
        <v>-1</v>
      </c>
    </row>
    <row r="110" spans="1:6" x14ac:dyDescent="0.45">
      <c r="A110">
        <v>1130</v>
      </c>
      <c r="B110">
        <v>8</v>
      </c>
      <c r="C110">
        <v>-1</v>
      </c>
      <c r="D110">
        <v>-1</v>
      </c>
      <c r="E110">
        <v>2</v>
      </c>
      <c r="F110">
        <v>-1</v>
      </c>
    </row>
    <row r="111" spans="1:6" x14ac:dyDescent="0.45">
      <c r="A111">
        <v>1130</v>
      </c>
      <c r="B111">
        <v>1</v>
      </c>
      <c r="C111">
        <v>0</v>
      </c>
      <c r="D111">
        <v>1</v>
      </c>
      <c r="E111">
        <v>1</v>
      </c>
      <c r="F111">
        <v>0</v>
      </c>
    </row>
    <row r="112" spans="1:6" x14ac:dyDescent="0.45">
      <c r="A112">
        <v>1130</v>
      </c>
      <c r="B112">
        <v>6</v>
      </c>
      <c r="C112">
        <v>0</v>
      </c>
      <c r="D112">
        <v>-2</v>
      </c>
      <c r="E112">
        <v>2</v>
      </c>
      <c r="F112">
        <v>0</v>
      </c>
    </row>
    <row r="113" spans="1:6" x14ac:dyDescent="0.45">
      <c r="A113">
        <v>1130</v>
      </c>
      <c r="B113">
        <v>3</v>
      </c>
      <c r="C113">
        <v>-1</v>
      </c>
      <c r="D113">
        <v>1</v>
      </c>
      <c r="E113">
        <v>2</v>
      </c>
      <c r="F113">
        <v>-1</v>
      </c>
    </row>
    <row r="114" spans="1:6" x14ac:dyDescent="0.45">
      <c r="A114">
        <v>1140</v>
      </c>
      <c r="B114">
        <v>1</v>
      </c>
      <c r="C114">
        <v>1</v>
      </c>
      <c r="D114">
        <v>-1</v>
      </c>
      <c r="E114">
        <v>2</v>
      </c>
      <c r="F114">
        <v>1</v>
      </c>
    </row>
    <row r="115" spans="1:6" x14ac:dyDescent="0.45">
      <c r="A115">
        <v>1140</v>
      </c>
      <c r="B115">
        <v>8</v>
      </c>
      <c r="C115">
        <v>-1</v>
      </c>
      <c r="D115">
        <v>2</v>
      </c>
      <c r="E115">
        <v>2</v>
      </c>
      <c r="F115">
        <v>-1</v>
      </c>
    </row>
    <row r="116" spans="1:6" x14ac:dyDescent="0.45">
      <c r="A116">
        <v>1140</v>
      </c>
      <c r="B116">
        <v>3</v>
      </c>
      <c r="C116">
        <v>-1</v>
      </c>
      <c r="D116">
        <v>2</v>
      </c>
      <c r="E116">
        <v>2</v>
      </c>
      <c r="F116">
        <v>-1</v>
      </c>
    </row>
    <row r="117" spans="1:6" x14ac:dyDescent="0.45">
      <c r="A117">
        <v>1140</v>
      </c>
      <c r="B117">
        <v>6</v>
      </c>
      <c r="C117">
        <v>-1</v>
      </c>
      <c r="D117">
        <v>1</v>
      </c>
      <c r="E117">
        <v>2</v>
      </c>
      <c r="F117">
        <v>-1</v>
      </c>
    </row>
    <row r="118" spans="1:6" x14ac:dyDescent="0.45">
      <c r="A118">
        <v>1140</v>
      </c>
      <c r="B118">
        <v>4</v>
      </c>
      <c r="C118">
        <v>-1</v>
      </c>
      <c r="D118">
        <v>1</v>
      </c>
      <c r="E118">
        <v>2</v>
      </c>
      <c r="F118">
        <v>-1</v>
      </c>
    </row>
    <row r="119" spans="1:6" x14ac:dyDescent="0.45">
      <c r="A119">
        <v>1140</v>
      </c>
      <c r="B119">
        <v>5</v>
      </c>
      <c r="C119">
        <v>1</v>
      </c>
      <c r="D119">
        <v>0</v>
      </c>
      <c r="E119">
        <v>2</v>
      </c>
      <c r="F119">
        <v>1</v>
      </c>
    </row>
    <row r="120" spans="1:6" x14ac:dyDescent="0.45">
      <c r="A120">
        <v>1140</v>
      </c>
      <c r="B120">
        <v>2</v>
      </c>
      <c r="C120">
        <v>-1</v>
      </c>
      <c r="D120">
        <v>1</v>
      </c>
      <c r="E120">
        <v>1</v>
      </c>
      <c r="F120">
        <v>-1</v>
      </c>
    </row>
    <row r="121" spans="1:6" x14ac:dyDescent="0.45">
      <c r="A121">
        <v>1140</v>
      </c>
      <c r="B121">
        <v>7</v>
      </c>
      <c r="C121">
        <v>-2</v>
      </c>
      <c r="D121">
        <v>2</v>
      </c>
      <c r="E121">
        <v>2</v>
      </c>
      <c r="F121">
        <v>-2</v>
      </c>
    </row>
    <row r="122" spans="1:6" x14ac:dyDescent="0.45">
      <c r="A122">
        <v>1150</v>
      </c>
      <c r="B122">
        <v>5</v>
      </c>
      <c r="C122">
        <v>-2</v>
      </c>
      <c r="D122">
        <v>2</v>
      </c>
      <c r="E122">
        <v>2</v>
      </c>
      <c r="F122">
        <v>-2</v>
      </c>
    </row>
    <row r="123" spans="1:6" x14ac:dyDescent="0.45">
      <c r="A123">
        <v>1150</v>
      </c>
      <c r="B123">
        <v>4</v>
      </c>
      <c r="C123">
        <v>-1</v>
      </c>
      <c r="D123">
        <v>2</v>
      </c>
      <c r="E123">
        <v>-2</v>
      </c>
      <c r="F123">
        <v>-1</v>
      </c>
    </row>
    <row r="124" spans="1:6" x14ac:dyDescent="0.45">
      <c r="A124">
        <v>1150</v>
      </c>
      <c r="B124">
        <v>7</v>
      </c>
      <c r="C124">
        <v>1</v>
      </c>
      <c r="D124">
        <v>-1</v>
      </c>
      <c r="E124">
        <v>1</v>
      </c>
      <c r="F124">
        <v>1</v>
      </c>
    </row>
    <row r="125" spans="1:6" x14ac:dyDescent="0.45">
      <c r="A125">
        <v>1150</v>
      </c>
      <c r="B125">
        <v>2</v>
      </c>
      <c r="C125">
        <v>-2</v>
      </c>
      <c r="D125">
        <v>1</v>
      </c>
      <c r="E125">
        <v>2</v>
      </c>
      <c r="F125">
        <v>-2</v>
      </c>
    </row>
    <row r="126" spans="1:6" x14ac:dyDescent="0.45">
      <c r="A126">
        <v>1150</v>
      </c>
      <c r="B126">
        <v>8</v>
      </c>
      <c r="C126">
        <v>-1</v>
      </c>
      <c r="D126">
        <v>2</v>
      </c>
      <c r="E126">
        <v>-2</v>
      </c>
      <c r="F126">
        <v>-1</v>
      </c>
    </row>
    <row r="127" spans="1:6" x14ac:dyDescent="0.45">
      <c r="A127">
        <v>1150</v>
      </c>
      <c r="B127">
        <v>1</v>
      </c>
      <c r="C127">
        <v>0</v>
      </c>
      <c r="D127">
        <v>1</v>
      </c>
      <c r="E127">
        <v>1</v>
      </c>
      <c r="F127">
        <v>0</v>
      </c>
    </row>
    <row r="128" spans="1:6" x14ac:dyDescent="0.45">
      <c r="A128">
        <v>1150</v>
      </c>
      <c r="B128">
        <v>6</v>
      </c>
      <c r="C128">
        <v>1</v>
      </c>
      <c r="D128">
        <v>-2</v>
      </c>
      <c r="E128">
        <v>1</v>
      </c>
      <c r="F128">
        <v>1</v>
      </c>
    </row>
    <row r="129" spans="1:6" x14ac:dyDescent="0.45">
      <c r="A129">
        <v>1150</v>
      </c>
      <c r="B129">
        <v>3</v>
      </c>
      <c r="C129">
        <v>1</v>
      </c>
      <c r="D129">
        <v>-1</v>
      </c>
      <c r="E129">
        <v>1</v>
      </c>
      <c r="F129">
        <v>1</v>
      </c>
    </row>
    <row r="130" spans="1:6" x14ac:dyDescent="0.45">
      <c r="A130">
        <v>1160</v>
      </c>
      <c r="B130">
        <v>5</v>
      </c>
      <c r="C130">
        <v>2</v>
      </c>
      <c r="D130">
        <v>-1</v>
      </c>
      <c r="E130">
        <v>-1</v>
      </c>
      <c r="F130">
        <v>2</v>
      </c>
    </row>
    <row r="131" spans="1:6" x14ac:dyDescent="0.45">
      <c r="A131">
        <v>1160</v>
      </c>
      <c r="B131">
        <v>4</v>
      </c>
      <c r="C131">
        <v>1</v>
      </c>
      <c r="D131">
        <v>-2</v>
      </c>
      <c r="E131">
        <v>0</v>
      </c>
      <c r="F131">
        <v>1</v>
      </c>
    </row>
    <row r="132" spans="1:6" x14ac:dyDescent="0.45">
      <c r="A132">
        <v>1160</v>
      </c>
      <c r="B132">
        <v>7</v>
      </c>
      <c r="C132">
        <v>1</v>
      </c>
      <c r="D132">
        <v>-1</v>
      </c>
      <c r="E132">
        <v>-1</v>
      </c>
      <c r="F132">
        <v>1</v>
      </c>
    </row>
    <row r="133" spans="1:6" x14ac:dyDescent="0.45">
      <c r="A133">
        <v>1160</v>
      </c>
      <c r="B133">
        <v>2</v>
      </c>
      <c r="C133">
        <v>2</v>
      </c>
      <c r="D133">
        <v>-2</v>
      </c>
      <c r="E133">
        <v>-1</v>
      </c>
      <c r="F133">
        <v>2</v>
      </c>
    </row>
    <row r="134" spans="1:6" x14ac:dyDescent="0.45">
      <c r="A134">
        <v>1160</v>
      </c>
      <c r="B134">
        <v>8</v>
      </c>
      <c r="C134">
        <v>-2</v>
      </c>
      <c r="D134">
        <v>-1</v>
      </c>
      <c r="E134">
        <v>1</v>
      </c>
      <c r="F134">
        <v>-2</v>
      </c>
    </row>
    <row r="135" spans="1:6" x14ac:dyDescent="0.45">
      <c r="A135">
        <v>1160</v>
      </c>
      <c r="B135">
        <v>1</v>
      </c>
      <c r="C135">
        <v>-2</v>
      </c>
      <c r="D135">
        <v>-1</v>
      </c>
      <c r="E135">
        <v>-1</v>
      </c>
      <c r="F135">
        <v>-2</v>
      </c>
    </row>
    <row r="136" spans="1:6" x14ac:dyDescent="0.45">
      <c r="A136">
        <v>1160</v>
      </c>
      <c r="B136">
        <v>6</v>
      </c>
      <c r="C136">
        <v>-1</v>
      </c>
      <c r="D136">
        <v>-2</v>
      </c>
      <c r="E136">
        <v>2</v>
      </c>
      <c r="F136">
        <v>-1</v>
      </c>
    </row>
    <row r="137" spans="1:6" x14ac:dyDescent="0.45">
      <c r="A137">
        <v>1160</v>
      </c>
      <c r="B137">
        <v>3</v>
      </c>
      <c r="C137">
        <v>-1</v>
      </c>
      <c r="D137">
        <v>0</v>
      </c>
      <c r="E137">
        <v>-1</v>
      </c>
      <c r="F137">
        <v>-1</v>
      </c>
    </row>
    <row r="138" spans="1:6" x14ac:dyDescent="0.45">
      <c r="A138">
        <v>1170</v>
      </c>
      <c r="B138">
        <v>1</v>
      </c>
      <c r="C138">
        <v>0</v>
      </c>
      <c r="D138">
        <v>1</v>
      </c>
      <c r="E138">
        <v>1</v>
      </c>
      <c r="F138">
        <v>0</v>
      </c>
    </row>
    <row r="139" spans="1:6" x14ac:dyDescent="0.45">
      <c r="A139">
        <v>1170</v>
      </c>
      <c r="B139">
        <v>8</v>
      </c>
      <c r="C139">
        <v>0</v>
      </c>
      <c r="D139">
        <v>1</v>
      </c>
      <c r="E139">
        <v>1</v>
      </c>
      <c r="F139">
        <v>0</v>
      </c>
    </row>
    <row r="140" spans="1:6" x14ac:dyDescent="0.45">
      <c r="A140">
        <v>1170</v>
      </c>
      <c r="B140">
        <v>3</v>
      </c>
      <c r="C140">
        <v>-2</v>
      </c>
      <c r="D140">
        <v>0</v>
      </c>
      <c r="E140">
        <v>0</v>
      </c>
      <c r="F140">
        <v>-2</v>
      </c>
    </row>
    <row r="141" spans="1:6" x14ac:dyDescent="0.45">
      <c r="A141">
        <v>1170</v>
      </c>
      <c r="B141">
        <v>6</v>
      </c>
      <c r="C141">
        <v>-1</v>
      </c>
      <c r="D141">
        <v>2</v>
      </c>
      <c r="E141">
        <v>1</v>
      </c>
      <c r="F141">
        <v>-1</v>
      </c>
    </row>
    <row r="142" spans="1:6" x14ac:dyDescent="0.45">
      <c r="A142">
        <v>1170</v>
      </c>
      <c r="B142">
        <v>4</v>
      </c>
      <c r="C142">
        <v>1</v>
      </c>
      <c r="D142">
        <v>1</v>
      </c>
      <c r="E142">
        <v>1</v>
      </c>
      <c r="F142">
        <v>1</v>
      </c>
    </row>
    <row r="143" spans="1:6" x14ac:dyDescent="0.45">
      <c r="A143">
        <v>1170</v>
      </c>
      <c r="B143">
        <v>5</v>
      </c>
      <c r="C143">
        <v>1</v>
      </c>
      <c r="D143">
        <v>0</v>
      </c>
      <c r="E143">
        <v>1</v>
      </c>
      <c r="F143">
        <v>1</v>
      </c>
    </row>
    <row r="144" spans="1:6" x14ac:dyDescent="0.45">
      <c r="A144">
        <v>1170</v>
      </c>
      <c r="B144">
        <v>2</v>
      </c>
      <c r="C144">
        <v>0</v>
      </c>
      <c r="D144">
        <v>-1</v>
      </c>
      <c r="E144">
        <v>-1</v>
      </c>
      <c r="F144">
        <v>0</v>
      </c>
    </row>
    <row r="145" spans="1:6" x14ac:dyDescent="0.45">
      <c r="A145">
        <v>1170</v>
      </c>
      <c r="B145">
        <v>7</v>
      </c>
      <c r="C145">
        <v>-1</v>
      </c>
      <c r="D145">
        <v>2</v>
      </c>
      <c r="E145">
        <v>1</v>
      </c>
      <c r="F145">
        <v>-1</v>
      </c>
    </row>
    <row r="146" spans="1:6" x14ac:dyDescent="0.45">
      <c r="A146">
        <v>1180</v>
      </c>
      <c r="B146">
        <v>5</v>
      </c>
      <c r="C146">
        <v>-1</v>
      </c>
      <c r="D146">
        <v>-2</v>
      </c>
      <c r="E146">
        <v>-1</v>
      </c>
      <c r="F146">
        <v>-1</v>
      </c>
    </row>
    <row r="147" spans="1:6" x14ac:dyDescent="0.45">
      <c r="A147">
        <v>1180</v>
      </c>
      <c r="B147">
        <v>4</v>
      </c>
      <c r="C147">
        <v>-1</v>
      </c>
      <c r="D147">
        <v>1</v>
      </c>
      <c r="E147">
        <v>2</v>
      </c>
      <c r="F147">
        <v>-1</v>
      </c>
    </row>
    <row r="148" spans="1:6" x14ac:dyDescent="0.45">
      <c r="A148">
        <v>1180</v>
      </c>
      <c r="B148">
        <v>7</v>
      </c>
      <c r="C148">
        <v>-2</v>
      </c>
      <c r="D148">
        <v>2</v>
      </c>
      <c r="E148">
        <v>-1</v>
      </c>
      <c r="F148">
        <v>-2</v>
      </c>
    </row>
    <row r="149" spans="1:6" x14ac:dyDescent="0.45">
      <c r="A149">
        <v>1180</v>
      </c>
      <c r="B149">
        <v>2</v>
      </c>
      <c r="C149">
        <v>-2</v>
      </c>
      <c r="D149">
        <v>-1</v>
      </c>
      <c r="E149">
        <v>-2</v>
      </c>
      <c r="F149">
        <v>-2</v>
      </c>
    </row>
    <row r="150" spans="1:6" x14ac:dyDescent="0.45">
      <c r="A150">
        <v>1180</v>
      </c>
      <c r="B150">
        <v>8</v>
      </c>
      <c r="C150">
        <v>-2</v>
      </c>
      <c r="D150">
        <v>1</v>
      </c>
      <c r="E150">
        <v>2</v>
      </c>
      <c r="F150">
        <v>-2</v>
      </c>
    </row>
    <row r="151" spans="1:6" x14ac:dyDescent="0.45">
      <c r="A151">
        <v>1180</v>
      </c>
      <c r="B151">
        <v>1</v>
      </c>
      <c r="C151">
        <v>-2</v>
      </c>
      <c r="D151">
        <v>2</v>
      </c>
      <c r="E151">
        <v>1</v>
      </c>
      <c r="F151">
        <v>-2</v>
      </c>
    </row>
    <row r="152" spans="1:6" x14ac:dyDescent="0.45">
      <c r="A152">
        <v>1180</v>
      </c>
      <c r="B152">
        <v>6</v>
      </c>
      <c r="C152">
        <v>-1</v>
      </c>
      <c r="D152">
        <v>-2</v>
      </c>
      <c r="E152">
        <v>2</v>
      </c>
      <c r="F152">
        <v>-1</v>
      </c>
    </row>
    <row r="153" spans="1:6" x14ac:dyDescent="0.45">
      <c r="A153">
        <v>1180</v>
      </c>
      <c r="B153">
        <v>3</v>
      </c>
      <c r="C153">
        <v>1</v>
      </c>
      <c r="D153">
        <v>2</v>
      </c>
      <c r="E153">
        <v>1</v>
      </c>
      <c r="F153">
        <v>1</v>
      </c>
    </row>
    <row r="154" spans="1:6" x14ac:dyDescent="0.45">
      <c r="A154">
        <v>1190</v>
      </c>
      <c r="B154">
        <v>1</v>
      </c>
      <c r="C154">
        <v>1</v>
      </c>
      <c r="D154">
        <v>-1</v>
      </c>
      <c r="E154">
        <v>-1</v>
      </c>
      <c r="F154">
        <v>1</v>
      </c>
    </row>
    <row r="155" spans="1:6" x14ac:dyDescent="0.45">
      <c r="A155">
        <v>1190</v>
      </c>
      <c r="B155">
        <v>8</v>
      </c>
      <c r="C155">
        <v>1</v>
      </c>
      <c r="D155">
        <v>2</v>
      </c>
      <c r="E155">
        <v>-2</v>
      </c>
      <c r="F155">
        <v>1</v>
      </c>
    </row>
    <row r="156" spans="1:6" x14ac:dyDescent="0.45">
      <c r="A156">
        <v>1190</v>
      </c>
      <c r="B156">
        <v>3</v>
      </c>
      <c r="C156">
        <v>-2</v>
      </c>
      <c r="D156">
        <v>-1</v>
      </c>
      <c r="E156">
        <v>2</v>
      </c>
      <c r="F156">
        <v>-2</v>
      </c>
    </row>
    <row r="157" spans="1:6" x14ac:dyDescent="0.45">
      <c r="A157">
        <v>1190</v>
      </c>
      <c r="B157">
        <v>6</v>
      </c>
      <c r="C157">
        <v>1</v>
      </c>
      <c r="D157">
        <v>-1</v>
      </c>
      <c r="E157">
        <v>-2</v>
      </c>
      <c r="F157">
        <v>1</v>
      </c>
    </row>
    <row r="158" spans="1:6" x14ac:dyDescent="0.45">
      <c r="A158">
        <v>1190</v>
      </c>
      <c r="B158">
        <v>4</v>
      </c>
      <c r="C158">
        <v>-1</v>
      </c>
      <c r="D158">
        <v>-1</v>
      </c>
      <c r="E158">
        <v>2</v>
      </c>
      <c r="F158">
        <v>-1</v>
      </c>
    </row>
    <row r="159" spans="1:6" x14ac:dyDescent="0.45">
      <c r="A159">
        <v>1190</v>
      </c>
      <c r="B159">
        <v>5</v>
      </c>
      <c r="C159">
        <v>1</v>
      </c>
      <c r="D159">
        <v>-1</v>
      </c>
      <c r="E159">
        <v>0</v>
      </c>
      <c r="F159">
        <v>1</v>
      </c>
    </row>
    <row r="160" spans="1:6" x14ac:dyDescent="0.45">
      <c r="A160">
        <v>1190</v>
      </c>
      <c r="B160">
        <v>2</v>
      </c>
      <c r="C160">
        <v>0</v>
      </c>
      <c r="D160">
        <v>1</v>
      </c>
      <c r="E160">
        <v>1</v>
      </c>
      <c r="F160">
        <v>0</v>
      </c>
    </row>
    <row r="161" spans="1:6" x14ac:dyDescent="0.45">
      <c r="A161">
        <v>1190</v>
      </c>
      <c r="B161">
        <v>7</v>
      </c>
      <c r="C161">
        <v>-1</v>
      </c>
      <c r="D161">
        <v>1</v>
      </c>
      <c r="E161">
        <v>2</v>
      </c>
      <c r="F161">
        <v>-1</v>
      </c>
    </row>
    <row r="162" spans="1:6" x14ac:dyDescent="0.45">
      <c r="A162">
        <v>1200</v>
      </c>
      <c r="B162">
        <v>5</v>
      </c>
      <c r="C162">
        <v>2</v>
      </c>
      <c r="D162">
        <v>1</v>
      </c>
      <c r="E162">
        <v>0</v>
      </c>
      <c r="F162">
        <v>2</v>
      </c>
    </row>
    <row r="163" spans="1:6" x14ac:dyDescent="0.45">
      <c r="A163">
        <v>1200</v>
      </c>
      <c r="B163">
        <v>4</v>
      </c>
      <c r="C163">
        <v>2</v>
      </c>
      <c r="D163">
        <v>2</v>
      </c>
      <c r="E163">
        <v>2</v>
      </c>
      <c r="F163">
        <v>2</v>
      </c>
    </row>
    <row r="164" spans="1:6" x14ac:dyDescent="0.45">
      <c r="A164">
        <v>1200</v>
      </c>
      <c r="B164">
        <v>7</v>
      </c>
      <c r="C164">
        <v>1</v>
      </c>
      <c r="D164">
        <v>2</v>
      </c>
      <c r="E164">
        <v>2</v>
      </c>
      <c r="F164">
        <v>1</v>
      </c>
    </row>
    <row r="165" spans="1:6" x14ac:dyDescent="0.45">
      <c r="A165">
        <v>1200</v>
      </c>
      <c r="B165">
        <v>2</v>
      </c>
      <c r="C165">
        <v>2</v>
      </c>
      <c r="D165">
        <v>-2</v>
      </c>
      <c r="E165">
        <v>-1</v>
      </c>
      <c r="F165">
        <v>2</v>
      </c>
    </row>
    <row r="166" spans="1:6" x14ac:dyDescent="0.45">
      <c r="A166">
        <v>1200</v>
      </c>
      <c r="B166">
        <v>8</v>
      </c>
      <c r="C166">
        <v>-2</v>
      </c>
      <c r="D166">
        <v>-2</v>
      </c>
      <c r="E166">
        <v>2</v>
      </c>
      <c r="F166">
        <v>-2</v>
      </c>
    </row>
    <row r="167" spans="1:6" x14ac:dyDescent="0.45">
      <c r="A167">
        <v>1200</v>
      </c>
      <c r="B167">
        <v>1</v>
      </c>
      <c r="C167">
        <v>0</v>
      </c>
      <c r="D167">
        <v>2</v>
      </c>
      <c r="E167">
        <v>2</v>
      </c>
      <c r="F167">
        <v>0</v>
      </c>
    </row>
    <row r="168" spans="1:6" x14ac:dyDescent="0.45">
      <c r="A168">
        <v>1200</v>
      </c>
      <c r="B168">
        <v>6</v>
      </c>
      <c r="C168">
        <v>2</v>
      </c>
      <c r="D168">
        <v>-1</v>
      </c>
      <c r="E168">
        <v>2</v>
      </c>
      <c r="F168">
        <v>2</v>
      </c>
    </row>
    <row r="169" spans="1:6" x14ac:dyDescent="0.45">
      <c r="A169">
        <v>1200</v>
      </c>
      <c r="B169">
        <v>3</v>
      </c>
      <c r="C169">
        <v>-1</v>
      </c>
      <c r="D169">
        <v>-1</v>
      </c>
      <c r="E169">
        <v>2</v>
      </c>
      <c r="F169">
        <v>-1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2682-658B-4313-98F2-817C04DBCAE2}">
  <dimension ref="A1:N169"/>
  <sheetViews>
    <sheetView workbookViewId="0">
      <selection activeCell="O20" sqref="O20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0.133583797</v>
      </c>
      <c r="D2">
        <v>0.11907794400000001</v>
      </c>
      <c r="E2">
        <v>0.13546840099999999</v>
      </c>
      <c r="F2">
        <v>0.133583797</v>
      </c>
      <c r="H2" t="s">
        <v>49</v>
      </c>
    </row>
    <row r="3" spans="1:14" x14ac:dyDescent="0.45">
      <c r="A3">
        <v>1000</v>
      </c>
      <c r="B3">
        <v>4</v>
      </c>
      <c r="C3">
        <v>0.134296834</v>
      </c>
      <c r="D3">
        <v>0.211462918</v>
      </c>
      <c r="E3">
        <v>0.110872072</v>
      </c>
      <c r="F3">
        <v>0.134296834</v>
      </c>
    </row>
    <row r="4" spans="1:14" ht="18.600000000000001" thickBot="1" x14ac:dyDescent="0.5">
      <c r="A4">
        <v>1000</v>
      </c>
      <c r="B4">
        <v>7</v>
      </c>
      <c r="C4">
        <v>0.111672334</v>
      </c>
      <c r="D4">
        <v>0.121318588</v>
      </c>
      <c r="E4">
        <v>0.123899413</v>
      </c>
      <c r="F4">
        <v>0.111672334</v>
      </c>
      <c r="H4" t="s">
        <v>50</v>
      </c>
    </row>
    <row r="5" spans="1:14" x14ac:dyDescent="0.45">
      <c r="A5">
        <v>1000</v>
      </c>
      <c r="B5">
        <v>2</v>
      </c>
      <c r="C5">
        <v>0.101786243</v>
      </c>
      <c r="D5">
        <v>0.12602497500000001</v>
      </c>
      <c r="E5">
        <v>0.147624848</v>
      </c>
      <c r="F5">
        <v>0.101786243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0.18362505500000001</v>
      </c>
      <c r="D6">
        <v>0.26566301799999997</v>
      </c>
      <c r="E6">
        <v>0.12930454599999999</v>
      </c>
      <c r="F6">
        <v>0.18362505500000001</v>
      </c>
      <c r="H6" t="s">
        <v>46</v>
      </c>
      <c r="I6">
        <v>168</v>
      </c>
      <c r="J6">
        <v>28.514934848000003</v>
      </c>
      <c r="K6">
        <v>0.16973175504761906</v>
      </c>
      <c r="L6">
        <v>4.6340078917894061E-3</v>
      </c>
    </row>
    <row r="7" spans="1:14" x14ac:dyDescent="0.45">
      <c r="A7">
        <v>1000</v>
      </c>
      <c r="B7">
        <v>1</v>
      </c>
      <c r="C7">
        <v>0.13079840100000001</v>
      </c>
      <c r="D7">
        <v>0.13188702799999999</v>
      </c>
      <c r="E7">
        <v>0.12696774399999999</v>
      </c>
      <c r="F7">
        <v>0.13079840100000001</v>
      </c>
      <c r="H7" t="s">
        <v>47</v>
      </c>
      <c r="I7">
        <v>168</v>
      </c>
      <c r="J7">
        <v>27.935412037000013</v>
      </c>
      <c r="K7">
        <v>0.16628221450595246</v>
      </c>
      <c r="L7">
        <v>3.5768534950976955E-3</v>
      </c>
    </row>
    <row r="8" spans="1:14" ht="18.600000000000001" thickBot="1" x14ac:dyDescent="0.5">
      <c r="A8">
        <v>1000</v>
      </c>
      <c r="B8">
        <v>6</v>
      </c>
      <c r="C8">
        <v>0.12313305300000001</v>
      </c>
      <c r="D8">
        <v>0.113278832</v>
      </c>
      <c r="E8">
        <v>0.13552534299999999</v>
      </c>
      <c r="F8">
        <v>0.12313305300000001</v>
      </c>
      <c r="H8" s="3" t="s">
        <v>48</v>
      </c>
      <c r="I8" s="3">
        <v>168</v>
      </c>
      <c r="J8" s="3">
        <v>26.571177835000007</v>
      </c>
      <c r="K8" s="3">
        <v>0.158161772827381</v>
      </c>
      <c r="L8" s="3">
        <v>3.1704587461723402E-3</v>
      </c>
    </row>
    <row r="9" spans="1:14" x14ac:dyDescent="0.45">
      <c r="A9">
        <v>1000</v>
      </c>
      <c r="B9">
        <v>3</v>
      </c>
      <c r="C9">
        <v>0.113459992</v>
      </c>
      <c r="D9">
        <v>0.13215152899999999</v>
      </c>
      <c r="E9">
        <v>0.140520646</v>
      </c>
      <c r="F9">
        <v>0.113459992</v>
      </c>
    </row>
    <row r="10" spans="1:14" x14ac:dyDescent="0.45">
      <c r="A10">
        <v>1010</v>
      </c>
      <c r="B10">
        <v>5</v>
      </c>
      <c r="C10">
        <v>0.22095693299999999</v>
      </c>
      <c r="D10">
        <v>0.15556004900000001</v>
      </c>
      <c r="E10">
        <v>0.249404869</v>
      </c>
      <c r="F10">
        <v>0.22095693299999999</v>
      </c>
    </row>
    <row r="11" spans="1:14" ht="18.600000000000001" thickBot="1" x14ac:dyDescent="0.5">
      <c r="A11">
        <v>1010</v>
      </c>
      <c r="B11">
        <v>4</v>
      </c>
      <c r="C11">
        <v>0.35900249699999998</v>
      </c>
      <c r="D11">
        <v>0.13901287100000001</v>
      </c>
      <c r="E11">
        <v>0.13767217700000001</v>
      </c>
      <c r="F11">
        <v>0.35900249699999998</v>
      </c>
      <c r="H11" t="s">
        <v>56</v>
      </c>
    </row>
    <row r="12" spans="1:14" x14ac:dyDescent="0.45">
      <c r="A12">
        <v>1010</v>
      </c>
      <c r="B12">
        <v>7</v>
      </c>
      <c r="C12">
        <v>0.117193725</v>
      </c>
      <c r="D12">
        <v>0.103326999</v>
      </c>
      <c r="E12">
        <v>0.10997618300000001</v>
      </c>
      <c r="F12">
        <v>0.117193725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0.20426876599999999</v>
      </c>
      <c r="D13">
        <v>0.24308513900000001</v>
      </c>
      <c r="E13">
        <v>0.33452790999999998</v>
      </c>
      <c r="F13">
        <v>0.20426876599999999</v>
      </c>
      <c r="H13" t="s">
        <v>63</v>
      </c>
      <c r="I13">
        <v>1.1855501928497381E-2</v>
      </c>
      <c r="J13">
        <v>2</v>
      </c>
      <c r="K13">
        <v>5.9277509642486903E-3</v>
      </c>
      <c r="L13">
        <v>1.562494744444521</v>
      </c>
      <c r="M13">
        <v>0.21063218193605793</v>
      </c>
      <c r="N13">
        <v>3.0137168925158462</v>
      </c>
    </row>
    <row r="14" spans="1:14" x14ac:dyDescent="0.45">
      <c r="A14">
        <v>1010</v>
      </c>
      <c r="B14">
        <v>8</v>
      </c>
      <c r="C14">
        <v>0.35145913699999998</v>
      </c>
      <c r="D14">
        <v>0.12877462100000001</v>
      </c>
      <c r="E14">
        <v>0.13814238400000001</v>
      </c>
      <c r="F14">
        <v>0.35145913699999998</v>
      </c>
      <c r="H14" t="s">
        <v>64</v>
      </c>
      <c r="I14">
        <v>1.900680462220935</v>
      </c>
      <c r="J14">
        <v>501</v>
      </c>
      <c r="K14">
        <v>3.7937733776864969E-3</v>
      </c>
    </row>
    <row r="15" spans="1:14" x14ac:dyDescent="0.45">
      <c r="A15">
        <v>1010</v>
      </c>
      <c r="B15">
        <v>1</v>
      </c>
      <c r="C15">
        <v>0.118093406</v>
      </c>
      <c r="D15">
        <v>0.12995506800000001</v>
      </c>
      <c r="E15">
        <v>0.14752581000000001</v>
      </c>
      <c r="F15">
        <v>0.118093406</v>
      </c>
    </row>
    <row r="16" spans="1:14" ht="18.600000000000001" thickBot="1" x14ac:dyDescent="0.5">
      <c r="A16">
        <v>1010</v>
      </c>
      <c r="B16">
        <v>6</v>
      </c>
      <c r="C16">
        <v>0.10712957100000001</v>
      </c>
      <c r="D16">
        <v>0.142164124</v>
      </c>
      <c r="E16">
        <v>0.11958224100000001</v>
      </c>
      <c r="F16">
        <v>0.10712957100000001</v>
      </c>
      <c r="H16" s="3" t="s">
        <v>53</v>
      </c>
      <c r="I16" s="3">
        <v>1.9125359641494324</v>
      </c>
      <c r="J16" s="3">
        <v>503</v>
      </c>
      <c r="K16" s="3"/>
      <c r="L16" s="3"/>
      <c r="M16" s="3"/>
      <c r="N16" s="3"/>
    </row>
    <row r="17" spans="1:6" x14ac:dyDescent="0.45">
      <c r="A17">
        <v>1010</v>
      </c>
      <c r="B17">
        <v>3</v>
      </c>
      <c r="C17">
        <v>0.103135146</v>
      </c>
      <c r="D17">
        <v>0.25154750399999998</v>
      </c>
      <c r="E17">
        <v>0.202293099</v>
      </c>
      <c r="F17">
        <v>0.103135146</v>
      </c>
    </row>
    <row r="18" spans="1:6" x14ac:dyDescent="0.45">
      <c r="A18">
        <v>1020</v>
      </c>
      <c r="B18">
        <v>5</v>
      </c>
      <c r="C18">
        <v>0.11814145600000001</v>
      </c>
      <c r="D18">
        <v>0.187313226</v>
      </c>
      <c r="E18">
        <v>0.13714141899999999</v>
      </c>
      <c r="F18">
        <v>0.11814145600000001</v>
      </c>
    </row>
    <row r="19" spans="1:6" x14ac:dyDescent="0.45">
      <c r="A19">
        <v>1020</v>
      </c>
      <c r="B19">
        <v>4</v>
      </c>
      <c r="C19">
        <v>0.21632494399999999</v>
      </c>
      <c r="D19">
        <v>0.28382020699999999</v>
      </c>
      <c r="E19">
        <v>0.15705281600000001</v>
      </c>
      <c r="F19">
        <v>0.21632494399999999</v>
      </c>
    </row>
    <row r="20" spans="1:6" x14ac:dyDescent="0.45">
      <c r="A20">
        <v>1020</v>
      </c>
      <c r="B20">
        <v>7</v>
      </c>
      <c r="C20">
        <v>0.15309224299999999</v>
      </c>
      <c r="D20">
        <v>0.17893157900000001</v>
      </c>
      <c r="E20">
        <v>0.33356191000000002</v>
      </c>
      <c r="F20">
        <v>0.15309224299999999</v>
      </c>
    </row>
    <row r="21" spans="1:6" x14ac:dyDescent="0.45">
      <c r="A21">
        <v>1020</v>
      </c>
      <c r="B21">
        <v>2</v>
      </c>
      <c r="C21">
        <v>0.13773543499999999</v>
      </c>
      <c r="D21">
        <v>0.267169712</v>
      </c>
      <c r="E21">
        <v>0.351904035</v>
      </c>
      <c r="F21">
        <v>0.13773543499999999</v>
      </c>
    </row>
    <row r="22" spans="1:6" x14ac:dyDescent="0.45">
      <c r="A22">
        <v>1020</v>
      </c>
      <c r="B22">
        <v>8</v>
      </c>
      <c r="C22">
        <v>0.211696516</v>
      </c>
      <c r="D22">
        <v>0.22776645200000001</v>
      </c>
      <c r="E22">
        <v>0.16781447799999999</v>
      </c>
      <c r="F22">
        <v>0.211696516</v>
      </c>
    </row>
    <row r="23" spans="1:6" x14ac:dyDescent="0.45">
      <c r="A23">
        <v>1020</v>
      </c>
      <c r="B23">
        <v>1</v>
      </c>
      <c r="C23">
        <v>0.262041527</v>
      </c>
      <c r="D23">
        <v>0.14777233300000001</v>
      </c>
      <c r="E23">
        <v>0.155682825</v>
      </c>
      <c r="F23">
        <v>0.262041527</v>
      </c>
    </row>
    <row r="24" spans="1:6" x14ac:dyDescent="0.45">
      <c r="A24">
        <v>1020</v>
      </c>
      <c r="B24">
        <v>6</v>
      </c>
      <c r="C24">
        <v>0.16156278600000001</v>
      </c>
      <c r="D24">
        <v>0.29885957400000002</v>
      </c>
      <c r="E24">
        <v>0.15689873500000001</v>
      </c>
      <c r="F24">
        <v>0.16156278600000001</v>
      </c>
    </row>
    <row r="25" spans="1:6" x14ac:dyDescent="0.45">
      <c r="A25">
        <v>1020</v>
      </c>
      <c r="B25">
        <v>3</v>
      </c>
      <c r="C25">
        <v>0.17806071900000001</v>
      </c>
      <c r="D25">
        <v>0.17884540099999999</v>
      </c>
      <c r="E25">
        <v>0.15964684300000001</v>
      </c>
      <c r="F25">
        <v>0.17806071900000001</v>
      </c>
    </row>
    <row r="26" spans="1:6" x14ac:dyDescent="0.45">
      <c r="A26">
        <v>1030</v>
      </c>
      <c r="B26">
        <v>1</v>
      </c>
      <c r="C26">
        <v>0.13675553800000001</v>
      </c>
      <c r="D26">
        <v>0.26624552699999998</v>
      </c>
      <c r="E26">
        <v>0.210753634</v>
      </c>
      <c r="F26">
        <v>0.13675553800000001</v>
      </c>
    </row>
    <row r="27" spans="1:6" x14ac:dyDescent="0.45">
      <c r="A27">
        <v>1030</v>
      </c>
      <c r="B27">
        <v>8</v>
      </c>
      <c r="C27">
        <v>0.16838846499999999</v>
      </c>
      <c r="D27">
        <v>0.24803520400000001</v>
      </c>
      <c r="E27">
        <v>0.154267442</v>
      </c>
      <c r="F27">
        <v>0.16838846499999999</v>
      </c>
    </row>
    <row r="28" spans="1:6" x14ac:dyDescent="0.45">
      <c r="A28">
        <v>1030</v>
      </c>
      <c r="B28">
        <v>3</v>
      </c>
      <c r="C28">
        <v>0.19895785799999999</v>
      </c>
      <c r="D28">
        <v>0.30282464999999997</v>
      </c>
      <c r="E28">
        <v>0.27641043599999998</v>
      </c>
      <c r="F28">
        <v>0.19895785799999999</v>
      </c>
    </row>
    <row r="29" spans="1:6" x14ac:dyDescent="0.45">
      <c r="A29">
        <v>1030</v>
      </c>
      <c r="B29">
        <v>6</v>
      </c>
      <c r="C29">
        <v>0.32714882000000001</v>
      </c>
      <c r="D29">
        <v>0.27907726199999999</v>
      </c>
      <c r="E29">
        <v>0.336300975</v>
      </c>
      <c r="F29">
        <v>0.32714882000000001</v>
      </c>
    </row>
    <row r="30" spans="1:6" x14ac:dyDescent="0.45">
      <c r="A30">
        <v>1030</v>
      </c>
      <c r="B30">
        <v>4</v>
      </c>
      <c r="C30">
        <v>0.14228881500000001</v>
      </c>
      <c r="D30">
        <v>0.16701137999999999</v>
      </c>
      <c r="E30">
        <v>0.28758566600000002</v>
      </c>
      <c r="F30">
        <v>0.14228881500000001</v>
      </c>
    </row>
    <row r="31" spans="1:6" x14ac:dyDescent="0.45">
      <c r="A31">
        <v>1030</v>
      </c>
      <c r="B31">
        <v>5</v>
      </c>
      <c r="C31">
        <v>0.210093263</v>
      </c>
      <c r="D31">
        <v>0.26107570000000002</v>
      </c>
      <c r="E31">
        <v>0.198206664</v>
      </c>
      <c r="F31">
        <v>0.210093263</v>
      </c>
    </row>
    <row r="32" spans="1:6" x14ac:dyDescent="0.45">
      <c r="A32">
        <v>1030</v>
      </c>
      <c r="B32">
        <v>2</v>
      </c>
      <c r="C32">
        <v>0.26846605400000001</v>
      </c>
      <c r="D32">
        <v>0.113884743</v>
      </c>
      <c r="E32">
        <v>0.22477454299999999</v>
      </c>
      <c r="F32">
        <v>0.26846605400000001</v>
      </c>
    </row>
    <row r="33" spans="1:6" x14ac:dyDescent="0.45">
      <c r="A33">
        <v>1030</v>
      </c>
      <c r="B33">
        <v>7</v>
      </c>
      <c r="C33">
        <v>0.31840694899999999</v>
      </c>
      <c r="D33">
        <v>0.31760786299999999</v>
      </c>
      <c r="E33">
        <v>0.12515145999999999</v>
      </c>
      <c r="F33">
        <v>0.31840694899999999</v>
      </c>
    </row>
    <row r="34" spans="1:6" x14ac:dyDescent="0.45">
      <c r="A34">
        <v>1040</v>
      </c>
      <c r="B34">
        <v>1</v>
      </c>
      <c r="C34">
        <v>0.14153723000000001</v>
      </c>
      <c r="D34">
        <v>0.13254379599999999</v>
      </c>
      <c r="E34">
        <v>0.103434122</v>
      </c>
      <c r="F34">
        <v>0.14153723000000001</v>
      </c>
    </row>
    <row r="35" spans="1:6" x14ac:dyDescent="0.45">
      <c r="A35">
        <v>1040</v>
      </c>
      <c r="B35">
        <v>8</v>
      </c>
      <c r="C35">
        <v>0.136355959</v>
      </c>
      <c r="D35">
        <v>0.108966443</v>
      </c>
      <c r="E35">
        <v>0.11584975</v>
      </c>
      <c r="F35">
        <v>0.136355959</v>
      </c>
    </row>
    <row r="36" spans="1:6" x14ac:dyDescent="0.45">
      <c r="A36">
        <v>1040</v>
      </c>
      <c r="B36">
        <v>3</v>
      </c>
      <c r="C36">
        <v>0.158928916</v>
      </c>
      <c r="D36">
        <v>0.125106408</v>
      </c>
      <c r="E36">
        <v>0.107097228</v>
      </c>
      <c r="F36">
        <v>0.158928916</v>
      </c>
    </row>
    <row r="37" spans="1:6" x14ac:dyDescent="0.45">
      <c r="A37">
        <v>1040</v>
      </c>
      <c r="B37">
        <v>6</v>
      </c>
      <c r="C37">
        <v>0.19278920199999999</v>
      </c>
      <c r="D37">
        <v>0.177952374</v>
      </c>
      <c r="E37">
        <v>0.103195817</v>
      </c>
      <c r="F37">
        <v>0.19278920199999999</v>
      </c>
    </row>
    <row r="38" spans="1:6" x14ac:dyDescent="0.45">
      <c r="A38">
        <v>1040</v>
      </c>
      <c r="B38">
        <v>4</v>
      </c>
      <c r="C38">
        <v>0.14686249200000001</v>
      </c>
      <c r="D38">
        <v>0.11265679300000001</v>
      </c>
      <c r="E38">
        <v>0.13828722500000001</v>
      </c>
      <c r="F38">
        <v>0.14686249200000001</v>
      </c>
    </row>
    <row r="39" spans="1:6" x14ac:dyDescent="0.45">
      <c r="A39">
        <v>1040</v>
      </c>
      <c r="B39">
        <v>5</v>
      </c>
      <c r="C39">
        <v>0.13357601799999999</v>
      </c>
      <c r="D39">
        <v>0.108158348</v>
      </c>
      <c r="E39">
        <v>0.10695518699999999</v>
      </c>
      <c r="F39">
        <v>0.13357601799999999</v>
      </c>
    </row>
    <row r="40" spans="1:6" x14ac:dyDescent="0.45">
      <c r="A40">
        <v>1040</v>
      </c>
      <c r="B40">
        <v>2</v>
      </c>
      <c r="C40">
        <v>0.143129912</v>
      </c>
      <c r="D40">
        <v>0.12899627699999999</v>
      </c>
      <c r="E40">
        <v>0.121650673</v>
      </c>
      <c r="F40">
        <v>0.143129912</v>
      </c>
    </row>
    <row r="41" spans="1:6" x14ac:dyDescent="0.45">
      <c r="A41">
        <v>1040</v>
      </c>
      <c r="B41">
        <v>7</v>
      </c>
      <c r="C41">
        <v>0.116670045</v>
      </c>
      <c r="D41">
        <v>0.117330055</v>
      </c>
      <c r="E41">
        <v>0.11434245</v>
      </c>
      <c r="F41">
        <v>0.116670045</v>
      </c>
    </row>
    <row r="42" spans="1:6" x14ac:dyDescent="0.45">
      <c r="A42">
        <v>1050</v>
      </c>
      <c r="B42">
        <v>1</v>
      </c>
      <c r="C42">
        <v>0.109709872</v>
      </c>
      <c r="D42">
        <v>0.17190008800000001</v>
      </c>
      <c r="E42">
        <v>0.13478008999999999</v>
      </c>
      <c r="F42">
        <v>0.109709872</v>
      </c>
    </row>
    <row r="43" spans="1:6" x14ac:dyDescent="0.45">
      <c r="A43">
        <v>1050</v>
      </c>
      <c r="B43">
        <v>8</v>
      </c>
      <c r="C43">
        <v>0.137267902</v>
      </c>
      <c r="D43">
        <v>0.150426855</v>
      </c>
      <c r="E43">
        <v>0.224532225</v>
      </c>
      <c r="F43">
        <v>0.137267902</v>
      </c>
    </row>
    <row r="44" spans="1:6" x14ac:dyDescent="0.45">
      <c r="A44">
        <v>1050</v>
      </c>
      <c r="B44">
        <v>3</v>
      </c>
      <c r="C44">
        <v>0.13091766099999999</v>
      </c>
      <c r="D44">
        <v>0.13183060499999999</v>
      </c>
      <c r="E44">
        <v>0.13064341900000001</v>
      </c>
      <c r="F44">
        <v>0.13091766099999999</v>
      </c>
    </row>
    <row r="45" spans="1:6" x14ac:dyDescent="0.45">
      <c r="A45">
        <v>1050</v>
      </c>
      <c r="B45">
        <v>6</v>
      </c>
      <c r="C45">
        <v>0.143754611</v>
      </c>
      <c r="D45">
        <v>0.113347981</v>
      </c>
      <c r="E45">
        <v>0.148005794</v>
      </c>
      <c r="F45">
        <v>0.143754611</v>
      </c>
    </row>
    <row r="46" spans="1:6" x14ac:dyDescent="0.45">
      <c r="A46">
        <v>1050</v>
      </c>
      <c r="B46">
        <v>4</v>
      </c>
      <c r="C46">
        <v>0.120509831</v>
      </c>
      <c r="D46">
        <v>0.18012597899999999</v>
      </c>
      <c r="E46">
        <v>0.12893596900000001</v>
      </c>
      <c r="F46">
        <v>0.120509831</v>
      </c>
    </row>
    <row r="47" spans="1:6" x14ac:dyDescent="0.45">
      <c r="A47">
        <v>1050</v>
      </c>
      <c r="B47">
        <v>5</v>
      </c>
      <c r="C47">
        <v>0.113281166</v>
      </c>
      <c r="D47">
        <v>0.12736245400000001</v>
      </c>
      <c r="E47">
        <v>0.13175347700000001</v>
      </c>
      <c r="F47">
        <v>0.113281166</v>
      </c>
    </row>
    <row r="48" spans="1:6" x14ac:dyDescent="0.45">
      <c r="A48">
        <v>1050</v>
      </c>
      <c r="B48">
        <v>2</v>
      </c>
      <c r="C48">
        <v>0.134781225</v>
      </c>
      <c r="D48">
        <v>0.102309023</v>
      </c>
      <c r="E48">
        <v>0.142571437</v>
      </c>
      <c r="F48">
        <v>0.134781225</v>
      </c>
    </row>
    <row r="49" spans="1:6" x14ac:dyDescent="0.45">
      <c r="A49">
        <v>1050</v>
      </c>
      <c r="B49">
        <v>7</v>
      </c>
      <c r="C49">
        <v>0.14422455100000001</v>
      </c>
      <c r="D49">
        <v>0.12779447999999999</v>
      </c>
      <c r="E49">
        <v>0.12597507699999999</v>
      </c>
      <c r="F49">
        <v>0.14422455100000001</v>
      </c>
    </row>
    <row r="50" spans="1:6" x14ac:dyDescent="0.45">
      <c r="A50">
        <v>1060</v>
      </c>
      <c r="B50">
        <v>5</v>
      </c>
      <c r="C50">
        <v>0.30338228900000003</v>
      </c>
      <c r="D50">
        <v>0.12880921100000001</v>
      </c>
      <c r="E50">
        <v>0.14230737500000001</v>
      </c>
      <c r="F50">
        <v>0.30338228900000003</v>
      </c>
    </row>
    <row r="51" spans="1:6" x14ac:dyDescent="0.45">
      <c r="A51">
        <v>1060</v>
      </c>
      <c r="B51">
        <v>4</v>
      </c>
      <c r="C51">
        <v>0.272046071</v>
      </c>
      <c r="D51">
        <v>0.52215449899999999</v>
      </c>
      <c r="E51">
        <v>0.30294304599999999</v>
      </c>
      <c r="F51">
        <v>0.272046071</v>
      </c>
    </row>
    <row r="52" spans="1:6" x14ac:dyDescent="0.45">
      <c r="A52">
        <v>1060</v>
      </c>
      <c r="B52">
        <v>7</v>
      </c>
      <c r="C52">
        <v>0.27681481499999999</v>
      </c>
      <c r="D52">
        <v>0.16011097799999999</v>
      </c>
      <c r="E52">
        <v>0.251050249</v>
      </c>
      <c r="F52">
        <v>0.27681481499999999</v>
      </c>
    </row>
    <row r="53" spans="1:6" x14ac:dyDescent="0.45">
      <c r="A53">
        <v>1060</v>
      </c>
      <c r="B53">
        <v>2</v>
      </c>
      <c r="C53">
        <v>0.38066946699999998</v>
      </c>
      <c r="D53">
        <v>0.30003308499999998</v>
      </c>
      <c r="E53">
        <v>0.23636080800000001</v>
      </c>
      <c r="F53">
        <v>0.38066946699999998</v>
      </c>
    </row>
    <row r="54" spans="1:6" x14ac:dyDescent="0.45">
      <c r="A54">
        <v>1060</v>
      </c>
      <c r="B54">
        <v>8</v>
      </c>
      <c r="C54">
        <v>0.51760381300000002</v>
      </c>
      <c r="D54">
        <v>0.19581311600000001</v>
      </c>
      <c r="E54">
        <v>0.19961710899999999</v>
      </c>
      <c r="F54">
        <v>0.51760381300000002</v>
      </c>
    </row>
    <row r="55" spans="1:6" x14ac:dyDescent="0.45">
      <c r="A55">
        <v>1060</v>
      </c>
      <c r="B55">
        <v>1</v>
      </c>
      <c r="C55">
        <v>0.247511596</v>
      </c>
      <c r="D55">
        <v>0.21408271200000001</v>
      </c>
      <c r="E55">
        <v>0.119760265</v>
      </c>
      <c r="F55">
        <v>0.247511596</v>
      </c>
    </row>
    <row r="56" spans="1:6" x14ac:dyDescent="0.45">
      <c r="A56">
        <v>1060</v>
      </c>
      <c r="B56">
        <v>6</v>
      </c>
      <c r="C56">
        <v>0.28921014099999998</v>
      </c>
      <c r="D56">
        <v>0.16952726300000001</v>
      </c>
      <c r="E56">
        <v>0.17811395199999999</v>
      </c>
      <c r="F56">
        <v>0.28921014099999998</v>
      </c>
    </row>
    <row r="57" spans="1:6" x14ac:dyDescent="0.45">
      <c r="A57">
        <v>1060</v>
      </c>
      <c r="B57">
        <v>3</v>
      </c>
      <c r="C57">
        <v>0.25172556499999998</v>
      </c>
      <c r="D57">
        <v>0.22884046499999999</v>
      </c>
      <c r="E57">
        <v>0.13857799800000001</v>
      </c>
      <c r="F57">
        <v>0.25172556499999998</v>
      </c>
    </row>
    <row r="58" spans="1:6" x14ac:dyDescent="0.45">
      <c r="A58">
        <v>1070</v>
      </c>
      <c r="B58">
        <v>5</v>
      </c>
      <c r="C58">
        <v>0.15864824599999999</v>
      </c>
      <c r="D58">
        <v>9.8686667000000006E-2</v>
      </c>
      <c r="E58">
        <v>0.121169581</v>
      </c>
      <c r="F58">
        <v>0.15864824599999999</v>
      </c>
    </row>
    <row r="59" spans="1:6" x14ac:dyDescent="0.45">
      <c r="A59">
        <v>1070</v>
      </c>
      <c r="B59">
        <v>4</v>
      </c>
      <c r="C59">
        <v>0.129945485</v>
      </c>
      <c r="D59">
        <v>0.17743970000000001</v>
      </c>
      <c r="E59">
        <v>0.13803970500000001</v>
      </c>
      <c r="F59">
        <v>0.129945485</v>
      </c>
    </row>
    <row r="60" spans="1:6" x14ac:dyDescent="0.45">
      <c r="A60">
        <v>1070</v>
      </c>
      <c r="B60">
        <v>7</v>
      </c>
      <c r="C60">
        <v>0.107006425</v>
      </c>
      <c r="D60">
        <v>0.10231947199999999</v>
      </c>
      <c r="E60">
        <v>0.157261348</v>
      </c>
      <c r="F60">
        <v>0.107006425</v>
      </c>
    </row>
    <row r="61" spans="1:6" x14ac:dyDescent="0.45">
      <c r="A61">
        <v>1070</v>
      </c>
      <c r="B61">
        <v>2</v>
      </c>
      <c r="C61">
        <v>0.16650026600000001</v>
      </c>
      <c r="D61">
        <v>0.18418727900000001</v>
      </c>
      <c r="E61">
        <v>0.10472308399999999</v>
      </c>
      <c r="F61">
        <v>0.16650026600000001</v>
      </c>
    </row>
    <row r="62" spans="1:6" x14ac:dyDescent="0.45">
      <c r="A62">
        <v>1070</v>
      </c>
      <c r="B62">
        <v>8</v>
      </c>
      <c r="C62">
        <v>0.20271626400000001</v>
      </c>
      <c r="D62">
        <v>0.119196993</v>
      </c>
      <c r="E62">
        <v>0.37917611099999998</v>
      </c>
      <c r="F62">
        <v>0.20271626400000001</v>
      </c>
    </row>
    <row r="63" spans="1:6" x14ac:dyDescent="0.45">
      <c r="A63">
        <v>1070</v>
      </c>
      <c r="B63">
        <v>1</v>
      </c>
      <c r="C63">
        <v>0.155363063</v>
      </c>
      <c r="D63">
        <v>0.32412902799999999</v>
      </c>
      <c r="E63">
        <v>0.115183226</v>
      </c>
      <c r="F63">
        <v>0.155363063</v>
      </c>
    </row>
    <row r="64" spans="1:6" x14ac:dyDescent="0.45">
      <c r="A64">
        <v>1070</v>
      </c>
      <c r="B64">
        <v>6</v>
      </c>
      <c r="C64">
        <v>0.15562621300000001</v>
      </c>
      <c r="D64">
        <v>0.11951622100000001</v>
      </c>
      <c r="E64">
        <v>0.178525293</v>
      </c>
      <c r="F64">
        <v>0.15562621300000001</v>
      </c>
    </row>
    <row r="65" spans="1:6" x14ac:dyDescent="0.45">
      <c r="A65">
        <v>1070</v>
      </c>
      <c r="B65">
        <v>3</v>
      </c>
      <c r="C65">
        <v>0.129324206</v>
      </c>
      <c r="D65">
        <v>0.103850069</v>
      </c>
      <c r="E65">
        <v>0.10042931400000001</v>
      </c>
      <c r="F65">
        <v>0.129324206</v>
      </c>
    </row>
    <row r="66" spans="1:6" x14ac:dyDescent="0.45">
      <c r="A66">
        <v>1080</v>
      </c>
      <c r="B66">
        <v>1</v>
      </c>
      <c r="C66">
        <v>0.119383646</v>
      </c>
      <c r="D66">
        <v>0.14637671399999999</v>
      </c>
      <c r="E66">
        <v>0.12082899699999999</v>
      </c>
      <c r="F66">
        <v>0.119383646</v>
      </c>
    </row>
    <row r="67" spans="1:6" x14ac:dyDescent="0.45">
      <c r="A67">
        <v>1080</v>
      </c>
      <c r="B67">
        <v>8</v>
      </c>
      <c r="C67">
        <v>0.13462017700000001</v>
      </c>
      <c r="D67">
        <v>0.163771474</v>
      </c>
      <c r="E67">
        <v>0.101184888</v>
      </c>
      <c r="F67">
        <v>0.13462017700000001</v>
      </c>
    </row>
    <row r="68" spans="1:6" x14ac:dyDescent="0.45">
      <c r="A68">
        <v>1080</v>
      </c>
      <c r="B68">
        <v>3</v>
      </c>
      <c r="C68">
        <v>0.11010968</v>
      </c>
      <c r="D68">
        <v>0.156497736</v>
      </c>
      <c r="E68">
        <v>0.10473482200000001</v>
      </c>
      <c r="F68">
        <v>0.11010968</v>
      </c>
    </row>
    <row r="69" spans="1:6" x14ac:dyDescent="0.45">
      <c r="A69">
        <v>1080</v>
      </c>
      <c r="B69">
        <v>6</v>
      </c>
      <c r="C69">
        <v>0.102644768</v>
      </c>
      <c r="D69">
        <v>0.12032308799999999</v>
      </c>
      <c r="E69">
        <v>9.9832086E-2</v>
      </c>
      <c r="F69">
        <v>0.102644768</v>
      </c>
    </row>
    <row r="70" spans="1:6" x14ac:dyDescent="0.45">
      <c r="A70">
        <v>1080</v>
      </c>
      <c r="B70">
        <v>4</v>
      </c>
      <c r="C70">
        <v>0.14309778000000001</v>
      </c>
      <c r="D70">
        <v>0.18584914699999999</v>
      </c>
      <c r="E70">
        <v>0.14496450899999999</v>
      </c>
      <c r="F70">
        <v>0.14309778000000001</v>
      </c>
    </row>
    <row r="71" spans="1:6" x14ac:dyDescent="0.45">
      <c r="A71">
        <v>1080</v>
      </c>
      <c r="B71">
        <v>5</v>
      </c>
      <c r="C71">
        <v>0.151780795</v>
      </c>
      <c r="D71">
        <v>0.12036108500000001</v>
      </c>
      <c r="E71">
        <v>9.8138702999999994E-2</v>
      </c>
      <c r="F71">
        <v>0.151780795</v>
      </c>
    </row>
    <row r="72" spans="1:6" x14ac:dyDescent="0.45">
      <c r="A72">
        <v>1080</v>
      </c>
      <c r="B72">
        <v>2</v>
      </c>
      <c r="C72">
        <v>0.113213327</v>
      </c>
      <c r="D72">
        <v>0.123206079</v>
      </c>
      <c r="E72">
        <v>0.109423174</v>
      </c>
      <c r="F72">
        <v>0.113213327</v>
      </c>
    </row>
    <row r="73" spans="1:6" x14ac:dyDescent="0.45">
      <c r="A73">
        <v>1080</v>
      </c>
      <c r="B73">
        <v>7</v>
      </c>
      <c r="C73">
        <v>0.144391405</v>
      </c>
      <c r="D73">
        <v>9.5881084000000005E-2</v>
      </c>
      <c r="E73">
        <v>0.100264562</v>
      </c>
      <c r="F73">
        <v>0.144391405</v>
      </c>
    </row>
    <row r="74" spans="1:6" x14ac:dyDescent="0.45">
      <c r="A74">
        <v>1090</v>
      </c>
      <c r="B74">
        <v>5</v>
      </c>
      <c r="C74">
        <v>0.12100111299999999</v>
      </c>
      <c r="D74">
        <v>0.15359144299999999</v>
      </c>
      <c r="E74">
        <v>0.15420436000000001</v>
      </c>
      <c r="F74">
        <v>0.12100111299999999</v>
      </c>
    </row>
    <row r="75" spans="1:6" x14ac:dyDescent="0.45">
      <c r="A75">
        <v>1090</v>
      </c>
      <c r="B75">
        <v>4</v>
      </c>
      <c r="C75">
        <v>0.176099909</v>
      </c>
      <c r="D75">
        <v>0.138340923</v>
      </c>
      <c r="E75">
        <v>0.143415983</v>
      </c>
      <c r="F75">
        <v>0.176099909</v>
      </c>
    </row>
    <row r="76" spans="1:6" x14ac:dyDescent="0.45">
      <c r="A76">
        <v>1090</v>
      </c>
      <c r="B76">
        <v>7</v>
      </c>
      <c r="C76">
        <v>0.18172549499999999</v>
      </c>
      <c r="D76">
        <v>0.19574897899999999</v>
      </c>
      <c r="E76">
        <v>0.117345804</v>
      </c>
      <c r="F76">
        <v>0.18172549499999999</v>
      </c>
    </row>
    <row r="77" spans="1:6" x14ac:dyDescent="0.45">
      <c r="A77">
        <v>1090</v>
      </c>
      <c r="B77">
        <v>2</v>
      </c>
      <c r="C77">
        <v>0.154827785</v>
      </c>
      <c r="D77">
        <v>0.12799940700000001</v>
      </c>
      <c r="E77">
        <v>0.17735923000000001</v>
      </c>
      <c r="F77">
        <v>0.154827785</v>
      </c>
    </row>
    <row r="78" spans="1:6" x14ac:dyDescent="0.45">
      <c r="A78">
        <v>1090</v>
      </c>
      <c r="B78">
        <v>8</v>
      </c>
      <c r="C78">
        <v>0.128121648</v>
      </c>
      <c r="D78">
        <v>0.22899114600000001</v>
      </c>
      <c r="E78">
        <v>0.117583351</v>
      </c>
      <c r="F78">
        <v>0.128121648</v>
      </c>
    </row>
    <row r="79" spans="1:6" x14ac:dyDescent="0.45">
      <c r="A79">
        <v>1090</v>
      </c>
      <c r="B79">
        <v>1</v>
      </c>
      <c r="C79">
        <v>0.112987131</v>
      </c>
      <c r="D79">
        <v>0.18853904699999999</v>
      </c>
      <c r="E79">
        <v>0.155901027</v>
      </c>
      <c r="F79">
        <v>0.112987131</v>
      </c>
    </row>
    <row r="80" spans="1:6" x14ac:dyDescent="0.45">
      <c r="A80">
        <v>1090</v>
      </c>
      <c r="B80">
        <v>6</v>
      </c>
      <c r="C80">
        <v>0.133595568</v>
      </c>
      <c r="D80">
        <v>0.100710149</v>
      </c>
      <c r="E80">
        <v>0.123118424</v>
      </c>
      <c r="F80">
        <v>0.133595568</v>
      </c>
    </row>
    <row r="81" spans="1:6" x14ac:dyDescent="0.45">
      <c r="A81">
        <v>1090</v>
      </c>
      <c r="B81">
        <v>3</v>
      </c>
      <c r="C81">
        <v>0.10963526699999999</v>
      </c>
      <c r="D81">
        <v>0.11293982800000001</v>
      </c>
      <c r="E81">
        <v>0.11529803700000001</v>
      </c>
      <c r="F81">
        <v>0.10963526699999999</v>
      </c>
    </row>
    <row r="82" spans="1:6" x14ac:dyDescent="0.45">
      <c r="A82">
        <v>1100</v>
      </c>
      <c r="B82">
        <v>1</v>
      </c>
      <c r="C82">
        <v>0.121339534</v>
      </c>
      <c r="D82">
        <v>0.24480629200000001</v>
      </c>
      <c r="E82">
        <v>0.136726558</v>
      </c>
      <c r="F82">
        <v>0.121339534</v>
      </c>
    </row>
    <row r="83" spans="1:6" x14ac:dyDescent="0.45">
      <c r="A83">
        <v>1100</v>
      </c>
      <c r="B83">
        <v>8</v>
      </c>
      <c r="C83">
        <v>0.15770723</v>
      </c>
      <c r="D83">
        <v>0.15799543299999999</v>
      </c>
      <c r="E83">
        <v>0.17497112100000001</v>
      </c>
      <c r="F83">
        <v>0.15770723</v>
      </c>
    </row>
    <row r="84" spans="1:6" x14ac:dyDescent="0.45">
      <c r="A84">
        <v>1100</v>
      </c>
      <c r="B84">
        <v>3</v>
      </c>
      <c r="C84">
        <v>0.14888868999999999</v>
      </c>
      <c r="D84">
        <v>0.12758148</v>
      </c>
      <c r="E84">
        <v>0.16100719999999999</v>
      </c>
      <c r="F84">
        <v>0.14888868999999999</v>
      </c>
    </row>
    <row r="85" spans="1:6" x14ac:dyDescent="0.45">
      <c r="A85">
        <v>1100</v>
      </c>
      <c r="B85">
        <v>6</v>
      </c>
      <c r="C85">
        <v>0.154916051</v>
      </c>
      <c r="D85">
        <v>0.11777167700000001</v>
      </c>
      <c r="E85">
        <v>0.20894696099999999</v>
      </c>
      <c r="F85">
        <v>0.154916051</v>
      </c>
    </row>
    <row r="86" spans="1:6" x14ac:dyDescent="0.45">
      <c r="A86">
        <v>1100</v>
      </c>
      <c r="B86">
        <v>4</v>
      </c>
      <c r="C86">
        <v>0.117082535</v>
      </c>
      <c r="D86">
        <v>0.20990819499999999</v>
      </c>
      <c r="E86">
        <v>0.23723466400000001</v>
      </c>
      <c r="F86">
        <v>0.117082535</v>
      </c>
    </row>
    <row r="87" spans="1:6" x14ac:dyDescent="0.45">
      <c r="A87">
        <v>1100</v>
      </c>
      <c r="B87">
        <v>5</v>
      </c>
      <c r="C87">
        <v>0.20430152500000001</v>
      </c>
      <c r="D87">
        <v>0.13032624500000001</v>
      </c>
      <c r="E87">
        <v>0.18995429999999999</v>
      </c>
      <c r="F87">
        <v>0.20430152500000001</v>
      </c>
    </row>
    <row r="88" spans="1:6" x14ac:dyDescent="0.45">
      <c r="A88">
        <v>1100</v>
      </c>
      <c r="B88">
        <v>2</v>
      </c>
      <c r="C88">
        <v>0.210591048</v>
      </c>
      <c r="D88">
        <v>0.13085571900000001</v>
      </c>
      <c r="E88">
        <v>0.12169445800000001</v>
      </c>
      <c r="F88">
        <v>0.210591048</v>
      </c>
    </row>
    <row r="89" spans="1:6" x14ac:dyDescent="0.45">
      <c r="A89">
        <v>1100</v>
      </c>
      <c r="B89">
        <v>7</v>
      </c>
      <c r="C89">
        <v>0.13715311599999999</v>
      </c>
      <c r="D89">
        <v>0.140771655</v>
      </c>
      <c r="E89">
        <v>0.119611944</v>
      </c>
      <c r="F89">
        <v>0.13715311599999999</v>
      </c>
    </row>
    <row r="90" spans="1:6" x14ac:dyDescent="0.45">
      <c r="A90">
        <v>1110</v>
      </c>
      <c r="B90">
        <v>5</v>
      </c>
      <c r="C90">
        <v>0.11198116499999999</v>
      </c>
      <c r="D90">
        <v>0.110268371</v>
      </c>
      <c r="E90">
        <v>0.133182682</v>
      </c>
      <c r="F90">
        <v>0.11198116499999999</v>
      </c>
    </row>
    <row r="91" spans="1:6" x14ac:dyDescent="0.45">
      <c r="A91">
        <v>1110</v>
      </c>
      <c r="B91">
        <v>4</v>
      </c>
      <c r="C91">
        <v>0.120420772</v>
      </c>
      <c r="D91">
        <v>0.166848262</v>
      </c>
      <c r="E91">
        <v>0.16202308300000001</v>
      </c>
      <c r="F91">
        <v>0.120420772</v>
      </c>
    </row>
    <row r="92" spans="1:6" x14ac:dyDescent="0.45">
      <c r="A92">
        <v>1110</v>
      </c>
      <c r="B92">
        <v>7</v>
      </c>
      <c r="C92">
        <v>0.119905391</v>
      </c>
      <c r="D92">
        <v>0.113420933</v>
      </c>
      <c r="E92">
        <v>0.126100252</v>
      </c>
      <c r="F92">
        <v>0.119905391</v>
      </c>
    </row>
    <row r="93" spans="1:6" x14ac:dyDescent="0.45">
      <c r="A93">
        <v>1110</v>
      </c>
      <c r="B93">
        <v>2</v>
      </c>
      <c r="C93">
        <v>0.104826161</v>
      </c>
      <c r="D93">
        <v>0.23986269099999999</v>
      </c>
      <c r="E93">
        <v>0.11406495799999999</v>
      </c>
      <c r="F93">
        <v>0.104826161</v>
      </c>
    </row>
    <row r="94" spans="1:6" x14ac:dyDescent="0.45">
      <c r="A94">
        <v>1110</v>
      </c>
      <c r="B94">
        <v>8</v>
      </c>
      <c r="C94">
        <v>0.16608511500000001</v>
      </c>
      <c r="D94">
        <v>0.26200241099999999</v>
      </c>
      <c r="E94">
        <v>0.12787948699999999</v>
      </c>
      <c r="F94">
        <v>0.16608511500000001</v>
      </c>
    </row>
    <row r="95" spans="1:6" x14ac:dyDescent="0.45">
      <c r="A95">
        <v>1110</v>
      </c>
      <c r="B95">
        <v>1</v>
      </c>
      <c r="C95">
        <v>0.119425452</v>
      </c>
      <c r="D95">
        <v>0.132507867</v>
      </c>
      <c r="E95">
        <v>0.118679987</v>
      </c>
      <c r="F95">
        <v>0.119425452</v>
      </c>
    </row>
    <row r="96" spans="1:6" x14ac:dyDescent="0.45">
      <c r="A96">
        <v>1110</v>
      </c>
      <c r="B96">
        <v>6</v>
      </c>
      <c r="C96">
        <v>0.138613922</v>
      </c>
      <c r="D96">
        <v>0.13534259900000001</v>
      </c>
      <c r="E96">
        <v>4.5594986999999997E-2</v>
      </c>
      <c r="F96">
        <v>0.138613922</v>
      </c>
    </row>
    <row r="97" spans="1:6" x14ac:dyDescent="0.45">
      <c r="A97">
        <v>1110</v>
      </c>
      <c r="B97">
        <v>3</v>
      </c>
      <c r="C97">
        <v>0.12794650799999999</v>
      </c>
      <c r="D97">
        <v>0.10345620899999999</v>
      </c>
      <c r="E97">
        <v>0.10389474999999999</v>
      </c>
      <c r="F97">
        <v>0.12794650799999999</v>
      </c>
    </row>
    <row r="98" spans="1:6" x14ac:dyDescent="0.45">
      <c r="A98">
        <v>1120</v>
      </c>
      <c r="B98">
        <v>1</v>
      </c>
      <c r="C98">
        <v>0.127662005</v>
      </c>
      <c r="D98">
        <v>0.205439171</v>
      </c>
      <c r="E98">
        <v>0.16728035299999999</v>
      </c>
      <c r="F98">
        <v>0.127662005</v>
      </c>
    </row>
    <row r="99" spans="1:6" x14ac:dyDescent="0.45">
      <c r="A99">
        <v>1120</v>
      </c>
      <c r="B99">
        <v>8</v>
      </c>
      <c r="C99">
        <v>0.160467903</v>
      </c>
      <c r="D99">
        <v>0.17270036699999999</v>
      </c>
      <c r="E99">
        <v>0.210313694</v>
      </c>
      <c r="F99">
        <v>0.160467903</v>
      </c>
    </row>
    <row r="100" spans="1:6" x14ac:dyDescent="0.45">
      <c r="A100">
        <v>1120</v>
      </c>
      <c r="B100">
        <v>3</v>
      </c>
      <c r="C100">
        <v>0.19640587500000001</v>
      </c>
      <c r="D100">
        <v>0.115591928</v>
      </c>
      <c r="E100">
        <v>0.153313269</v>
      </c>
      <c r="F100">
        <v>0.19640587500000001</v>
      </c>
    </row>
    <row r="101" spans="1:6" x14ac:dyDescent="0.45">
      <c r="A101">
        <v>1120</v>
      </c>
      <c r="B101">
        <v>6</v>
      </c>
      <c r="C101">
        <v>0.17885203799999999</v>
      </c>
      <c r="D101">
        <v>0.15728220000000001</v>
      </c>
      <c r="E101">
        <v>0.17592934399999999</v>
      </c>
      <c r="F101">
        <v>0.17885203799999999</v>
      </c>
    </row>
    <row r="102" spans="1:6" x14ac:dyDescent="0.45">
      <c r="A102">
        <v>1120</v>
      </c>
      <c r="B102">
        <v>4</v>
      </c>
      <c r="C102">
        <v>0.18048120400000001</v>
      </c>
      <c r="D102">
        <v>0.15902471600000001</v>
      </c>
      <c r="E102">
        <v>0.20873386399999999</v>
      </c>
      <c r="F102">
        <v>0.18048120400000001</v>
      </c>
    </row>
    <row r="103" spans="1:6" x14ac:dyDescent="0.45">
      <c r="A103">
        <v>1120</v>
      </c>
      <c r="B103">
        <v>5</v>
      </c>
      <c r="C103">
        <v>0.13096260800000001</v>
      </c>
      <c r="D103">
        <v>0.178716299</v>
      </c>
      <c r="E103">
        <v>0.14910394900000001</v>
      </c>
      <c r="F103">
        <v>0.13096260800000001</v>
      </c>
    </row>
    <row r="104" spans="1:6" x14ac:dyDescent="0.45">
      <c r="A104">
        <v>1120</v>
      </c>
      <c r="B104">
        <v>2</v>
      </c>
      <c r="C104">
        <v>0.188604259</v>
      </c>
      <c r="D104">
        <v>0.185123186</v>
      </c>
      <c r="E104">
        <v>0.15945000100000001</v>
      </c>
      <c r="F104">
        <v>0.188604259</v>
      </c>
    </row>
    <row r="105" spans="1:6" x14ac:dyDescent="0.45">
      <c r="A105">
        <v>1120</v>
      </c>
      <c r="B105">
        <v>7</v>
      </c>
      <c r="C105">
        <v>0.17809691</v>
      </c>
      <c r="D105">
        <v>0.15779141599999999</v>
      </c>
      <c r="E105">
        <v>0.124070024</v>
      </c>
      <c r="F105">
        <v>0.17809691</v>
      </c>
    </row>
    <row r="106" spans="1:6" x14ac:dyDescent="0.45">
      <c r="A106">
        <v>1130</v>
      </c>
      <c r="B106">
        <v>5</v>
      </c>
      <c r="C106">
        <v>0.14984347100000001</v>
      </c>
      <c r="D106">
        <v>0.25062436399999999</v>
      </c>
      <c r="E106">
        <v>0.201093678</v>
      </c>
      <c r="F106">
        <v>0.14984347100000001</v>
      </c>
    </row>
    <row r="107" spans="1:6" x14ac:dyDescent="0.45">
      <c r="A107">
        <v>1130</v>
      </c>
      <c r="B107">
        <v>4</v>
      </c>
      <c r="C107">
        <v>0.18570990900000001</v>
      </c>
      <c r="D107">
        <v>0.26704882800000002</v>
      </c>
      <c r="E107">
        <v>0.28927839500000002</v>
      </c>
      <c r="F107">
        <v>0.18570990900000001</v>
      </c>
    </row>
    <row r="108" spans="1:6" x14ac:dyDescent="0.45">
      <c r="A108">
        <v>1130</v>
      </c>
      <c r="B108">
        <v>7</v>
      </c>
      <c r="C108">
        <v>0.17920227799999999</v>
      </c>
      <c r="D108">
        <v>0.181813642</v>
      </c>
      <c r="E108">
        <v>0.14860691200000001</v>
      </c>
      <c r="F108">
        <v>0.17920227799999999</v>
      </c>
    </row>
    <row r="109" spans="1:6" x14ac:dyDescent="0.45">
      <c r="A109">
        <v>1130</v>
      </c>
      <c r="B109">
        <v>2</v>
      </c>
      <c r="C109">
        <v>0.16744003599999999</v>
      </c>
      <c r="D109">
        <v>0.17007032699999999</v>
      </c>
      <c r="E109">
        <v>0.16657617</v>
      </c>
      <c r="F109">
        <v>0.16744003599999999</v>
      </c>
    </row>
    <row r="110" spans="1:6" x14ac:dyDescent="0.45">
      <c r="A110">
        <v>1130</v>
      </c>
      <c r="B110">
        <v>8</v>
      </c>
      <c r="C110">
        <v>0.16138623699999999</v>
      </c>
      <c r="D110">
        <v>0.20240101499999999</v>
      </c>
      <c r="E110">
        <v>0.156957288</v>
      </c>
      <c r="F110">
        <v>0.16138623699999999</v>
      </c>
    </row>
    <row r="111" spans="1:6" x14ac:dyDescent="0.45">
      <c r="A111">
        <v>1130</v>
      </c>
      <c r="B111">
        <v>1</v>
      </c>
      <c r="C111">
        <v>0.1803189</v>
      </c>
      <c r="D111">
        <v>0.174081188</v>
      </c>
      <c r="E111">
        <v>0.172236272</v>
      </c>
      <c r="F111">
        <v>0.1803189</v>
      </c>
    </row>
    <row r="112" spans="1:6" x14ac:dyDescent="0.45">
      <c r="A112">
        <v>1130</v>
      </c>
      <c r="B112">
        <v>6</v>
      </c>
      <c r="C112">
        <v>0.17672713500000001</v>
      </c>
      <c r="D112">
        <v>0.25952140899999998</v>
      </c>
      <c r="E112">
        <v>0.14971322300000001</v>
      </c>
      <c r="F112">
        <v>0.17672713500000001</v>
      </c>
    </row>
    <row r="113" spans="1:6" x14ac:dyDescent="0.45">
      <c r="A113">
        <v>1130</v>
      </c>
      <c r="B113">
        <v>3</v>
      </c>
      <c r="C113">
        <v>0.17670857800000001</v>
      </c>
      <c r="D113">
        <v>0.139059556</v>
      </c>
      <c r="E113">
        <v>0.272804202</v>
      </c>
      <c r="F113">
        <v>0.17670857800000001</v>
      </c>
    </row>
    <row r="114" spans="1:6" x14ac:dyDescent="0.45">
      <c r="A114">
        <v>1140</v>
      </c>
      <c r="B114">
        <v>1</v>
      </c>
      <c r="C114">
        <v>0.16234554500000001</v>
      </c>
      <c r="D114">
        <v>0.21471304599999999</v>
      </c>
      <c r="E114">
        <v>0.103693833</v>
      </c>
      <c r="F114">
        <v>0.16234554500000001</v>
      </c>
    </row>
    <row r="115" spans="1:6" x14ac:dyDescent="0.45">
      <c r="A115">
        <v>1140</v>
      </c>
      <c r="B115">
        <v>8</v>
      </c>
      <c r="C115">
        <v>0.21589702799999999</v>
      </c>
      <c r="D115">
        <v>0.219596823</v>
      </c>
      <c r="E115">
        <v>0.21041009799999999</v>
      </c>
      <c r="F115">
        <v>0.21589702799999999</v>
      </c>
    </row>
    <row r="116" spans="1:6" x14ac:dyDescent="0.45">
      <c r="A116">
        <v>1140</v>
      </c>
      <c r="B116">
        <v>3</v>
      </c>
      <c r="C116">
        <v>0.15436335400000001</v>
      </c>
      <c r="D116">
        <v>0.118812111</v>
      </c>
      <c r="E116">
        <v>0.22540153600000001</v>
      </c>
      <c r="F116">
        <v>0.15436335400000001</v>
      </c>
    </row>
    <row r="117" spans="1:6" x14ac:dyDescent="0.45">
      <c r="A117">
        <v>1140</v>
      </c>
      <c r="B117">
        <v>6</v>
      </c>
      <c r="C117">
        <v>0.116663635</v>
      </c>
      <c r="D117">
        <v>0.155106613</v>
      </c>
      <c r="E117">
        <v>0.28460418900000001</v>
      </c>
      <c r="F117">
        <v>0.116663635</v>
      </c>
    </row>
    <row r="118" spans="1:6" x14ac:dyDescent="0.45">
      <c r="A118">
        <v>1140</v>
      </c>
      <c r="B118">
        <v>4</v>
      </c>
      <c r="C118">
        <v>0.15323434999999999</v>
      </c>
      <c r="D118">
        <v>0.12657864599999999</v>
      </c>
      <c r="E118">
        <v>0.15262778599999999</v>
      </c>
      <c r="F118">
        <v>0.15323434999999999</v>
      </c>
    </row>
    <row r="119" spans="1:6" x14ac:dyDescent="0.45">
      <c r="A119">
        <v>1140</v>
      </c>
      <c r="B119">
        <v>5</v>
      </c>
      <c r="C119">
        <v>0.13872664000000001</v>
      </c>
      <c r="D119">
        <v>0.123871787</v>
      </c>
      <c r="E119">
        <v>0.14611284799999999</v>
      </c>
      <c r="F119">
        <v>0.13872664000000001</v>
      </c>
    </row>
    <row r="120" spans="1:6" x14ac:dyDescent="0.45">
      <c r="A120">
        <v>1140</v>
      </c>
      <c r="B120">
        <v>2</v>
      </c>
      <c r="C120">
        <v>0.17570100599999999</v>
      </c>
      <c r="D120">
        <v>0.120235383</v>
      </c>
      <c r="E120">
        <v>0.15604378699999999</v>
      </c>
      <c r="F120">
        <v>0.17570100599999999</v>
      </c>
    </row>
    <row r="121" spans="1:6" x14ac:dyDescent="0.45">
      <c r="A121">
        <v>1140</v>
      </c>
      <c r="B121">
        <v>7</v>
      </c>
      <c r="C121">
        <v>0.34200353700000002</v>
      </c>
      <c r="D121">
        <v>0.10193537699999999</v>
      </c>
      <c r="E121">
        <v>0.16862537699999999</v>
      </c>
      <c r="F121">
        <v>0.34200353700000002</v>
      </c>
    </row>
    <row r="122" spans="1:6" x14ac:dyDescent="0.45">
      <c r="A122">
        <v>1150</v>
      </c>
      <c r="B122">
        <v>5</v>
      </c>
      <c r="C122">
        <v>0.22031842900000001</v>
      </c>
      <c r="D122">
        <v>0.184131671</v>
      </c>
      <c r="E122">
        <v>0.152566067</v>
      </c>
      <c r="F122">
        <v>0.22031842900000001</v>
      </c>
    </row>
    <row r="123" spans="1:6" x14ac:dyDescent="0.45">
      <c r="A123">
        <v>1150</v>
      </c>
      <c r="B123">
        <v>4</v>
      </c>
      <c r="C123">
        <v>0.14601557600000001</v>
      </c>
      <c r="D123">
        <v>0.185583626</v>
      </c>
      <c r="E123">
        <v>0.17802098899999999</v>
      </c>
      <c r="F123">
        <v>0.14601557600000001</v>
      </c>
    </row>
    <row r="124" spans="1:6" x14ac:dyDescent="0.45">
      <c r="A124">
        <v>1150</v>
      </c>
      <c r="B124">
        <v>7</v>
      </c>
      <c r="C124">
        <v>0.12537071599999999</v>
      </c>
      <c r="D124">
        <v>0.14834515100000001</v>
      </c>
      <c r="E124">
        <v>0.15054425900000001</v>
      </c>
      <c r="F124">
        <v>0.12537071599999999</v>
      </c>
    </row>
    <row r="125" spans="1:6" x14ac:dyDescent="0.45">
      <c r="A125">
        <v>1150</v>
      </c>
      <c r="B125">
        <v>2</v>
      </c>
      <c r="C125">
        <v>0.41058489799999998</v>
      </c>
      <c r="D125">
        <v>0.15403867700000001</v>
      </c>
      <c r="E125">
        <v>0.14009363999999999</v>
      </c>
      <c r="F125">
        <v>0.41058489799999998</v>
      </c>
    </row>
    <row r="126" spans="1:6" x14ac:dyDescent="0.45">
      <c r="A126">
        <v>1150</v>
      </c>
      <c r="B126">
        <v>8</v>
      </c>
      <c r="C126">
        <v>0.184036065</v>
      </c>
      <c r="D126">
        <v>0.15026129499999999</v>
      </c>
      <c r="E126">
        <v>0.25645401699999998</v>
      </c>
      <c r="F126">
        <v>0.184036065</v>
      </c>
    </row>
    <row r="127" spans="1:6" x14ac:dyDescent="0.45">
      <c r="A127">
        <v>1150</v>
      </c>
      <c r="B127">
        <v>1</v>
      </c>
      <c r="C127">
        <v>0.17463963699999999</v>
      </c>
      <c r="D127">
        <v>0.15615459200000001</v>
      </c>
      <c r="E127">
        <v>0.14036111000000001</v>
      </c>
      <c r="F127">
        <v>0.17463963699999999</v>
      </c>
    </row>
    <row r="128" spans="1:6" x14ac:dyDescent="0.45">
      <c r="A128">
        <v>1150</v>
      </c>
      <c r="B128">
        <v>6</v>
      </c>
      <c r="C128">
        <v>0.13050239</v>
      </c>
      <c r="D128">
        <v>0.164843985</v>
      </c>
      <c r="E128">
        <v>0.126561285</v>
      </c>
      <c r="F128">
        <v>0.13050239</v>
      </c>
    </row>
    <row r="129" spans="1:6" x14ac:dyDescent="0.45">
      <c r="A129">
        <v>1150</v>
      </c>
      <c r="B129">
        <v>3</v>
      </c>
      <c r="C129">
        <v>0.122740351</v>
      </c>
      <c r="D129">
        <v>0.167856687</v>
      </c>
      <c r="E129">
        <v>0.15275387500000001</v>
      </c>
      <c r="F129">
        <v>0.122740351</v>
      </c>
    </row>
    <row r="130" spans="1:6" x14ac:dyDescent="0.45">
      <c r="A130">
        <v>1160</v>
      </c>
      <c r="B130">
        <v>5</v>
      </c>
      <c r="C130">
        <v>0.32402299099999998</v>
      </c>
      <c r="D130">
        <v>0.123298355</v>
      </c>
      <c r="E130">
        <v>0.13083477299999999</v>
      </c>
      <c r="F130">
        <v>0.32402299099999998</v>
      </c>
    </row>
    <row r="131" spans="1:6" x14ac:dyDescent="0.45">
      <c r="A131">
        <v>1160</v>
      </c>
      <c r="B131">
        <v>4</v>
      </c>
      <c r="C131">
        <v>0.185306727</v>
      </c>
      <c r="D131">
        <v>0.23292574999999999</v>
      </c>
      <c r="E131">
        <v>0.124336183</v>
      </c>
      <c r="F131">
        <v>0.185306727</v>
      </c>
    </row>
    <row r="132" spans="1:6" x14ac:dyDescent="0.45">
      <c r="A132">
        <v>1160</v>
      </c>
      <c r="B132">
        <v>7</v>
      </c>
      <c r="C132">
        <v>0.119675029</v>
      </c>
      <c r="D132">
        <v>0.139866776</v>
      </c>
      <c r="E132">
        <v>0.13868275699999999</v>
      </c>
      <c r="F132">
        <v>0.119675029</v>
      </c>
    </row>
    <row r="133" spans="1:6" x14ac:dyDescent="0.45">
      <c r="A133">
        <v>1160</v>
      </c>
      <c r="B133">
        <v>2</v>
      </c>
      <c r="C133">
        <v>0.129775533</v>
      </c>
      <c r="D133">
        <v>0.245523829</v>
      </c>
      <c r="E133">
        <v>0.17950796199999999</v>
      </c>
      <c r="F133">
        <v>0.129775533</v>
      </c>
    </row>
    <row r="134" spans="1:6" x14ac:dyDescent="0.45">
      <c r="A134">
        <v>1160</v>
      </c>
      <c r="B134">
        <v>8</v>
      </c>
      <c r="C134">
        <v>0.34118164600000001</v>
      </c>
      <c r="D134">
        <v>0.139984891</v>
      </c>
      <c r="E134">
        <v>0.11826215800000001</v>
      </c>
      <c r="F134">
        <v>0.34118164600000001</v>
      </c>
    </row>
    <row r="135" spans="1:6" x14ac:dyDescent="0.45">
      <c r="A135">
        <v>1160</v>
      </c>
      <c r="B135">
        <v>1</v>
      </c>
      <c r="C135">
        <v>0.123130553</v>
      </c>
      <c r="D135">
        <v>0.123258062</v>
      </c>
      <c r="E135">
        <v>0.129159726</v>
      </c>
      <c r="F135">
        <v>0.123130553</v>
      </c>
    </row>
    <row r="136" spans="1:6" x14ac:dyDescent="0.45">
      <c r="A136">
        <v>1160</v>
      </c>
      <c r="B136">
        <v>6</v>
      </c>
      <c r="C136">
        <v>0.123941546</v>
      </c>
      <c r="D136">
        <v>0.13839133200000001</v>
      </c>
      <c r="E136">
        <v>0.10950945099999999</v>
      </c>
      <c r="F136">
        <v>0.123941546</v>
      </c>
    </row>
    <row r="137" spans="1:6" x14ac:dyDescent="0.45">
      <c r="A137">
        <v>1160</v>
      </c>
      <c r="B137">
        <v>3</v>
      </c>
      <c r="C137">
        <v>0.114710275</v>
      </c>
      <c r="D137">
        <v>0.14116817600000001</v>
      </c>
      <c r="E137">
        <v>0.16725489299999999</v>
      </c>
      <c r="F137">
        <v>0.114710275</v>
      </c>
    </row>
    <row r="138" spans="1:6" x14ac:dyDescent="0.45">
      <c r="A138">
        <v>1170</v>
      </c>
      <c r="B138">
        <v>1</v>
      </c>
      <c r="C138">
        <v>0.18554909</v>
      </c>
      <c r="D138">
        <v>0.19831330999999999</v>
      </c>
      <c r="E138">
        <v>0.187844293</v>
      </c>
      <c r="F138">
        <v>0.18554909</v>
      </c>
    </row>
    <row r="139" spans="1:6" x14ac:dyDescent="0.45">
      <c r="A139">
        <v>1170</v>
      </c>
      <c r="B139">
        <v>8</v>
      </c>
      <c r="C139">
        <v>0.12519255700000001</v>
      </c>
      <c r="D139">
        <v>0.18912723100000001</v>
      </c>
      <c r="E139">
        <v>0.23442321999999999</v>
      </c>
      <c r="F139">
        <v>0.12519255700000001</v>
      </c>
    </row>
    <row r="140" spans="1:6" x14ac:dyDescent="0.45">
      <c r="A140">
        <v>1170</v>
      </c>
      <c r="B140">
        <v>3</v>
      </c>
      <c r="C140">
        <v>0.143875687</v>
      </c>
      <c r="D140">
        <v>0.19501528700000001</v>
      </c>
      <c r="E140">
        <v>0.14937840599999999</v>
      </c>
      <c r="F140">
        <v>0.143875687</v>
      </c>
    </row>
    <row r="141" spans="1:6" x14ac:dyDescent="0.45">
      <c r="A141">
        <v>1170</v>
      </c>
      <c r="B141">
        <v>6</v>
      </c>
      <c r="C141">
        <v>0.120760361</v>
      </c>
      <c r="D141">
        <v>0.15370667099999999</v>
      </c>
      <c r="E141">
        <v>0.22115913000000001</v>
      </c>
      <c r="F141">
        <v>0.120760361</v>
      </c>
    </row>
    <row r="142" spans="1:6" x14ac:dyDescent="0.45">
      <c r="A142">
        <v>1170</v>
      </c>
      <c r="B142">
        <v>4</v>
      </c>
      <c r="C142">
        <v>0.20880035899999999</v>
      </c>
      <c r="D142">
        <v>0.17053905999999999</v>
      </c>
      <c r="E142">
        <v>0.20423587700000001</v>
      </c>
      <c r="F142">
        <v>0.20880035899999999</v>
      </c>
    </row>
    <row r="143" spans="1:6" x14ac:dyDescent="0.45">
      <c r="A143">
        <v>1170</v>
      </c>
      <c r="B143">
        <v>5</v>
      </c>
      <c r="C143">
        <v>0.139278755</v>
      </c>
      <c r="D143">
        <v>0.133979927</v>
      </c>
      <c r="E143">
        <v>0.17549809799999999</v>
      </c>
      <c r="F143">
        <v>0.139278755</v>
      </c>
    </row>
    <row r="144" spans="1:6" x14ac:dyDescent="0.45">
      <c r="A144">
        <v>1170</v>
      </c>
      <c r="B144">
        <v>2</v>
      </c>
      <c r="C144">
        <v>0.142115784</v>
      </c>
      <c r="D144">
        <v>0.157071498</v>
      </c>
      <c r="E144">
        <v>0.19572466599999999</v>
      </c>
      <c r="F144">
        <v>0.142115784</v>
      </c>
    </row>
    <row r="145" spans="1:6" x14ac:dyDescent="0.45">
      <c r="A145">
        <v>1170</v>
      </c>
      <c r="B145">
        <v>7</v>
      </c>
      <c r="C145">
        <v>0.17492440000000001</v>
      </c>
      <c r="D145">
        <v>0.118857384</v>
      </c>
      <c r="E145">
        <v>0.119489805</v>
      </c>
      <c r="F145">
        <v>0.17492440000000001</v>
      </c>
    </row>
    <row r="146" spans="1:6" x14ac:dyDescent="0.45">
      <c r="A146">
        <v>1180</v>
      </c>
      <c r="B146">
        <v>5</v>
      </c>
      <c r="C146">
        <v>0.16585973200000001</v>
      </c>
      <c r="D146">
        <v>0.112338568</v>
      </c>
      <c r="E146">
        <v>0.13574189</v>
      </c>
      <c r="F146">
        <v>0.16585973200000001</v>
      </c>
    </row>
    <row r="147" spans="1:6" x14ac:dyDescent="0.45">
      <c r="A147">
        <v>1180</v>
      </c>
      <c r="B147">
        <v>4</v>
      </c>
      <c r="C147">
        <v>0.12697102499999999</v>
      </c>
      <c r="D147">
        <v>0.17151243499999999</v>
      </c>
      <c r="E147">
        <v>0.17927941999999999</v>
      </c>
      <c r="F147">
        <v>0.12697102499999999</v>
      </c>
    </row>
    <row r="148" spans="1:6" x14ac:dyDescent="0.45">
      <c r="A148">
        <v>1180</v>
      </c>
      <c r="B148">
        <v>7</v>
      </c>
      <c r="C148">
        <v>0.18890400099999999</v>
      </c>
      <c r="D148">
        <v>0.18464989500000001</v>
      </c>
      <c r="E148">
        <v>0.13749740999999999</v>
      </c>
      <c r="F148">
        <v>0.18890400099999999</v>
      </c>
    </row>
    <row r="149" spans="1:6" x14ac:dyDescent="0.45">
      <c r="A149">
        <v>1180</v>
      </c>
      <c r="B149">
        <v>2</v>
      </c>
      <c r="C149">
        <v>0.15110685900000001</v>
      </c>
      <c r="D149">
        <v>0.18562772299999999</v>
      </c>
      <c r="E149">
        <v>0.12848501700000001</v>
      </c>
      <c r="F149">
        <v>0.15110685900000001</v>
      </c>
    </row>
    <row r="150" spans="1:6" x14ac:dyDescent="0.45">
      <c r="A150">
        <v>1180</v>
      </c>
      <c r="B150">
        <v>8</v>
      </c>
      <c r="C150">
        <v>0.14911238800000001</v>
      </c>
      <c r="D150">
        <v>0.18015452800000001</v>
      </c>
      <c r="E150">
        <v>0.13089406200000001</v>
      </c>
      <c r="F150">
        <v>0.14911238800000001</v>
      </c>
    </row>
    <row r="151" spans="1:6" x14ac:dyDescent="0.45">
      <c r="A151">
        <v>1180</v>
      </c>
      <c r="B151">
        <v>1</v>
      </c>
      <c r="C151">
        <v>0.175598907</v>
      </c>
      <c r="D151">
        <v>0.18511445400000001</v>
      </c>
      <c r="E151">
        <v>0.14235911700000001</v>
      </c>
      <c r="F151">
        <v>0.175598907</v>
      </c>
    </row>
    <row r="152" spans="1:6" x14ac:dyDescent="0.45">
      <c r="A152">
        <v>1180</v>
      </c>
      <c r="B152">
        <v>6</v>
      </c>
      <c r="C152">
        <v>0.181019651</v>
      </c>
      <c r="D152">
        <v>0.183052095</v>
      </c>
      <c r="E152">
        <v>0.15081884500000001</v>
      </c>
      <c r="F152">
        <v>0.181019651</v>
      </c>
    </row>
    <row r="153" spans="1:6" x14ac:dyDescent="0.45">
      <c r="A153">
        <v>1180</v>
      </c>
      <c r="B153">
        <v>3</v>
      </c>
      <c r="C153">
        <v>0.16365877700000001</v>
      </c>
      <c r="D153">
        <v>0.16268845000000001</v>
      </c>
      <c r="E153">
        <v>0.16179875099999999</v>
      </c>
      <c r="F153">
        <v>0.16365877700000001</v>
      </c>
    </row>
    <row r="154" spans="1:6" x14ac:dyDescent="0.45">
      <c r="A154">
        <v>1190</v>
      </c>
      <c r="B154">
        <v>1</v>
      </c>
      <c r="C154">
        <v>0.151326658</v>
      </c>
      <c r="D154">
        <v>0.239500149</v>
      </c>
      <c r="E154">
        <v>0.15691054099999999</v>
      </c>
      <c r="F154">
        <v>0.151326658</v>
      </c>
    </row>
    <row r="155" spans="1:6" x14ac:dyDescent="0.45">
      <c r="A155">
        <v>1190</v>
      </c>
      <c r="B155">
        <v>8</v>
      </c>
      <c r="C155">
        <v>0.118348645</v>
      </c>
      <c r="D155">
        <v>0.193447751</v>
      </c>
      <c r="E155">
        <v>0.16535730000000001</v>
      </c>
      <c r="F155">
        <v>0.118348645</v>
      </c>
    </row>
    <row r="156" spans="1:6" x14ac:dyDescent="0.45">
      <c r="A156">
        <v>1190</v>
      </c>
      <c r="B156">
        <v>3</v>
      </c>
      <c r="C156">
        <v>0.35394397700000002</v>
      </c>
      <c r="D156">
        <v>0.162153561</v>
      </c>
      <c r="E156">
        <v>8.8186004999999998E-2</v>
      </c>
      <c r="F156">
        <v>0.35394397700000002</v>
      </c>
    </row>
    <row r="157" spans="1:6" x14ac:dyDescent="0.45">
      <c r="A157">
        <v>1190</v>
      </c>
      <c r="B157">
        <v>6</v>
      </c>
      <c r="C157">
        <v>0.30707571500000003</v>
      </c>
      <c r="D157">
        <v>0.13178752099999999</v>
      </c>
      <c r="E157">
        <v>0.155447053</v>
      </c>
      <c r="F157">
        <v>0.30707571500000003</v>
      </c>
    </row>
    <row r="158" spans="1:6" x14ac:dyDescent="0.45">
      <c r="A158">
        <v>1190</v>
      </c>
      <c r="B158">
        <v>4</v>
      </c>
      <c r="C158">
        <v>0.19360371200000001</v>
      </c>
      <c r="D158">
        <v>0.15989699099999999</v>
      </c>
      <c r="E158">
        <v>6.6001968999999994E-2</v>
      </c>
      <c r="F158">
        <v>0.19360371200000001</v>
      </c>
    </row>
    <row r="159" spans="1:6" x14ac:dyDescent="0.45">
      <c r="A159">
        <v>1190</v>
      </c>
      <c r="B159">
        <v>5</v>
      </c>
      <c r="C159">
        <v>8.3654092999999999E-2</v>
      </c>
      <c r="D159">
        <v>9.1515007999999995E-2</v>
      </c>
      <c r="E159">
        <v>0.198337291</v>
      </c>
      <c r="F159">
        <v>8.3654092999999999E-2</v>
      </c>
    </row>
    <row r="160" spans="1:6" x14ac:dyDescent="0.45">
      <c r="A160">
        <v>1190</v>
      </c>
      <c r="B160">
        <v>2</v>
      </c>
      <c r="C160">
        <v>0.10765915299999999</v>
      </c>
      <c r="D160">
        <v>0.13963698599999999</v>
      </c>
      <c r="E160">
        <v>0.14882784800000001</v>
      </c>
      <c r="F160">
        <v>0.10765915299999999</v>
      </c>
    </row>
    <row r="161" spans="1:6" x14ac:dyDescent="0.45">
      <c r="A161">
        <v>1190</v>
      </c>
      <c r="B161">
        <v>7</v>
      </c>
      <c r="C161">
        <v>0.23364486500000001</v>
      </c>
      <c r="D161">
        <v>4.8318568999999999E-2</v>
      </c>
      <c r="E161">
        <v>4.2302482000000002E-2</v>
      </c>
      <c r="F161">
        <v>0.23364486500000001</v>
      </c>
    </row>
    <row r="162" spans="1:6" x14ac:dyDescent="0.45">
      <c r="A162">
        <v>1200</v>
      </c>
      <c r="B162">
        <v>5</v>
      </c>
      <c r="C162">
        <v>8.2868615000000007E-2</v>
      </c>
      <c r="D162">
        <v>0.16326950000000001</v>
      </c>
      <c r="E162">
        <v>0.16790514600000001</v>
      </c>
      <c r="F162">
        <v>8.2868615000000007E-2</v>
      </c>
    </row>
    <row r="163" spans="1:6" x14ac:dyDescent="0.45">
      <c r="A163">
        <v>1200</v>
      </c>
      <c r="B163">
        <v>4</v>
      </c>
      <c r="C163">
        <v>0.118556254</v>
      </c>
      <c r="D163">
        <v>9.5884022999999999E-2</v>
      </c>
      <c r="E163">
        <v>0.12830733799999999</v>
      </c>
      <c r="F163">
        <v>0.118556254</v>
      </c>
    </row>
    <row r="164" spans="1:6" x14ac:dyDescent="0.45">
      <c r="A164">
        <v>1200</v>
      </c>
      <c r="B164">
        <v>7</v>
      </c>
      <c r="C164">
        <v>0.119407737</v>
      </c>
      <c r="D164">
        <v>0.103996507</v>
      </c>
      <c r="E164">
        <v>7.3992114999999997E-2</v>
      </c>
      <c r="F164">
        <v>0.119407737</v>
      </c>
    </row>
    <row r="165" spans="1:6" x14ac:dyDescent="0.45">
      <c r="A165">
        <v>1200</v>
      </c>
      <c r="B165">
        <v>2</v>
      </c>
      <c r="C165">
        <v>0.15464301599999999</v>
      </c>
      <c r="D165">
        <v>0.14275934100000001</v>
      </c>
      <c r="E165">
        <v>0.14985394599999999</v>
      </c>
      <c r="F165">
        <v>0.15464301599999999</v>
      </c>
    </row>
    <row r="166" spans="1:6" x14ac:dyDescent="0.45">
      <c r="A166">
        <v>1200</v>
      </c>
      <c r="B166">
        <v>8</v>
      </c>
      <c r="C166">
        <v>0.13322737300000001</v>
      </c>
      <c r="D166">
        <v>0.15738252699999999</v>
      </c>
      <c r="E166">
        <v>0.16135535600000001</v>
      </c>
      <c r="F166">
        <v>0.13322737300000001</v>
      </c>
    </row>
    <row r="167" spans="1:6" x14ac:dyDescent="0.45">
      <c r="A167">
        <v>1200</v>
      </c>
      <c r="B167">
        <v>1</v>
      </c>
      <c r="C167">
        <v>0.174241745</v>
      </c>
      <c r="D167">
        <v>9.8019953000000007E-2</v>
      </c>
      <c r="E167">
        <v>9.6711202999999996E-2</v>
      </c>
      <c r="F167">
        <v>0.174241745</v>
      </c>
    </row>
    <row r="168" spans="1:6" x14ac:dyDescent="0.45">
      <c r="A168">
        <v>1200</v>
      </c>
      <c r="B168">
        <v>6</v>
      </c>
      <c r="C168">
        <v>0.14636302500000001</v>
      </c>
      <c r="D168">
        <v>8.9546579000000001E-2</v>
      </c>
      <c r="E168">
        <v>0.10659662</v>
      </c>
      <c r="F168">
        <v>0.14636302500000001</v>
      </c>
    </row>
    <row r="169" spans="1:6" x14ac:dyDescent="0.45">
      <c r="A169">
        <v>1200</v>
      </c>
      <c r="B169">
        <v>3</v>
      </c>
      <c r="C169">
        <v>0.170318624</v>
      </c>
      <c r="D169">
        <v>9.4886197000000005E-2</v>
      </c>
      <c r="E169">
        <v>0.13369905800000001</v>
      </c>
      <c r="F169">
        <v>0.170318624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B637-D75D-4573-896E-53486A927FD1}">
  <dimension ref="A1:T169"/>
  <sheetViews>
    <sheetView topLeftCell="D9" workbookViewId="0">
      <selection activeCell="O31" sqref="O31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2.756974789</v>
      </c>
      <c r="D2">
        <v>3.4441686659999999</v>
      </c>
      <c r="E2">
        <v>3.5675468659999998</v>
      </c>
      <c r="F2">
        <v>2.756974789</v>
      </c>
      <c r="H2" t="s">
        <v>49</v>
      </c>
    </row>
    <row r="3" spans="1:14" x14ac:dyDescent="0.45">
      <c r="A3">
        <v>1000</v>
      </c>
      <c r="B3">
        <v>4</v>
      </c>
      <c r="C3">
        <v>1.5416080510000001</v>
      </c>
      <c r="D3">
        <v>3.6817132410000002</v>
      </c>
      <c r="E3">
        <v>2.2051454530000001</v>
      </c>
      <c r="F3">
        <v>1.5416080510000001</v>
      </c>
    </row>
    <row r="4" spans="1:14" ht="18.600000000000001" thickBot="1" x14ac:dyDescent="0.5">
      <c r="A4">
        <v>1000</v>
      </c>
      <c r="B4">
        <v>7</v>
      </c>
      <c r="C4">
        <v>1.685780514</v>
      </c>
      <c r="D4">
        <v>0.82828948499999999</v>
      </c>
      <c r="E4">
        <v>1.6367766130000001</v>
      </c>
      <c r="F4">
        <v>1.685780514</v>
      </c>
      <c r="H4" t="s">
        <v>50</v>
      </c>
    </row>
    <row r="5" spans="1:14" x14ac:dyDescent="0.45">
      <c r="A5">
        <v>1000</v>
      </c>
      <c r="B5">
        <v>2</v>
      </c>
      <c r="C5">
        <v>5.2251313320000001</v>
      </c>
      <c r="D5">
        <v>2.3526156349999998</v>
      </c>
      <c r="E5">
        <v>3.3104966340000002</v>
      </c>
      <c r="F5">
        <v>5.2251313320000001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3.810226734</v>
      </c>
      <c r="D6">
        <v>9.1050531859999992</v>
      </c>
      <c r="E6">
        <v>1.8529168</v>
      </c>
      <c r="F6">
        <v>3.810226734</v>
      </c>
      <c r="H6" t="s">
        <v>46</v>
      </c>
      <c r="I6">
        <v>168</v>
      </c>
      <c r="J6">
        <v>805.41828068599955</v>
      </c>
      <c r="K6">
        <v>4.7941564326547592</v>
      </c>
      <c r="L6">
        <v>15.262883382610131</v>
      </c>
    </row>
    <row r="7" spans="1:14" x14ac:dyDescent="0.45">
      <c r="A7">
        <v>1000</v>
      </c>
      <c r="B7">
        <v>1</v>
      </c>
      <c r="C7">
        <v>3.2217046570000001</v>
      </c>
      <c r="D7">
        <v>2.3684104069999998</v>
      </c>
      <c r="E7">
        <v>2.0700609339999998</v>
      </c>
      <c r="F7">
        <v>3.2217046570000001</v>
      </c>
      <c r="H7" t="s">
        <v>47</v>
      </c>
      <c r="I7">
        <v>168</v>
      </c>
      <c r="J7">
        <v>893.33095815599961</v>
      </c>
      <c r="K7">
        <v>5.3174461794999974</v>
      </c>
      <c r="L7">
        <v>19.651484080751359</v>
      </c>
    </row>
    <row r="8" spans="1:14" ht="18.600000000000001" thickBot="1" x14ac:dyDescent="0.5">
      <c r="A8">
        <v>1000</v>
      </c>
      <c r="B8">
        <v>6</v>
      </c>
      <c r="C8">
        <v>1.976212904</v>
      </c>
      <c r="D8">
        <v>4.4192461429999996</v>
      </c>
      <c r="E8">
        <v>2.780090634</v>
      </c>
      <c r="F8">
        <v>1.976212904</v>
      </c>
      <c r="H8" s="3" t="s">
        <v>48</v>
      </c>
      <c r="I8" s="3">
        <v>168</v>
      </c>
      <c r="J8" s="3">
        <v>720.66087352399995</v>
      </c>
      <c r="K8" s="3">
        <v>4.289648056690476</v>
      </c>
      <c r="L8" s="3">
        <v>15.574602075593624</v>
      </c>
    </row>
    <row r="9" spans="1:14" x14ac:dyDescent="0.45">
      <c r="A9">
        <v>1000</v>
      </c>
      <c r="B9">
        <v>3</v>
      </c>
      <c r="C9">
        <v>1.4009556700000001</v>
      </c>
      <c r="D9">
        <v>1.0578914610000001</v>
      </c>
      <c r="E9">
        <v>1.6763108440000001</v>
      </c>
      <c r="F9">
        <v>1.4009556700000001</v>
      </c>
    </row>
    <row r="10" spans="1:14" x14ac:dyDescent="0.45">
      <c r="A10">
        <v>1010</v>
      </c>
      <c r="B10">
        <v>5</v>
      </c>
      <c r="C10">
        <v>4.1961967439999999</v>
      </c>
      <c r="D10">
        <v>10.16685062</v>
      </c>
      <c r="E10">
        <v>2.2392111510000001</v>
      </c>
      <c r="F10">
        <v>4.1961967439999999</v>
      </c>
    </row>
    <row r="11" spans="1:14" ht="18.600000000000001" thickBot="1" x14ac:dyDescent="0.5">
      <c r="A11">
        <v>1010</v>
      </c>
      <c r="B11">
        <v>4</v>
      </c>
      <c r="C11">
        <v>10.30418965</v>
      </c>
      <c r="D11">
        <v>2.509947983</v>
      </c>
      <c r="E11">
        <v>3.568977989</v>
      </c>
      <c r="F11">
        <v>10.30418965</v>
      </c>
      <c r="H11" t="s">
        <v>56</v>
      </c>
    </row>
    <row r="12" spans="1:14" x14ac:dyDescent="0.45">
      <c r="A12">
        <v>1010</v>
      </c>
      <c r="B12">
        <v>7</v>
      </c>
      <c r="C12">
        <v>1.264389416</v>
      </c>
      <c r="D12">
        <v>1.530782313</v>
      </c>
      <c r="E12">
        <v>2.176233356</v>
      </c>
      <c r="F12">
        <v>1.264389416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4.0598115469999998</v>
      </c>
      <c r="D13">
        <v>7.0937800219999998</v>
      </c>
      <c r="E13">
        <v>5.7486997989999997</v>
      </c>
      <c r="F13">
        <v>4.0598115469999998</v>
      </c>
      <c r="H13" t="s">
        <v>63</v>
      </c>
      <c r="I13">
        <v>88.744871142034754</v>
      </c>
      <c r="J13">
        <v>2</v>
      </c>
      <c r="K13">
        <v>44.372435571017377</v>
      </c>
      <c r="L13">
        <v>2.6365621625599758</v>
      </c>
      <c r="M13">
        <v>7.2600491298961289E-2</v>
      </c>
      <c r="N13">
        <v>3.0137168925158462</v>
      </c>
    </row>
    <row r="14" spans="1:14" x14ac:dyDescent="0.45">
      <c r="A14">
        <v>1010</v>
      </c>
      <c r="B14">
        <v>8</v>
      </c>
      <c r="C14">
        <v>5.972352699</v>
      </c>
      <c r="D14">
        <v>12.666150529999999</v>
      </c>
      <c r="E14">
        <v>4.8974283820000002</v>
      </c>
      <c r="F14">
        <v>5.972352699</v>
      </c>
      <c r="H14" t="s">
        <v>64</v>
      </c>
      <c r="I14">
        <v>8431.6579130054979</v>
      </c>
      <c r="J14">
        <v>501</v>
      </c>
      <c r="K14">
        <v>16.829656512985025</v>
      </c>
    </row>
    <row r="15" spans="1:14" x14ac:dyDescent="0.45">
      <c r="A15">
        <v>1010</v>
      </c>
      <c r="B15">
        <v>1</v>
      </c>
      <c r="C15">
        <v>3.266776664</v>
      </c>
      <c r="D15">
        <v>7.0210930219999996</v>
      </c>
      <c r="E15">
        <v>4.1729467040000001</v>
      </c>
      <c r="F15">
        <v>3.266776664</v>
      </c>
    </row>
    <row r="16" spans="1:14" ht="18.600000000000001" thickBot="1" x14ac:dyDescent="0.5">
      <c r="A16">
        <v>1010</v>
      </c>
      <c r="B16">
        <v>6</v>
      </c>
      <c r="C16">
        <v>2.6515496700000001</v>
      </c>
      <c r="D16">
        <v>8.5950466900000002</v>
      </c>
      <c r="E16">
        <v>2.6541497729999999</v>
      </c>
      <c r="F16">
        <v>2.6515496700000001</v>
      </c>
      <c r="H16" s="3" t="s">
        <v>53</v>
      </c>
      <c r="I16" s="3">
        <v>8520.4027841475327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1.2716723089999999</v>
      </c>
      <c r="D17">
        <v>3.529083521</v>
      </c>
      <c r="E17">
        <v>6.7618600960000004</v>
      </c>
      <c r="F17">
        <v>1.2716723089999999</v>
      </c>
    </row>
    <row r="18" spans="1:20" x14ac:dyDescent="0.45">
      <c r="A18">
        <v>1020</v>
      </c>
      <c r="B18">
        <v>5</v>
      </c>
      <c r="C18">
        <v>6.7131270470000004</v>
      </c>
      <c r="D18">
        <v>9.2860737679999996</v>
      </c>
      <c r="E18">
        <v>7.7754408230000003</v>
      </c>
      <c r="F18">
        <v>6.7131270470000004</v>
      </c>
    </row>
    <row r="19" spans="1:20" x14ac:dyDescent="0.45">
      <c r="A19">
        <v>1020</v>
      </c>
      <c r="B19">
        <v>4</v>
      </c>
      <c r="C19">
        <v>13.910106600000001</v>
      </c>
      <c r="D19">
        <v>10.361123750000001</v>
      </c>
      <c r="E19">
        <v>3.4150935929999999</v>
      </c>
      <c r="F19">
        <v>13.910106600000001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11.44498185</v>
      </c>
      <c r="D20">
        <v>9.040794021</v>
      </c>
      <c r="E20">
        <v>13.841794289999999</v>
      </c>
      <c r="F20">
        <v>11.44498185</v>
      </c>
    </row>
    <row r="21" spans="1:20" x14ac:dyDescent="0.45">
      <c r="A21">
        <v>1020</v>
      </c>
      <c r="B21">
        <v>2</v>
      </c>
      <c r="C21">
        <v>5.6989476000000003</v>
      </c>
      <c r="D21">
        <v>14.874061319999999</v>
      </c>
      <c r="E21">
        <v>7.350686638</v>
      </c>
      <c r="F21">
        <v>5.6989476000000003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7.8424677489999999</v>
      </c>
      <c r="D22">
        <v>3.3027622679999999</v>
      </c>
      <c r="E22">
        <v>2.4592589299999998</v>
      </c>
      <c r="F22">
        <v>7.8424677489999999</v>
      </c>
      <c r="H22" t="s">
        <v>54</v>
      </c>
      <c r="I22">
        <v>4.7941564326547592</v>
      </c>
      <c r="J22">
        <v>5.3174461794999974</v>
      </c>
      <c r="M22" t="s">
        <v>54</v>
      </c>
      <c r="N22">
        <v>5.3174461794999974</v>
      </c>
      <c r="O22">
        <v>4.289648056690476</v>
      </c>
      <c r="R22" t="s">
        <v>54</v>
      </c>
      <c r="S22">
        <v>4.289648056690476</v>
      </c>
      <c r="T22">
        <v>4.7941564326547592</v>
      </c>
    </row>
    <row r="23" spans="1:20" x14ac:dyDescent="0.45">
      <c r="A23">
        <v>1020</v>
      </c>
      <c r="B23">
        <v>1</v>
      </c>
      <c r="C23">
        <v>10.66151584</v>
      </c>
      <c r="D23">
        <v>2.525756865</v>
      </c>
      <c r="E23">
        <v>6.7560584700000001</v>
      </c>
      <c r="F23">
        <v>10.66151584</v>
      </c>
      <c r="H23" t="s">
        <v>55</v>
      </c>
      <c r="I23">
        <v>15.262883382610131</v>
      </c>
      <c r="J23">
        <v>19.651484080751359</v>
      </c>
      <c r="M23" t="s">
        <v>55</v>
      </c>
      <c r="N23">
        <v>19.651484080751359</v>
      </c>
      <c r="O23">
        <v>15.574602075593624</v>
      </c>
      <c r="R23" t="s">
        <v>55</v>
      </c>
      <c r="S23">
        <v>15.574602075593624</v>
      </c>
      <c r="T23">
        <v>15.262883382610131</v>
      </c>
    </row>
    <row r="24" spans="1:20" x14ac:dyDescent="0.45">
      <c r="A24">
        <v>1020</v>
      </c>
      <c r="B24">
        <v>6</v>
      </c>
      <c r="C24">
        <v>4.5270269289999998</v>
      </c>
      <c r="D24">
        <v>20.603746829999999</v>
      </c>
      <c r="E24">
        <v>2.7095969539999998</v>
      </c>
      <c r="F24">
        <v>4.5270269289999998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4.5903917749999996</v>
      </c>
      <c r="D25">
        <v>2.7541984820000001</v>
      </c>
      <c r="E25">
        <v>8.3111457309999999</v>
      </c>
      <c r="F25">
        <v>4.5903917749999996</v>
      </c>
      <c r="H25" t="s">
        <v>82</v>
      </c>
      <c r="I25">
        <v>0.22182750243879931</v>
      </c>
      <c r="M25" t="s">
        <v>82</v>
      </c>
      <c r="N25">
        <v>0.29320923564157364</v>
      </c>
      <c r="R25" t="s">
        <v>82</v>
      </c>
      <c r="S25">
        <v>0.25199403770386658</v>
      </c>
    </row>
    <row r="26" spans="1:20" x14ac:dyDescent="0.45">
      <c r="A26">
        <v>1030</v>
      </c>
      <c r="B26">
        <v>1</v>
      </c>
      <c r="C26">
        <v>4.6589829309999997</v>
      </c>
      <c r="D26">
        <v>15.51047674</v>
      </c>
      <c r="E26">
        <v>5.6199367310000001</v>
      </c>
      <c r="F26">
        <v>4.6589829309999997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7.9655147040000003</v>
      </c>
      <c r="D27">
        <v>8.4712330330000007</v>
      </c>
      <c r="E27">
        <v>5.1615003709999998</v>
      </c>
      <c r="F27">
        <v>7.9655147040000003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7.683815783</v>
      </c>
      <c r="D28">
        <v>19.228571859999999</v>
      </c>
      <c r="E28">
        <v>23.838045170000001</v>
      </c>
      <c r="F28">
        <v>7.683815783</v>
      </c>
      <c r="H28" t="s">
        <v>84</v>
      </c>
      <c r="I28">
        <v>-1.2997698146031256</v>
      </c>
      <c r="M28" t="s">
        <v>84</v>
      </c>
      <c r="N28">
        <v>2.6661239273773711</v>
      </c>
      <c r="R28" t="s">
        <v>84</v>
      </c>
      <c r="S28">
        <v>-1.3615301897596717</v>
      </c>
    </row>
    <row r="29" spans="1:20" x14ac:dyDescent="0.45">
      <c r="A29">
        <v>1030</v>
      </c>
      <c r="B29">
        <v>6</v>
      </c>
      <c r="C29">
        <v>13.755379420000001</v>
      </c>
      <c r="D29">
        <v>18.012371049999999</v>
      </c>
      <c r="E29">
        <v>14.86300361</v>
      </c>
      <c r="F29">
        <v>13.755379420000001</v>
      </c>
      <c r="H29" t="s">
        <v>85</v>
      </c>
      <c r="I29">
        <v>9.7735553881617643E-2</v>
      </c>
      <c r="M29" t="s">
        <v>85</v>
      </c>
      <c r="N29">
        <v>4.2136044123821277E-3</v>
      </c>
      <c r="R29" t="s">
        <v>85</v>
      </c>
      <c r="S29">
        <v>8.7590130896654392E-2</v>
      </c>
    </row>
    <row r="30" spans="1:20" x14ac:dyDescent="0.45">
      <c r="A30">
        <v>1030</v>
      </c>
      <c r="B30">
        <v>4</v>
      </c>
      <c r="C30">
        <v>2.0459653260000001</v>
      </c>
      <c r="D30">
        <v>3.3264483249999999</v>
      </c>
      <c r="E30">
        <v>3.1166583879999998</v>
      </c>
      <c r="F30">
        <v>2.0459653260000001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6.4995114530000002</v>
      </c>
      <c r="D31">
        <v>13.456952619999999</v>
      </c>
      <c r="E31">
        <v>16.528933460000001</v>
      </c>
      <c r="F31">
        <v>6.4995114530000002</v>
      </c>
      <c r="H31" t="s">
        <v>87</v>
      </c>
      <c r="I31">
        <v>0.19547110776323529</v>
      </c>
      <c r="M31" t="s">
        <v>87</v>
      </c>
      <c r="N31">
        <v>8.4272088247642554E-3</v>
      </c>
      <c r="R31" t="s">
        <v>87</v>
      </c>
      <c r="S31">
        <v>0.17518026179330878</v>
      </c>
    </row>
    <row r="32" spans="1:20" ht="18.600000000000001" thickBot="1" x14ac:dyDescent="0.5">
      <c r="A32">
        <v>1030</v>
      </c>
      <c r="B32">
        <v>2</v>
      </c>
      <c r="C32">
        <v>10.32397797</v>
      </c>
      <c r="D32">
        <v>3.5970485089999999</v>
      </c>
      <c r="E32">
        <v>15.773999330000001</v>
      </c>
      <c r="F32">
        <v>10.32397797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3.6190310440000002</v>
      </c>
      <c r="D33">
        <v>14.525282410000001</v>
      </c>
      <c r="E33">
        <v>2.083016207</v>
      </c>
      <c r="F33">
        <v>3.6190310440000002</v>
      </c>
    </row>
    <row r="34" spans="1:6" x14ac:dyDescent="0.45">
      <c r="A34">
        <v>1040</v>
      </c>
      <c r="B34">
        <v>1</v>
      </c>
      <c r="C34">
        <v>1.4207038489999999</v>
      </c>
      <c r="D34">
        <v>3.392001306</v>
      </c>
      <c r="E34">
        <v>1.2366995860000001</v>
      </c>
      <c r="F34">
        <v>1.4207038489999999</v>
      </c>
    </row>
    <row r="35" spans="1:6" x14ac:dyDescent="0.45">
      <c r="A35">
        <v>1040</v>
      </c>
      <c r="B35">
        <v>8</v>
      </c>
      <c r="C35">
        <v>3.6443310790000001</v>
      </c>
      <c r="D35">
        <v>2.6561673130000001</v>
      </c>
      <c r="E35">
        <v>2.7169126299999999</v>
      </c>
      <c r="F35">
        <v>3.6443310790000001</v>
      </c>
    </row>
    <row r="36" spans="1:6" x14ac:dyDescent="0.45">
      <c r="A36">
        <v>1040</v>
      </c>
      <c r="B36">
        <v>3</v>
      </c>
      <c r="C36">
        <v>1.5545534830000001</v>
      </c>
      <c r="D36">
        <v>1.0297172779999999</v>
      </c>
      <c r="E36">
        <v>1.4437052109999999</v>
      </c>
      <c r="F36">
        <v>1.5545534830000001</v>
      </c>
    </row>
    <row r="37" spans="1:6" x14ac:dyDescent="0.45">
      <c r="A37">
        <v>1040</v>
      </c>
      <c r="B37">
        <v>6</v>
      </c>
      <c r="C37">
        <v>2.4081407509999999</v>
      </c>
      <c r="D37">
        <v>2.53637574</v>
      </c>
      <c r="E37">
        <v>1.6283276980000001</v>
      </c>
      <c r="F37">
        <v>2.4081407509999999</v>
      </c>
    </row>
    <row r="38" spans="1:6" x14ac:dyDescent="0.45">
      <c r="A38">
        <v>1040</v>
      </c>
      <c r="B38">
        <v>4</v>
      </c>
      <c r="C38">
        <v>2.5733489810000001</v>
      </c>
      <c r="D38">
        <v>2.031807213</v>
      </c>
      <c r="E38">
        <v>2.5759326370000002</v>
      </c>
      <c r="F38">
        <v>2.5733489810000001</v>
      </c>
    </row>
    <row r="39" spans="1:6" x14ac:dyDescent="0.45">
      <c r="A39">
        <v>1040</v>
      </c>
      <c r="B39">
        <v>5</v>
      </c>
      <c r="C39">
        <v>3.187185817</v>
      </c>
      <c r="D39">
        <v>1.281088024</v>
      </c>
      <c r="E39">
        <v>1.449871116</v>
      </c>
      <c r="F39">
        <v>3.187185817</v>
      </c>
    </row>
    <row r="40" spans="1:6" x14ac:dyDescent="0.45">
      <c r="A40">
        <v>1040</v>
      </c>
      <c r="B40">
        <v>2</v>
      </c>
      <c r="C40">
        <v>3.275477908</v>
      </c>
      <c r="D40">
        <v>0.750477269</v>
      </c>
      <c r="E40">
        <v>0.42962084499999997</v>
      </c>
      <c r="F40">
        <v>3.275477908</v>
      </c>
    </row>
    <row r="41" spans="1:6" x14ac:dyDescent="0.45">
      <c r="A41">
        <v>1040</v>
      </c>
      <c r="B41">
        <v>7</v>
      </c>
      <c r="C41">
        <v>1.9185430990000001</v>
      </c>
      <c r="D41">
        <v>1.2364019049999999</v>
      </c>
      <c r="E41">
        <v>0.83388974199999999</v>
      </c>
      <c r="F41">
        <v>1.9185430990000001</v>
      </c>
    </row>
    <row r="42" spans="1:6" x14ac:dyDescent="0.45">
      <c r="A42">
        <v>1050</v>
      </c>
      <c r="B42">
        <v>1</v>
      </c>
      <c r="C42">
        <v>2.8953617559999998</v>
      </c>
      <c r="D42">
        <v>4.9044972820000003</v>
      </c>
      <c r="E42">
        <v>4.7222378740000002</v>
      </c>
      <c r="F42">
        <v>2.8953617559999998</v>
      </c>
    </row>
    <row r="43" spans="1:6" x14ac:dyDescent="0.45">
      <c r="A43">
        <v>1050</v>
      </c>
      <c r="B43">
        <v>8</v>
      </c>
      <c r="C43">
        <v>2.3400169690000001</v>
      </c>
      <c r="D43">
        <v>3.1993080410000001</v>
      </c>
      <c r="E43">
        <v>6.3066211939999999</v>
      </c>
      <c r="F43">
        <v>2.3400169690000001</v>
      </c>
    </row>
    <row r="44" spans="1:6" x14ac:dyDescent="0.45">
      <c r="A44">
        <v>1050</v>
      </c>
      <c r="B44">
        <v>3</v>
      </c>
      <c r="C44">
        <v>2.7175171580000002</v>
      </c>
      <c r="D44">
        <v>2.1834370299999999</v>
      </c>
      <c r="E44">
        <v>3.4861226809999999</v>
      </c>
      <c r="F44">
        <v>2.7175171580000002</v>
      </c>
    </row>
    <row r="45" spans="1:6" x14ac:dyDescent="0.45">
      <c r="A45">
        <v>1050</v>
      </c>
      <c r="B45">
        <v>6</v>
      </c>
      <c r="C45">
        <v>3.0787923660000001</v>
      </c>
      <c r="D45">
        <v>2.626568614</v>
      </c>
      <c r="E45">
        <v>2.1156044180000002</v>
      </c>
      <c r="F45">
        <v>3.0787923660000001</v>
      </c>
    </row>
    <row r="46" spans="1:6" x14ac:dyDescent="0.45">
      <c r="A46">
        <v>1050</v>
      </c>
      <c r="B46">
        <v>4</v>
      </c>
      <c r="C46">
        <v>2.4521484579999999</v>
      </c>
      <c r="D46">
        <v>8.5641140599999996</v>
      </c>
      <c r="E46">
        <v>3.1477809400000001</v>
      </c>
      <c r="F46">
        <v>2.4521484579999999</v>
      </c>
    </row>
    <row r="47" spans="1:6" x14ac:dyDescent="0.45">
      <c r="A47">
        <v>1050</v>
      </c>
      <c r="B47">
        <v>5</v>
      </c>
      <c r="C47">
        <v>2.6114341730000001</v>
      </c>
      <c r="D47">
        <v>4.4006535470000001</v>
      </c>
      <c r="E47">
        <v>3.7997650100000002</v>
      </c>
      <c r="F47">
        <v>2.6114341730000001</v>
      </c>
    </row>
    <row r="48" spans="1:6" x14ac:dyDescent="0.45">
      <c r="A48">
        <v>1050</v>
      </c>
      <c r="B48">
        <v>2</v>
      </c>
      <c r="C48">
        <v>3.586197624</v>
      </c>
      <c r="D48">
        <v>3.348592381</v>
      </c>
      <c r="E48">
        <v>2.9470320449999998</v>
      </c>
      <c r="F48">
        <v>3.586197624</v>
      </c>
    </row>
    <row r="49" spans="1:6" x14ac:dyDescent="0.45">
      <c r="A49">
        <v>1050</v>
      </c>
      <c r="B49">
        <v>7</v>
      </c>
      <c r="C49">
        <v>2.3842297829999999</v>
      </c>
      <c r="D49">
        <v>1.773367495</v>
      </c>
      <c r="E49">
        <v>1.667321185</v>
      </c>
      <c r="F49">
        <v>2.3842297829999999</v>
      </c>
    </row>
    <row r="50" spans="1:6" x14ac:dyDescent="0.45">
      <c r="A50">
        <v>1060</v>
      </c>
      <c r="B50">
        <v>5</v>
      </c>
      <c r="C50">
        <v>4.5680105959999997</v>
      </c>
      <c r="D50">
        <v>1.7293318820000001</v>
      </c>
      <c r="E50">
        <v>1.6831070939999999</v>
      </c>
      <c r="F50">
        <v>4.5680105959999997</v>
      </c>
    </row>
    <row r="51" spans="1:6" x14ac:dyDescent="0.45">
      <c r="A51">
        <v>1060</v>
      </c>
      <c r="B51">
        <v>4</v>
      </c>
      <c r="C51">
        <v>5.737411872</v>
      </c>
      <c r="D51">
        <v>4.2298999080000002</v>
      </c>
      <c r="E51">
        <v>6.1556034049999999</v>
      </c>
      <c r="F51">
        <v>5.737411872</v>
      </c>
    </row>
    <row r="52" spans="1:6" x14ac:dyDescent="0.45">
      <c r="A52">
        <v>1060</v>
      </c>
      <c r="B52">
        <v>7</v>
      </c>
      <c r="C52">
        <v>3.344644046</v>
      </c>
      <c r="D52">
        <v>2.0419673559999998</v>
      </c>
      <c r="E52">
        <v>2.69216714</v>
      </c>
      <c r="F52">
        <v>3.344644046</v>
      </c>
    </row>
    <row r="53" spans="1:6" x14ac:dyDescent="0.45">
      <c r="A53">
        <v>1060</v>
      </c>
      <c r="B53">
        <v>2</v>
      </c>
      <c r="C53">
        <v>4.7563191539999998</v>
      </c>
      <c r="D53">
        <v>3.4385422220000001</v>
      </c>
      <c r="E53">
        <v>2.5298344890000002</v>
      </c>
      <c r="F53">
        <v>4.7563191539999998</v>
      </c>
    </row>
    <row r="54" spans="1:6" x14ac:dyDescent="0.45">
      <c r="A54">
        <v>1060</v>
      </c>
      <c r="B54">
        <v>8</v>
      </c>
      <c r="C54">
        <v>6.0465435039999997</v>
      </c>
      <c r="D54">
        <v>4.2104009529999997</v>
      </c>
      <c r="E54">
        <v>3.6036308350000001</v>
      </c>
      <c r="F54">
        <v>6.0465435039999997</v>
      </c>
    </row>
    <row r="55" spans="1:6" x14ac:dyDescent="0.45">
      <c r="A55">
        <v>1060</v>
      </c>
      <c r="B55">
        <v>1</v>
      </c>
      <c r="C55">
        <v>4.1058113350000003</v>
      </c>
      <c r="D55">
        <v>3.832911572</v>
      </c>
      <c r="E55">
        <v>3.2126308190000001</v>
      </c>
      <c r="F55">
        <v>4.1058113350000003</v>
      </c>
    </row>
    <row r="56" spans="1:6" x14ac:dyDescent="0.45">
      <c r="A56">
        <v>1060</v>
      </c>
      <c r="B56">
        <v>6</v>
      </c>
      <c r="C56">
        <v>4.3541548179999996</v>
      </c>
      <c r="D56">
        <v>3.1794001729999999</v>
      </c>
      <c r="E56">
        <v>1.305807575</v>
      </c>
      <c r="F56">
        <v>4.3541548179999996</v>
      </c>
    </row>
    <row r="57" spans="1:6" x14ac:dyDescent="0.45">
      <c r="A57">
        <v>1060</v>
      </c>
      <c r="B57">
        <v>3</v>
      </c>
      <c r="C57">
        <v>3.497974964</v>
      </c>
      <c r="D57">
        <v>4.8540085660000001</v>
      </c>
      <c r="E57">
        <v>1.6136510369999999</v>
      </c>
      <c r="F57">
        <v>3.497974964</v>
      </c>
    </row>
    <row r="58" spans="1:6" x14ac:dyDescent="0.45">
      <c r="A58">
        <v>1070</v>
      </c>
      <c r="B58">
        <v>5</v>
      </c>
      <c r="C58">
        <v>19.878118780000001</v>
      </c>
      <c r="D58">
        <v>1.388158244</v>
      </c>
      <c r="E58">
        <v>1.3205870989999999</v>
      </c>
      <c r="F58">
        <v>19.878118780000001</v>
      </c>
    </row>
    <row r="59" spans="1:6" x14ac:dyDescent="0.45">
      <c r="A59">
        <v>1070</v>
      </c>
      <c r="B59">
        <v>4</v>
      </c>
      <c r="C59">
        <v>2.4167718859999998</v>
      </c>
      <c r="D59">
        <v>6.5523878250000003</v>
      </c>
      <c r="E59">
        <v>2.5371698660000002</v>
      </c>
      <c r="F59">
        <v>2.4167718859999998</v>
      </c>
    </row>
    <row r="60" spans="1:6" x14ac:dyDescent="0.45">
      <c r="A60">
        <v>1070</v>
      </c>
      <c r="B60">
        <v>7</v>
      </c>
      <c r="C60">
        <v>2.4814799710000002</v>
      </c>
      <c r="D60">
        <v>1.3633499680000001</v>
      </c>
      <c r="E60">
        <v>5.4106261460000002</v>
      </c>
      <c r="F60">
        <v>2.4814799710000002</v>
      </c>
    </row>
    <row r="61" spans="1:6" x14ac:dyDescent="0.45">
      <c r="A61">
        <v>1070</v>
      </c>
      <c r="B61">
        <v>2</v>
      </c>
      <c r="C61">
        <v>5.8479113519999997</v>
      </c>
      <c r="D61">
        <v>21.359820450000001</v>
      </c>
      <c r="E61">
        <v>1.51696751</v>
      </c>
      <c r="F61">
        <v>5.8479113519999997</v>
      </c>
    </row>
    <row r="62" spans="1:6" x14ac:dyDescent="0.45">
      <c r="A62">
        <v>1070</v>
      </c>
      <c r="B62">
        <v>8</v>
      </c>
      <c r="C62">
        <v>5.2061209149999996</v>
      </c>
      <c r="D62">
        <v>1.9188254300000001</v>
      </c>
      <c r="E62">
        <v>26.34403768</v>
      </c>
      <c r="F62">
        <v>5.2061209149999996</v>
      </c>
    </row>
    <row r="63" spans="1:6" x14ac:dyDescent="0.45">
      <c r="A63">
        <v>1070</v>
      </c>
      <c r="B63">
        <v>1</v>
      </c>
      <c r="C63">
        <v>3.4278442880000002</v>
      </c>
      <c r="D63">
        <v>25.01029084</v>
      </c>
      <c r="E63">
        <v>2.3670356830000001</v>
      </c>
      <c r="F63">
        <v>3.4278442880000002</v>
      </c>
    </row>
    <row r="64" spans="1:6" x14ac:dyDescent="0.45">
      <c r="A64">
        <v>1070</v>
      </c>
      <c r="B64">
        <v>6</v>
      </c>
      <c r="C64">
        <v>3.7993579259999999</v>
      </c>
      <c r="D64">
        <v>2.911239449</v>
      </c>
      <c r="E64">
        <v>5.8022604500000003</v>
      </c>
      <c r="F64">
        <v>3.7993579259999999</v>
      </c>
    </row>
    <row r="65" spans="1:6" x14ac:dyDescent="0.45">
      <c r="A65">
        <v>1070</v>
      </c>
      <c r="B65">
        <v>3</v>
      </c>
      <c r="C65">
        <v>1.6471170989999999</v>
      </c>
      <c r="D65">
        <v>0.705688808</v>
      </c>
      <c r="E65">
        <v>0.95558588200000005</v>
      </c>
      <c r="F65">
        <v>1.6471170989999999</v>
      </c>
    </row>
    <row r="66" spans="1:6" x14ac:dyDescent="0.45">
      <c r="A66">
        <v>1080</v>
      </c>
      <c r="B66">
        <v>1</v>
      </c>
      <c r="C66">
        <v>1.4515859959999999</v>
      </c>
      <c r="D66">
        <v>4.0498228559999996</v>
      </c>
      <c r="E66">
        <v>1.7214253289999999</v>
      </c>
      <c r="F66">
        <v>1.4515859959999999</v>
      </c>
    </row>
    <row r="67" spans="1:6" x14ac:dyDescent="0.45">
      <c r="A67">
        <v>1080</v>
      </c>
      <c r="B67">
        <v>8</v>
      </c>
      <c r="C67">
        <v>2.7420272410000002</v>
      </c>
      <c r="D67">
        <v>5.5866083870000001</v>
      </c>
      <c r="E67">
        <v>2.464616623</v>
      </c>
      <c r="F67">
        <v>2.7420272410000002</v>
      </c>
    </row>
    <row r="68" spans="1:6" x14ac:dyDescent="0.45">
      <c r="A68">
        <v>1080</v>
      </c>
      <c r="B68">
        <v>3</v>
      </c>
      <c r="C68">
        <v>1.031453972</v>
      </c>
      <c r="D68">
        <v>3.935340418</v>
      </c>
      <c r="E68">
        <v>9.0817147669999994</v>
      </c>
      <c r="F68">
        <v>1.031453972</v>
      </c>
    </row>
    <row r="69" spans="1:6" x14ac:dyDescent="0.45">
      <c r="A69">
        <v>1080</v>
      </c>
      <c r="B69">
        <v>6</v>
      </c>
      <c r="C69">
        <v>1.37161249</v>
      </c>
      <c r="D69">
        <v>1.5602196669999999</v>
      </c>
      <c r="E69">
        <v>2.0483518109999999</v>
      </c>
      <c r="F69">
        <v>1.37161249</v>
      </c>
    </row>
    <row r="70" spans="1:6" x14ac:dyDescent="0.45">
      <c r="A70">
        <v>1080</v>
      </c>
      <c r="B70">
        <v>4</v>
      </c>
      <c r="C70">
        <v>6.3275778809999998</v>
      </c>
      <c r="D70">
        <v>5.2708790319999999</v>
      </c>
      <c r="E70">
        <v>5.2277707930000004</v>
      </c>
      <c r="F70">
        <v>6.3275778809999998</v>
      </c>
    </row>
    <row r="71" spans="1:6" x14ac:dyDescent="0.45">
      <c r="A71">
        <v>1080</v>
      </c>
      <c r="B71">
        <v>5</v>
      </c>
      <c r="C71">
        <v>3.6334920140000002</v>
      </c>
      <c r="D71">
        <v>1.497366615</v>
      </c>
      <c r="E71">
        <v>0.73238158099999995</v>
      </c>
      <c r="F71">
        <v>3.6334920140000002</v>
      </c>
    </row>
    <row r="72" spans="1:6" x14ac:dyDescent="0.45">
      <c r="A72">
        <v>1080</v>
      </c>
      <c r="B72">
        <v>2</v>
      </c>
      <c r="C72">
        <v>2.6670534140000002</v>
      </c>
      <c r="D72">
        <v>4.4388219820000003</v>
      </c>
      <c r="E72">
        <v>1.2554044710000001</v>
      </c>
      <c r="F72">
        <v>2.6670534140000002</v>
      </c>
    </row>
    <row r="73" spans="1:6" x14ac:dyDescent="0.45">
      <c r="A73">
        <v>1080</v>
      </c>
      <c r="B73">
        <v>7</v>
      </c>
      <c r="C73">
        <v>7.7466824599999997</v>
      </c>
      <c r="D73">
        <v>0.69718370100000004</v>
      </c>
      <c r="E73">
        <v>1.072847273</v>
      </c>
      <c r="F73">
        <v>7.7466824599999997</v>
      </c>
    </row>
    <row r="74" spans="1:6" x14ac:dyDescent="0.45">
      <c r="A74">
        <v>1090</v>
      </c>
      <c r="B74">
        <v>5</v>
      </c>
      <c r="C74">
        <v>3.2230991439999999</v>
      </c>
      <c r="D74">
        <v>4.4224486489999997</v>
      </c>
      <c r="E74">
        <v>3.5023973960000001</v>
      </c>
      <c r="F74">
        <v>3.2230991439999999</v>
      </c>
    </row>
    <row r="75" spans="1:6" x14ac:dyDescent="0.45">
      <c r="A75">
        <v>1090</v>
      </c>
      <c r="B75">
        <v>4</v>
      </c>
      <c r="C75">
        <v>2.4760066580000002</v>
      </c>
      <c r="D75">
        <v>4.8034914799999999</v>
      </c>
      <c r="E75">
        <v>3.1777785039999999</v>
      </c>
      <c r="F75">
        <v>2.4760066580000002</v>
      </c>
    </row>
    <row r="76" spans="1:6" x14ac:dyDescent="0.45">
      <c r="A76">
        <v>1090</v>
      </c>
      <c r="B76">
        <v>7</v>
      </c>
      <c r="C76">
        <v>2.6543833750000001</v>
      </c>
      <c r="D76">
        <v>10.76370097</v>
      </c>
      <c r="E76">
        <v>2.086643354</v>
      </c>
      <c r="F76">
        <v>2.6543833750000001</v>
      </c>
    </row>
    <row r="77" spans="1:6" x14ac:dyDescent="0.45">
      <c r="A77">
        <v>1090</v>
      </c>
      <c r="B77">
        <v>2</v>
      </c>
      <c r="C77">
        <v>2.5886363499999998</v>
      </c>
      <c r="D77">
        <v>3.4026221720000001</v>
      </c>
      <c r="E77">
        <v>10.852866629999999</v>
      </c>
      <c r="F77">
        <v>2.5886363499999998</v>
      </c>
    </row>
    <row r="78" spans="1:6" x14ac:dyDescent="0.45">
      <c r="A78">
        <v>1090</v>
      </c>
      <c r="B78">
        <v>8</v>
      </c>
      <c r="C78">
        <v>3.05444965</v>
      </c>
      <c r="D78">
        <v>4.500137391</v>
      </c>
      <c r="E78">
        <v>2.9347447990000002</v>
      </c>
      <c r="F78">
        <v>3.05444965</v>
      </c>
    </row>
    <row r="79" spans="1:6" x14ac:dyDescent="0.45">
      <c r="A79">
        <v>1090</v>
      </c>
      <c r="B79">
        <v>1</v>
      </c>
      <c r="C79">
        <v>1.6637720300000001</v>
      </c>
      <c r="D79">
        <v>7.9864707529999999</v>
      </c>
      <c r="E79">
        <v>1.7477480299999999</v>
      </c>
      <c r="F79">
        <v>1.6637720300000001</v>
      </c>
    </row>
    <row r="80" spans="1:6" x14ac:dyDescent="0.45">
      <c r="A80">
        <v>1090</v>
      </c>
      <c r="B80">
        <v>6</v>
      </c>
      <c r="C80">
        <v>3.330697147</v>
      </c>
      <c r="D80">
        <v>1.9502798210000001</v>
      </c>
      <c r="E80">
        <v>3.1243026939999998</v>
      </c>
      <c r="F80">
        <v>3.330697147</v>
      </c>
    </row>
    <row r="81" spans="1:6" x14ac:dyDescent="0.45">
      <c r="A81">
        <v>1090</v>
      </c>
      <c r="B81">
        <v>3</v>
      </c>
      <c r="C81">
        <v>1.835824294</v>
      </c>
      <c r="D81">
        <v>2.228436571</v>
      </c>
      <c r="E81">
        <v>1.8030674929999999</v>
      </c>
      <c r="F81">
        <v>1.835824294</v>
      </c>
    </row>
    <row r="82" spans="1:6" x14ac:dyDescent="0.45">
      <c r="A82">
        <v>1100</v>
      </c>
      <c r="B82">
        <v>1</v>
      </c>
      <c r="C82">
        <v>3.559691092</v>
      </c>
      <c r="D82">
        <v>12.980780169999999</v>
      </c>
      <c r="E82">
        <v>2.6989257000000002</v>
      </c>
      <c r="F82">
        <v>3.559691092</v>
      </c>
    </row>
    <row r="83" spans="1:6" x14ac:dyDescent="0.45">
      <c r="A83">
        <v>1100</v>
      </c>
      <c r="B83">
        <v>8</v>
      </c>
      <c r="C83">
        <v>2.4602317359999999</v>
      </c>
      <c r="D83">
        <v>3.846503829</v>
      </c>
      <c r="E83">
        <v>7.1016855999999997</v>
      </c>
      <c r="F83">
        <v>2.4602317359999999</v>
      </c>
    </row>
    <row r="84" spans="1:6" x14ac:dyDescent="0.45">
      <c r="A84">
        <v>1100</v>
      </c>
      <c r="B84">
        <v>3</v>
      </c>
      <c r="C84">
        <v>4.4569689539999997</v>
      </c>
      <c r="D84">
        <v>4.0527279309999997</v>
      </c>
      <c r="E84">
        <v>2.6416725109999999</v>
      </c>
      <c r="F84">
        <v>4.4569689539999997</v>
      </c>
    </row>
    <row r="85" spans="1:6" x14ac:dyDescent="0.45">
      <c r="A85">
        <v>1100</v>
      </c>
      <c r="B85">
        <v>6</v>
      </c>
      <c r="C85">
        <v>4.0412833089999998</v>
      </c>
      <c r="D85">
        <v>2.1283620129999998</v>
      </c>
      <c r="E85">
        <v>10.42942511</v>
      </c>
      <c r="F85">
        <v>4.0412833089999998</v>
      </c>
    </row>
    <row r="86" spans="1:6" x14ac:dyDescent="0.45">
      <c r="A86">
        <v>1100</v>
      </c>
      <c r="B86">
        <v>4</v>
      </c>
      <c r="C86">
        <v>2.4579017869999999</v>
      </c>
      <c r="D86">
        <v>7.2907719059999998</v>
      </c>
      <c r="E86">
        <v>10.153224509999999</v>
      </c>
      <c r="F86">
        <v>2.4579017869999999</v>
      </c>
    </row>
    <row r="87" spans="1:6" x14ac:dyDescent="0.45">
      <c r="A87">
        <v>1100</v>
      </c>
      <c r="B87">
        <v>5</v>
      </c>
      <c r="C87">
        <v>6.39676446</v>
      </c>
      <c r="D87">
        <v>3.1553517420000001</v>
      </c>
      <c r="E87">
        <v>6.379778924</v>
      </c>
      <c r="F87">
        <v>6.39676446</v>
      </c>
    </row>
    <row r="88" spans="1:6" x14ac:dyDescent="0.45">
      <c r="A88">
        <v>1100</v>
      </c>
      <c r="B88">
        <v>2</v>
      </c>
      <c r="C88">
        <v>11.4407151</v>
      </c>
      <c r="D88">
        <v>3.4147603590000002</v>
      </c>
      <c r="E88">
        <v>5.9210354699999996</v>
      </c>
      <c r="F88">
        <v>11.4407151</v>
      </c>
    </row>
    <row r="89" spans="1:6" x14ac:dyDescent="0.45">
      <c r="A89">
        <v>1100</v>
      </c>
      <c r="B89">
        <v>7</v>
      </c>
      <c r="C89">
        <v>2.2076606139999999</v>
      </c>
      <c r="D89">
        <v>4.3943365349999999</v>
      </c>
      <c r="E89">
        <v>1.800631249</v>
      </c>
      <c r="F89">
        <v>2.2076606139999999</v>
      </c>
    </row>
    <row r="90" spans="1:6" x14ac:dyDescent="0.45">
      <c r="A90">
        <v>1110</v>
      </c>
      <c r="B90">
        <v>5</v>
      </c>
      <c r="C90">
        <v>2.158415175</v>
      </c>
      <c r="D90">
        <v>2.353735071</v>
      </c>
      <c r="E90">
        <v>3.6809486480000002</v>
      </c>
      <c r="F90">
        <v>2.158415175</v>
      </c>
    </row>
    <row r="91" spans="1:6" x14ac:dyDescent="0.45">
      <c r="A91">
        <v>1110</v>
      </c>
      <c r="B91">
        <v>4</v>
      </c>
      <c r="C91">
        <v>3.7441193159999999</v>
      </c>
      <c r="D91">
        <v>3.1466972819999999</v>
      </c>
      <c r="E91">
        <v>2.7257001870000002</v>
      </c>
      <c r="F91">
        <v>3.7441193159999999</v>
      </c>
    </row>
    <row r="92" spans="1:6" x14ac:dyDescent="0.45">
      <c r="A92">
        <v>1110</v>
      </c>
      <c r="B92">
        <v>7</v>
      </c>
      <c r="C92">
        <v>2.3741229700000002</v>
      </c>
      <c r="D92">
        <v>2.2940446990000001</v>
      </c>
      <c r="E92">
        <v>1.5699773050000001</v>
      </c>
      <c r="F92">
        <v>2.3741229700000002</v>
      </c>
    </row>
    <row r="93" spans="1:6" x14ac:dyDescent="0.45">
      <c r="A93">
        <v>1110</v>
      </c>
      <c r="B93">
        <v>2</v>
      </c>
      <c r="C93">
        <v>1.8308427620000001</v>
      </c>
      <c r="D93">
        <v>9.0012455019999997</v>
      </c>
      <c r="E93">
        <v>2.3068886329999998</v>
      </c>
      <c r="F93">
        <v>1.8308427620000001</v>
      </c>
    </row>
    <row r="94" spans="1:6" x14ac:dyDescent="0.45">
      <c r="A94">
        <v>1110</v>
      </c>
      <c r="B94">
        <v>8</v>
      </c>
      <c r="C94">
        <v>4.0978874679999997</v>
      </c>
      <c r="D94">
        <v>9.5797053450000007</v>
      </c>
      <c r="E94">
        <v>2.1180929079999999</v>
      </c>
      <c r="F94">
        <v>4.0978874679999997</v>
      </c>
    </row>
    <row r="95" spans="1:6" x14ac:dyDescent="0.45">
      <c r="A95">
        <v>1110</v>
      </c>
      <c r="B95">
        <v>1</v>
      </c>
      <c r="C95">
        <v>2.2403735980000001</v>
      </c>
      <c r="D95">
        <v>3.5356951780000001</v>
      </c>
      <c r="E95">
        <v>2.2805194559999999</v>
      </c>
      <c r="F95">
        <v>2.2403735980000001</v>
      </c>
    </row>
    <row r="96" spans="1:6" x14ac:dyDescent="0.45">
      <c r="A96">
        <v>1110</v>
      </c>
      <c r="B96">
        <v>6</v>
      </c>
      <c r="C96">
        <v>2.5781999409999998</v>
      </c>
      <c r="D96">
        <v>3.7319619820000001</v>
      </c>
      <c r="E96">
        <v>1.701732091</v>
      </c>
      <c r="F96">
        <v>2.5781999409999998</v>
      </c>
    </row>
    <row r="97" spans="1:6" x14ac:dyDescent="0.45">
      <c r="A97">
        <v>1110</v>
      </c>
      <c r="B97">
        <v>3</v>
      </c>
      <c r="C97">
        <v>3.6053131440000001</v>
      </c>
      <c r="D97">
        <v>1.9294033779999999</v>
      </c>
      <c r="E97">
        <v>1.640727501</v>
      </c>
      <c r="F97">
        <v>3.6053131440000001</v>
      </c>
    </row>
    <row r="98" spans="1:6" x14ac:dyDescent="0.45">
      <c r="A98">
        <v>1120</v>
      </c>
      <c r="B98">
        <v>1</v>
      </c>
      <c r="C98">
        <v>2.2622999739999998</v>
      </c>
      <c r="D98">
        <v>5.4788904719999998</v>
      </c>
      <c r="E98">
        <v>3.5593973970000001</v>
      </c>
      <c r="F98">
        <v>2.2622999739999998</v>
      </c>
    </row>
    <row r="99" spans="1:6" x14ac:dyDescent="0.45">
      <c r="A99">
        <v>1120</v>
      </c>
      <c r="B99">
        <v>8</v>
      </c>
      <c r="C99">
        <v>3.0341597469999999</v>
      </c>
      <c r="D99">
        <v>2.9833349729999998</v>
      </c>
      <c r="E99">
        <v>6.6583905489999999</v>
      </c>
      <c r="F99">
        <v>3.0341597469999999</v>
      </c>
    </row>
    <row r="100" spans="1:6" x14ac:dyDescent="0.45">
      <c r="A100">
        <v>1120</v>
      </c>
      <c r="B100">
        <v>3</v>
      </c>
      <c r="C100">
        <v>6.2274882460000001</v>
      </c>
      <c r="D100">
        <v>2.3546470269999999</v>
      </c>
      <c r="E100">
        <v>3.0885651360000002</v>
      </c>
      <c r="F100">
        <v>6.2274882460000001</v>
      </c>
    </row>
    <row r="101" spans="1:6" x14ac:dyDescent="0.45">
      <c r="A101">
        <v>1120</v>
      </c>
      <c r="B101">
        <v>6</v>
      </c>
      <c r="C101">
        <v>3.295130259</v>
      </c>
      <c r="D101">
        <v>5.2074670620000001</v>
      </c>
      <c r="E101">
        <v>3.3080891170000002</v>
      </c>
      <c r="F101">
        <v>3.295130259</v>
      </c>
    </row>
    <row r="102" spans="1:6" x14ac:dyDescent="0.45">
      <c r="A102">
        <v>1120</v>
      </c>
      <c r="B102">
        <v>4</v>
      </c>
      <c r="C102">
        <v>2.5939344690000001</v>
      </c>
      <c r="D102">
        <v>4.6141260180000003</v>
      </c>
      <c r="E102">
        <v>8.2586132299999999</v>
      </c>
      <c r="F102">
        <v>2.5939344690000001</v>
      </c>
    </row>
    <row r="103" spans="1:6" x14ac:dyDescent="0.45">
      <c r="A103">
        <v>1120</v>
      </c>
      <c r="B103">
        <v>5</v>
      </c>
      <c r="C103">
        <v>4.6888292800000002</v>
      </c>
      <c r="D103">
        <v>4.9541801320000003</v>
      </c>
      <c r="E103">
        <v>4.3886656159999999</v>
      </c>
      <c r="F103">
        <v>4.6888292800000002</v>
      </c>
    </row>
    <row r="104" spans="1:6" x14ac:dyDescent="0.45">
      <c r="A104">
        <v>1120</v>
      </c>
      <c r="B104">
        <v>2</v>
      </c>
      <c r="C104">
        <v>6.2596829290000002</v>
      </c>
      <c r="D104">
        <v>9.5374537959999994</v>
      </c>
      <c r="E104">
        <v>4.1953689230000002</v>
      </c>
      <c r="F104">
        <v>6.2596829290000002</v>
      </c>
    </row>
    <row r="105" spans="1:6" x14ac:dyDescent="0.45">
      <c r="A105">
        <v>1120</v>
      </c>
      <c r="B105">
        <v>7</v>
      </c>
      <c r="C105">
        <v>12.831104549999999</v>
      </c>
      <c r="D105">
        <v>5.4390745530000002</v>
      </c>
      <c r="E105">
        <v>4.2401197340000003</v>
      </c>
      <c r="F105">
        <v>12.831104549999999</v>
      </c>
    </row>
    <row r="106" spans="1:6" x14ac:dyDescent="0.45">
      <c r="A106">
        <v>1130</v>
      </c>
      <c r="B106">
        <v>5</v>
      </c>
      <c r="C106">
        <v>4.4498216639999999</v>
      </c>
      <c r="D106">
        <v>7.7018334660000001</v>
      </c>
      <c r="E106">
        <v>3.12478284</v>
      </c>
      <c r="F106">
        <v>4.4498216639999999</v>
      </c>
    </row>
    <row r="107" spans="1:6" x14ac:dyDescent="0.45">
      <c r="A107">
        <v>1130</v>
      </c>
      <c r="B107">
        <v>4</v>
      </c>
      <c r="C107">
        <v>2.6850791140000001</v>
      </c>
      <c r="D107">
        <v>2.5180918989999999</v>
      </c>
      <c r="E107">
        <v>0.89496751200000002</v>
      </c>
      <c r="F107">
        <v>2.6850791140000001</v>
      </c>
    </row>
    <row r="108" spans="1:6" x14ac:dyDescent="0.45">
      <c r="A108">
        <v>1130</v>
      </c>
      <c r="B108">
        <v>7</v>
      </c>
      <c r="C108">
        <v>1.1642228480000001</v>
      </c>
      <c r="D108">
        <v>2.4832680580000002</v>
      </c>
      <c r="E108">
        <v>1.4968441299999999</v>
      </c>
      <c r="F108">
        <v>1.1642228480000001</v>
      </c>
    </row>
    <row r="109" spans="1:6" x14ac:dyDescent="0.45">
      <c r="A109">
        <v>1130</v>
      </c>
      <c r="B109">
        <v>2</v>
      </c>
      <c r="C109">
        <v>2.3914722180000001</v>
      </c>
      <c r="D109">
        <v>2.2140774790000002</v>
      </c>
      <c r="E109">
        <v>2.5451832749999999</v>
      </c>
      <c r="F109">
        <v>2.3914722180000001</v>
      </c>
    </row>
    <row r="110" spans="1:6" x14ac:dyDescent="0.45">
      <c r="A110">
        <v>1130</v>
      </c>
      <c r="B110">
        <v>8</v>
      </c>
      <c r="C110">
        <v>3.8037456829999998</v>
      </c>
      <c r="D110">
        <v>4.0062683449999996</v>
      </c>
      <c r="E110">
        <v>1.784729354</v>
      </c>
      <c r="F110">
        <v>3.8037456829999998</v>
      </c>
    </row>
    <row r="111" spans="1:6" x14ac:dyDescent="0.45">
      <c r="A111">
        <v>1130</v>
      </c>
      <c r="B111">
        <v>1</v>
      </c>
      <c r="C111">
        <v>2.8251836290000001</v>
      </c>
      <c r="D111">
        <v>1.364594826</v>
      </c>
      <c r="E111">
        <v>1.411229676</v>
      </c>
      <c r="F111">
        <v>2.8251836290000001</v>
      </c>
    </row>
    <row r="112" spans="1:6" x14ac:dyDescent="0.45">
      <c r="A112">
        <v>1130</v>
      </c>
      <c r="B112">
        <v>6</v>
      </c>
      <c r="C112">
        <v>1.8697731070000001</v>
      </c>
      <c r="D112">
        <v>4.9709426629999998</v>
      </c>
      <c r="E112">
        <v>1.744376012</v>
      </c>
      <c r="F112">
        <v>1.8697731070000001</v>
      </c>
    </row>
    <row r="113" spans="1:6" x14ac:dyDescent="0.45">
      <c r="A113">
        <v>1130</v>
      </c>
      <c r="B113">
        <v>3</v>
      </c>
      <c r="C113">
        <v>0.65661564100000003</v>
      </c>
      <c r="D113">
        <v>1.047652384</v>
      </c>
      <c r="E113">
        <v>1.720675594</v>
      </c>
      <c r="F113">
        <v>0.65661564100000003</v>
      </c>
    </row>
    <row r="114" spans="1:6" x14ac:dyDescent="0.45">
      <c r="A114">
        <v>1140</v>
      </c>
      <c r="B114">
        <v>1</v>
      </c>
      <c r="C114">
        <v>3.6350516719999999</v>
      </c>
      <c r="D114">
        <v>11.02393676</v>
      </c>
      <c r="E114">
        <v>2.1418394140000001</v>
      </c>
      <c r="F114">
        <v>3.6350516719999999</v>
      </c>
    </row>
    <row r="115" spans="1:6" x14ac:dyDescent="0.45">
      <c r="A115">
        <v>1140</v>
      </c>
      <c r="B115">
        <v>8</v>
      </c>
      <c r="C115">
        <v>5.0105683809999997</v>
      </c>
      <c r="D115">
        <v>13.48838557</v>
      </c>
      <c r="E115">
        <v>4.1829828710000001</v>
      </c>
      <c r="F115">
        <v>5.0105683809999997</v>
      </c>
    </row>
    <row r="116" spans="1:6" x14ac:dyDescent="0.45">
      <c r="A116">
        <v>1140</v>
      </c>
      <c r="B116">
        <v>3</v>
      </c>
      <c r="C116">
        <v>1.2811379700000001</v>
      </c>
      <c r="D116">
        <v>1.8339765809999999</v>
      </c>
      <c r="E116">
        <v>3.729392448</v>
      </c>
      <c r="F116">
        <v>1.2811379700000001</v>
      </c>
    </row>
    <row r="117" spans="1:6" x14ac:dyDescent="0.45">
      <c r="A117">
        <v>1140</v>
      </c>
      <c r="B117">
        <v>6</v>
      </c>
      <c r="C117">
        <v>3.141928064</v>
      </c>
      <c r="D117">
        <v>3.932361437</v>
      </c>
      <c r="E117">
        <v>4.2472686209999999</v>
      </c>
      <c r="F117">
        <v>3.141928064</v>
      </c>
    </row>
    <row r="118" spans="1:6" x14ac:dyDescent="0.45">
      <c r="A118">
        <v>1140</v>
      </c>
      <c r="B118">
        <v>4</v>
      </c>
      <c r="C118">
        <v>3.2983288650000002</v>
      </c>
      <c r="D118">
        <v>3.862182582</v>
      </c>
      <c r="E118">
        <v>2.662675514</v>
      </c>
      <c r="F118">
        <v>3.2983288650000002</v>
      </c>
    </row>
    <row r="119" spans="1:6" x14ac:dyDescent="0.45">
      <c r="A119">
        <v>1140</v>
      </c>
      <c r="B119">
        <v>5</v>
      </c>
      <c r="C119">
        <v>4.1847981929999998</v>
      </c>
      <c r="D119">
        <v>4.3473745900000003</v>
      </c>
      <c r="E119">
        <v>2.3704439599999998</v>
      </c>
      <c r="F119">
        <v>4.1847981929999998</v>
      </c>
    </row>
    <row r="120" spans="1:6" x14ac:dyDescent="0.45">
      <c r="A120">
        <v>1140</v>
      </c>
      <c r="B120">
        <v>2</v>
      </c>
      <c r="C120">
        <v>8.6793863340000001</v>
      </c>
      <c r="D120">
        <v>3.5167810070000001</v>
      </c>
      <c r="E120">
        <v>3.1509386670000001</v>
      </c>
      <c r="F120">
        <v>8.6793863340000001</v>
      </c>
    </row>
    <row r="121" spans="1:6" x14ac:dyDescent="0.45">
      <c r="A121">
        <v>1140</v>
      </c>
      <c r="B121">
        <v>7</v>
      </c>
      <c r="C121">
        <v>5.7651767779999998</v>
      </c>
      <c r="D121">
        <v>2.8002609629999999</v>
      </c>
      <c r="E121">
        <v>3.2673420969999998</v>
      </c>
      <c r="F121">
        <v>5.7651767779999998</v>
      </c>
    </row>
    <row r="122" spans="1:6" x14ac:dyDescent="0.45">
      <c r="A122">
        <v>1150</v>
      </c>
      <c r="B122">
        <v>5</v>
      </c>
      <c r="C122">
        <v>7.4790925059999998</v>
      </c>
      <c r="D122">
        <v>1.6555673049999999</v>
      </c>
      <c r="E122">
        <v>2.5593397790000001</v>
      </c>
      <c r="F122">
        <v>7.4790925059999998</v>
      </c>
    </row>
    <row r="123" spans="1:6" x14ac:dyDescent="0.45">
      <c r="A123">
        <v>1150</v>
      </c>
      <c r="B123">
        <v>4</v>
      </c>
      <c r="C123">
        <v>4.1215897229999996</v>
      </c>
      <c r="D123">
        <v>9.9694463500000001</v>
      </c>
      <c r="E123">
        <v>4.7775503380000002</v>
      </c>
      <c r="F123">
        <v>4.1215897229999996</v>
      </c>
    </row>
    <row r="124" spans="1:6" x14ac:dyDescent="0.45">
      <c r="A124">
        <v>1150</v>
      </c>
      <c r="B124">
        <v>7</v>
      </c>
      <c r="C124">
        <v>2.8912302439999999</v>
      </c>
      <c r="D124">
        <v>3.2774386889999998</v>
      </c>
      <c r="E124">
        <v>2.5494782709999999</v>
      </c>
      <c r="F124">
        <v>2.8912302439999999</v>
      </c>
    </row>
    <row r="125" spans="1:6" x14ac:dyDescent="0.45">
      <c r="A125">
        <v>1150</v>
      </c>
      <c r="B125">
        <v>2</v>
      </c>
      <c r="C125">
        <v>10.430554150000001</v>
      </c>
      <c r="D125">
        <v>6.5027111370000004</v>
      </c>
      <c r="E125">
        <v>2.2721930399999999</v>
      </c>
      <c r="F125">
        <v>10.430554150000001</v>
      </c>
    </row>
    <row r="126" spans="1:6" x14ac:dyDescent="0.45">
      <c r="A126">
        <v>1150</v>
      </c>
      <c r="B126">
        <v>8</v>
      </c>
      <c r="C126">
        <v>8.7857917019999991</v>
      </c>
      <c r="D126">
        <v>2.9291099119999999</v>
      </c>
      <c r="E126">
        <v>4.4298002700000003</v>
      </c>
      <c r="F126">
        <v>8.7857917019999991</v>
      </c>
    </row>
    <row r="127" spans="1:6" x14ac:dyDescent="0.45">
      <c r="A127">
        <v>1150</v>
      </c>
      <c r="B127">
        <v>1</v>
      </c>
      <c r="C127">
        <v>3.2654297149999998</v>
      </c>
      <c r="D127">
        <v>2.6204305309999998</v>
      </c>
      <c r="E127">
        <v>3.022112457</v>
      </c>
      <c r="F127">
        <v>3.2654297149999998</v>
      </c>
    </row>
    <row r="128" spans="1:6" x14ac:dyDescent="0.45">
      <c r="A128">
        <v>1150</v>
      </c>
      <c r="B128">
        <v>6</v>
      </c>
      <c r="C128">
        <v>3.2973582769999998</v>
      </c>
      <c r="D128">
        <v>5.447973824</v>
      </c>
      <c r="E128">
        <v>1.668782465</v>
      </c>
      <c r="F128">
        <v>3.2973582769999998</v>
      </c>
    </row>
    <row r="129" spans="1:6" x14ac:dyDescent="0.45">
      <c r="A129">
        <v>1150</v>
      </c>
      <c r="B129">
        <v>3</v>
      </c>
      <c r="C129">
        <v>1.140522633</v>
      </c>
      <c r="D129">
        <v>3.177666205</v>
      </c>
      <c r="E129">
        <v>1.6701122939999999</v>
      </c>
      <c r="F129">
        <v>1.140522633</v>
      </c>
    </row>
    <row r="130" spans="1:6" x14ac:dyDescent="0.45">
      <c r="A130">
        <v>1160</v>
      </c>
      <c r="B130">
        <v>5</v>
      </c>
      <c r="C130">
        <v>14.4259115</v>
      </c>
      <c r="D130">
        <v>3.1979678090000001</v>
      </c>
      <c r="E130">
        <v>2.2683619990000001</v>
      </c>
      <c r="F130">
        <v>14.4259115</v>
      </c>
    </row>
    <row r="131" spans="1:6" x14ac:dyDescent="0.45">
      <c r="A131">
        <v>1160</v>
      </c>
      <c r="B131">
        <v>4</v>
      </c>
      <c r="C131">
        <v>11.43511187</v>
      </c>
      <c r="D131">
        <v>5.4977015570000001</v>
      </c>
      <c r="E131">
        <v>2.0764884819999998</v>
      </c>
      <c r="F131">
        <v>11.43511187</v>
      </c>
    </row>
    <row r="132" spans="1:6" x14ac:dyDescent="0.45">
      <c r="A132">
        <v>1160</v>
      </c>
      <c r="B132">
        <v>7</v>
      </c>
      <c r="C132">
        <v>2.037235151</v>
      </c>
      <c r="D132">
        <v>1.5011802679999999</v>
      </c>
      <c r="E132">
        <v>2.9649605650000002</v>
      </c>
      <c r="F132">
        <v>2.037235151</v>
      </c>
    </row>
    <row r="133" spans="1:6" x14ac:dyDescent="0.45">
      <c r="A133">
        <v>1160</v>
      </c>
      <c r="B133">
        <v>2</v>
      </c>
      <c r="C133">
        <v>3.2444167130000001</v>
      </c>
      <c r="D133">
        <v>14.33520702</v>
      </c>
      <c r="E133">
        <v>4.6703871909999997</v>
      </c>
      <c r="F133">
        <v>3.2444167130000001</v>
      </c>
    </row>
    <row r="134" spans="1:6" x14ac:dyDescent="0.45">
      <c r="A134">
        <v>1160</v>
      </c>
      <c r="B134">
        <v>8</v>
      </c>
      <c r="C134">
        <v>10.55872514</v>
      </c>
      <c r="D134">
        <v>2.677225489</v>
      </c>
      <c r="E134">
        <v>2.5122796470000002</v>
      </c>
      <c r="F134">
        <v>10.55872514</v>
      </c>
    </row>
    <row r="135" spans="1:6" x14ac:dyDescent="0.45">
      <c r="A135">
        <v>1160</v>
      </c>
      <c r="B135">
        <v>1</v>
      </c>
      <c r="C135">
        <v>3.6189577169999998</v>
      </c>
      <c r="D135">
        <v>2.1574376759999998</v>
      </c>
      <c r="E135">
        <v>2.9499698950000002</v>
      </c>
      <c r="F135">
        <v>3.6189577169999998</v>
      </c>
    </row>
    <row r="136" spans="1:6" x14ac:dyDescent="0.45">
      <c r="A136">
        <v>1160</v>
      </c>
      <c r="B136">
        <v>6</v>
      </c>
      <c r="C136">
        <v>2.5010199289999999</v>
      </c>
      <c r="D136">
        <v>5.0819429219999996</v>
      </c>
      <c r="E136">
        <v>2.0972301550000001</v>
      </c>
      <c r="F136">
        <v>2.5010199289999999</v>
      </c>
    </row>
    <row r="137" spans="1:6" x14ac:dyDescent="0.45">
      <c r="A137">
        <v>1160</v>
      </c>
      <c r="B137">
        <v>3</v>
      </c>
      <c r="C137">
        <v>1.799991141</v>
      </c>
      <c r="D137">
        <v>2.8885198459999999</v>
      </c>
      <c r="E137">
        <v>3.3278150989999999</v>
      </c>
      <c r="F137">
        <v>1.799991141</v>
      </c>
    </row>
    <row r="138" spans="1:6" x14ac:dyDescent="0.45">
      <c r="A138">
        <v>1170</v>
      </c>
      <c r="B138">
        <v>1</v>
      </c>
      <c r="C138">
        <v>2.7396748319999999</v>
      </c>
      <c r="D138">
        <v>4.3807531830000004</v>
      </c>
      <c r="E138">
        <v>3.488424024</v>
      </c>
      <c r="F138">
        <v>2.7396748319999999</v>
      </c>
    </row>
    <row r="139" spans="1:6" x14ac:dyDescent="0.45">
      <c r="A139">
        <v>1170</v>
      </c>
      <c r="B139">
        <v>8</v>
      </c>
      <c r="C139">
        <v>4.5245306870000004</v>
      </c>
      <c r="D139">
        <v>6.3086566069999996</v>
      </c>
      <c r="E139">
        <v>11.76933054</v>
      </c>
      <c r="F139">
        <v>4.5245306870000004</v>
      </c>
    </row>
    <row r="140" spans="1:6" x14ac:dyDescent="0.45">
      <c r="A140">
        <v>1170</v>
      </c>
      <c r="B140">
        <v>3</v>
      </c>
      <c r="C140">
        <v>13.048544590000001</v>
      </c>
      <c r="D140">
        <v>4.5251178630000002</v>
      </c>
      <c r="E140">
        <v>2.3441819599999998</v>
      </c>
      <c r="F140">
        <v>13.048544590000001</v>
      </c>
    </row>
    <row r="141" spans="1:6" x14ac:dyDescent="0.45">
      <c r="A141">
        <v>1170</v>
      </c>
      <c r="B141">
        <v>6</v>
      </c>
      <c r="C141">
        <v>3.5097259159999998</v>
      </c>
      <c r="D141">
        <v>4.7519528480000002</v>
      </c>
      <c r="E141">
        <v>8.5844883710000008</v>
      </c>
      <c r="F141">
        <v>3.5097259159999998</v>
      </c>
    </row>
    <row r="142" spans="1:6" x14ac:dyDescent="0.45">
      <c r="A142">
        <v>1170</v>
      </c>
      <c r="B142">
        <v>4</v>
      </c>
      <c r="C142">
        <v>3.9512528520000001</v>
      </c>
      <c r="D142">
        <v>2.7526571510000002</v>
      </c>
      <c r="E142">
        <v>7.1358579190000002</v>
      </c>
      <c r="F142">
        <v>3.9512528520000001</v>
      </c>
    </row>
    <row r="143" spans="1:6" x14ac:dyDescent="0.45">
      <c r="A143">
        <v>1170</v>
      </c>
      <c r="B143">
        <v>5</v>
      </c>
      <c r="C143">
        <v>3.4046867220000001</v>
      </c>
      <c r="D143">
        <v>7.1099245270000004</v>
      </c>
      <c r="E143">
        <v>5.4809865179999999</v>
      </c>
      <c r="F143">
        <v>3.4046867220000001</v>
      </c>
    </row>
    <row r="144" spans="1:6" x14ac:dyDescent="0.45">
      <c r="A144">
        <v>1170</v>
      </c>
      <c r="B144">
        <v>2</v>
      </c>
      <c r="C144">
        <v>6.0863017599999996</v>
      </c>
      <c r="D144">
        <v>3.726796985</v>
      </c>
      <c r="E144">
        <v>4.074992258</v>
      </c>
      <c r="F144">
        <v>6.0863017599999996</v>
      </c>
    </row>
    <row r="145" spans="1:6" x14ac:dyDescent="0.45">
      <c r="A145">
        <v>1170</v>
      </c>
      <c r="B145">
        <v>7</v>
      </c>
      <c r="C145">
        <v>2.9985186170000002</v>
      </c>
      <c r="D145">
        <v>3.884899866</v>
      </c>
      <c r="E145">
        <v>2.6778216270000001</v>
      </c>
      <c r="F145">
        <v>2.9985186170000002</v>
      </c>
    </row>
    <row r="146" spans="1:6" x14ac:dyDescent="0.45">
      <c r="A146">
        <v>1180</v>
      </c>
      <c r="B146">
        <v>5</v>
      </c>
      <c r="C146">
        <v>2.1144919099999999</v>
      </c>
      <c r="D146">
        <v>3.1848383650000001</v>
      </c>
      <c r="E146">
        <v>2.3973280290000001</v>
      </c>
      <c r="F146">
        <v>2.1144919099999999</v>
      </c>
    </row>
    <row r="147" spans="1:6" x14ac:dyDescent="0.45">
      <c r="A147">
        <v>1180</v>
      </c>
      <c r="B147">
        <v>4</v>
      </c>
      <c r="C147">
        <v>2.2728665600000002</v>
      </c>
      <c r="D147">
        <v>0.94805061599999996</v>
      </c>
      <c r="E147">
        <v>1.753934028</v>
      </c>
      <c r="F147">
        <v>2.2728665600000002</v>
      </c>
    </row>
    <row r="148" spans="1:6" x14ac:dyDescent="0.45">
      <c r="A148">
        <v>1180</v>
      </c>
      <c r="B148">
        <v>7</v>
      </c>
      <c r="C148">
        <v>1.4658048610000001</v>
      </c>
      <c r="D148">
        <v>1.853644463</v>
      </c>
      <c r="E148">
        <v>0.69873348400000002</v>
      </c>
      <c r="F148">
        <v>1.4658048610000001</v>
      </c>
    </row>
    <row r="149" spans="1:6" x14ac:dyDescent="0.45">
      <c r="A149">
        <v>1180</v>
      </c>
      <c r="B149">
        <v>2</v>
      </c>
      <c r="C149">
        <v>1.9732887299999999</v>
      </c>
      <c r="D149">
        <v>3.8480414760000001</v>
      </c>
      <c r="E149">
        <v>3.5337154210000001</v>
      </c>
      <c r="F149">
        <v>1.9732887299999999</v>
      </c>
    </row>
    <row r="150" spans="1:6" x14ac:dyDescent="0.45">
      <c r="A150">
        <v>1180</v>
      </c>
      <c r="B150">
        <v>8</v>
      </c>
      <c r="C150">
        <v>1.9273077080000001</v>
      </c>
      <c r="D150">
        <v>3.4138433639999999</v>
      </c>
      <c r="E150">
        <v>1.2962605</v>
      </c>
      <c r="F150">
        <v>1.9273077080000001</v>
      </c>
    </row>
    <row r="151" spans="1:6" x14ac:dyDescent="0.45">
      <c r="A151">
        <v>1180</v>
      </c>
      <c r="B151">
        <v>1</v>
      </c>
      <c r="C151">
        <v>1.3529697270000001</v>
      </c>
      <c r="D151">
        <v>1.0730808300000001</v>
      </c>
      <c r="E151">
        <v>3.2550368089999999</v>
      </c>
      <c r="F151">
        <v>1.3529697270000001</v>
      </c>
    </row>
    <row r="152" spans="1:6" x14ac:dyDescent="0.45">
      <c r="A152">
        <v>1180</v>
      </c>
      <c r="B152">
        <v>6</v>
      </c>
      <c r="C152">
        <v>3.241981724</v>
      </c>
      <c r="D152">
        <v>8.410242942</v>
      </c>
      <c r="E152">
        <v>1.081383344</v>
      </c>
      <c r="F152">
        <v>3.241981724</v>
      </c>
    </row>
    <row r="153" spans="1:6" x14ac:dyDescent="0.45">
      <c r="A153">
        <v>1180</v>
      </c>
      <c r="B153">
        <v>3</v>
      </c>
      <c r="C153">
        <v>0.74616992699999996</v>
      </c>
      <c r="D153">
        <v>1.7063536690000001</v>
      </c>
      <c r="E153">
        <v>0.56381669199999995</v>
      </c>
      <c r="F153">
        <v>0.74616992699999996</v>
      </c>
    </row>
    <row r="154" spans="1:6" x14ac:dyDescent="0.45">
      <c r="A154">
        <v>1190</v>
      </c>
      <c r="B154">
        <v>1</v>
      </c>
      <c r="C154">
        <v>13.423926160000001</v>
      </c>
      <c r="D154">
        <v>9.3261980369999993</v>
      </c>
      <c r="E154">
        <v>9.7431785229999992</v>
      </c>
      <c r="F154">
        <v>13.423926160000001</v>
      </c>
    </row>
    <row r="155" spans="1:6" x14ac:dyDescent="0.45">
      <c r="A155">
        <v>1190</v>
      </c>
      <c r="B155">
        <v>8</v>
      </c>
      <c r="C155">
        <v>3.6150443280000002</v>
      </c>
      <c r="D155">
        <v>12.93478943</v>
      </c>
      <c r="E155">
        <v>16.752022140000001</v>
      </c>
      <c r="F155">
        <v>3.6150443280000002</v>
      </c>
    </row>
    <row r="156" spans="1:6" x14ac:dyDescent="0.45">
      <c r="A156">
        <v>1190</v>
      </c>
      <c r="B156">
        <v>3</v>
      </c>
      <c r="C156">
        <v>21.201541280000001</v>
      </c>
      <c r="D156">
        <v>5.3877184319999998</v>
      </c>
      <c r="E156">
        <v>3.933051313</v>
      </c>
      <c r="F156">
        <v>21.201541280000001</v>
      </c>
    </row>
    <row r="157" spans="1:6" x14ac:dyDescent="0.45">
      <c r="A157">
        <v>1190</v>
      </c>
      <c r="B157">
        <v>6</v>
      </c>
      <c r="C157">
        <v>18.167369999999998</v>
      </c>
      <c r="D157">
        <v>17.903973449999999</v>
      </c>
      <c r="E157">
        <v>6.5890703720000001</v>
      </c>
      <c r="F157">
        <v>18.167369999999998</v>
      </c>
    </row>
    <row r="158" spans="1:6" x14ac:dyDescent="0.45">
      <c r="A158">
        <v>1190</v>
      </c>
      <c r="B158">
        <v>4</v>
      </c>
      <c r="C158">
        <v>5.378467476</v>
      </c>
      <c r="D158">
        <v>12.680910129999999</v>
      </c>
      <c r="E158">
        <v>1.571491822</v>
      </c>
      <c r="F158">
        <v>5.378467476</v>
      </c>
    </row>
    <row r="159" spans="1:6" x14ac:dyDescent="0.45">
      <c r="A159">
        <v>1190</v>
      </c>
      <c r="B159">
        <v>5</v>
      </c>
      <c r="C159">
        <v>8.5361568509999994</v>
      </c>
      <c r="D159">
        <v>5.4468096450000001</v>
      </c>
      <c r="E159">
        <v>6.0584907279999998</v>
      </c>
      <c r="F159">
        <v>8.5361568509999994</v>
      </c>
    </row>
    <row r="160" spans="1:6" x14ac:dyDescent="0.45">
      <c r="A160">
        <v>1190</v>
      </c>
      <c r="B160">
        <v>2</v>
      </c>
      <c r="C160">
        <v>4.2906773439999997</v>
      </c>
      <c r="D160">
        <v>6.5815260750000002</v>
      </c>
      <c r="E160">
        <v>14.45885906</v>
      </c>
      <c r="F160">
        <v>4.2906773439999997</v>
      </c>
    </row>
    <row r="161" spans="1:6" x14ac:dyDescent="0.45">
      <c r="A161">
        <v>1190</v>
      </c>
      <c r="B161">
        <v>7</v>
      </c>
      <c r="C161">
        <v>11.49344541</v>
      </c>
      <c r="D161">
        <v>1.3075531650000001</v>
      </c>
      <c r="E161">
        <v>3.8439030540000001</v>
      </c>
      <c r="F161">
        <v>11.49344541</v>
      </c>
    </row>
    <row r="162" spans="1:6" x14ac:dyDescent="0.45">
      <c r="A162">
        <v>1200</v>
      </c>
      <c r="B162">
        <v>5</v>
      </c>
      <c r="C162">
        <v>5.5877129109999997</v>
      </c>
      <c r="D162">
        <v>9.6158522909999995</v>
      </c>
      <c r="E162">
        <v>10.356357750000001</v>
      </c>
      <c r="F162">
        <v>5.5877129109999997</v>
      </c>
    </row>
    <row r="163" spans="1:6" x14ac:dyDescent="0.45">
      <c r="A163">
        <v>1200</v>
      </c>
      <c r="B163">
        <v>4</v>
      </c>
      <c r="C163">
        <v>5.5354572549999999</v>
      </c>
      <c r="D163">
        <v>1.3415338510000001</v>
      </c>
      <c r="E163">
        <v>7.2611993669999997</v>
      </c>
      <c r="F163">
        <v>5.5354572549999999</v>
      </c>
    </row>
    <row r="164" spans="1:6" x14ac:dyDescent="0.45">
      <c r="A164">
        <v>1200</v>
      </c>
      <c r="B164">
        <v>7</v>
      </c>
      <c r="C164">
        <v>4.7603879060000001</v>
      </c>
      <c r="D164">
        <v>2.68838066</v>
      </c>
      <c r="E164">
        <v>1.014293178</v>
      </c>
      <c r="F164">
        <v>4.7603879060000001</v>
      </c>
    </row>
    <row r="165" spans="1:6" x14ac:dyDescent="0.45">
      <c r="A165">
        <v>1200</v>
      </c>
      <c r="B165">
        <v>2</v>
      </c>
      <c r="C165">
        <v>19.314005259999998</v>
      </c>
      <c r="D165">
        <v>9.2960657680000001</v>
      </c>
      <c r="E165">
        <v>9.4193356969999993</v>
      </c>
      <c r="F165">
        <v>19.314005259999998</v>
      </c>
    </row>
    <row r="166" spans="1:6" x14ac:dyDescent="0.45">
      <c r="A166">
        <v>1200</v>
      </c>
      <c r="B166">
        <v>8</v>
      </c>
      <c r="C166">
        <v>4.6930849480000001</v>
      </c>
      <c r="D166">
        <v>8.4650927710000001</v>
      </c>
      <c r="E166">
        <v>7.7662563440000003</v>
      </c>
      <c r="F166">
        <v>4.6930849480000001</v>
      </c>
    </row>
    <row r="167" spans="1:6" x14ac:dyDescent="0.45">
      <c r="A167">
        <v>1200</v>
      </c>
      <c r="B167">
        <v>1</v>
      </c>
      <c r="C167">
        <v>17.333577890000001</v>
      </c>
      <c r="D167">
        <v>4.7930646469999996</v>
      </c>
      <c r="E167">
        <v>4.6452245589999999</v>
      </c>
      <c r="F167">
        <v>17.333577890000001</v>
      </c>
    </row>
    <row r="168" spans="1:6" x14ac:dyDescent="0.45">
      <c r="A168">
        <v>1200</v>
      </c>
      <c r="B168">
        <v>6</v>
      </c>
      <c r="C168">
        <v>9.445326025</v>
      </c>
      <c r="D168">
        <v>6.8803153410000002</v>
      </c>
      <c r="E168">
        <v>8.7639641580000003</v>
      </c>
      <c r="F168">
        <v>9.445326025</v>
      </c>
    </row>
    <row r="169" spans="1:6" x14ac:dyDescent="0.45">
      <c r="A169">
        <v>1200</v>
      </c>
      <c r="B169">
        <v>3</v>
      </c>
      <c r="C169">
        <v>3.0574261200000001</v>
      </c>
      <c r="D169">
        <v>4.3858942179999998</v>
      </c>
      <c r="E169">
        <v>5.8919447040000001</v>
      </c>
      <c r="F169">
        <v>3.0574261200000001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9E313-F07A-41C1-8A5F-99CC245D8F4F}">
  <dimension ref="A1:T169"/>
  <sheetViews>
    <sheetView topLeftCell="D1" workbookViewId="0">
      <selection activeCell="R36" sqref="R36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77.687502109999997</v>
      </c>
      <c r="D2">
        <v>78.029118299999993</v>
      </c>
      <c r="E2">
        <v>78.721922289999995</v>
      </c>
      <c r="F2">
        <v>77.687502109999997</v>
      </c>
      <c r="H2" t="s">
        <v>49</v>
      </c>
    </row>
    <row r="3" spans="1:14" x14ac:dyDescent="0.45">
      <c r="A3">
        <v>1000</v>
      </c>
      <c r="B3">
        <v>4</v>
      </c>
      <c r="C3">
        <v>68.613606000000004</v>
      </c>
      <c r="D3">
        <v>67.896706739999999</v>
      </c>
      <c r="E3">
        <v>67.626736629999996</v>
      </c>
      <c r="F3">
        <v>68.613606000000004</v>
      </c>
    </row>
    <row r="4" spans="1:14" ht="18.600000000000001" thickBot="1" x14ac:dyDescent="0.5">
      <c r="A4">
        <v>1000</v>
      </c>
      <c r="B4">
        <v>7</v>
      </c>
      <c r="C4">
        <v>77.638599080000006</v>
      </c>
      <c r="D4">
        <v>77.435569299999997</v>
      </c>
      <c r="E4">
        <v>77.119422020000002</v>
      </c>
      <c r="F4">
        <v>77.638599080000006</v>
      </c>
      <c r="H4" t="s">
        <v>50</v>
      </c>
    </row>
    <row r="5" spans="1:14" x14ac:dyDescent="0.45">
      <c r="A5">
        <v>1000</v>
      </c>
      <c r="B5">
        <v>2</v>
      </c>
      <c r="C5">
        <v>79.117385600000006</v>
      </c>
      <c r="D5">
        <v>77.820890439999999</v>
      </c>
      <c r="E5">
        <v>77.668324749999996</v>
      </c>
      <c r="F5">
        <v>79.117385600000006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68.092504379999994</v>
      </c>
      <c r="D6">
        <v>68.550387959999995</v>
      </c>
      <c r="E6">
        <v>68.395988590000002</v>
      </c>
      <c r="F6">
        <v>68.092504379999994</v>
      </c>
      <c r="H6" t="s">
        <v>46</v>
      </c>
      <c r="I6">
        <v>168</v>
      </c>
      <c r="J6">
        <v>12334.803211310002</v>
      </c>
      <c r="K6">
        <v>73.421447686369063</v>
      </c>
      <c r="L6">
        <v>95.283878751651216</v>
      </c>
    </row>
    <row r="7" spans="1:14" x14ac:dyDescent="0.45">
      <c r="A7">
        <v>1000</v>
      </c>
      <c r="B7">
        <v>1</v>
      </c>
      <c r="C7">
        <v>77.530769770000006</v>
      </c>
      <c r="D7">
        <v>77.566781059999997</v>
      </c>
      <c r="E7">
        <v>77.52997062</v>
      </c>
      <c r="F7">
        <v>77.530769770000006</v>
      </c>
      <c r="H7" t="s">
        <v>47</v>
      </c>
      <c r="I7">
        <v>168</v>
      </c>
      <c r="J7">
        <v>12665.994468439992</v>
      </c>
      <c r="K7">
        <v>75.392824216904714</v>
      </c>
      <c r="L7">
        <v>44.23292006667598</v>
      </c>
    </row>
    <row r="8" spans="1:14" ht="18.600000000000001" thickBot="1" x14ac:dyDescent="0.5">
      <c r="A8">
        <v>1000</v>
      </c>
      <c r="B8">
        <v>6</v>
      </c>
      <c r="C8">
        <v>77.243718520000002</v>
      </c>
      <c r="D8">
        <v>78.315669400000004</v>
      </c>
      <c r="E8">
        <v>76.833147350000004</v>
      </c>
      <c r="F8">
        <v>77.243718520000002</v>
      </c>
      <c r="H8" s="3" t="s">
        <v>48</v>
      </c>
      <c r="I8" s="3">
        <v>168</v>
      </c>
      <c r="J8" s="3">
        <v>12537.010404529996</v>
      </c>
      <c r="K8" s="3">
        <v>74.625061931726165</v>
      </c>
      <c r="L8" s="3">
        <v>46.194328989429486</v>
      </c>
    </row>
    <row r="9" spans="1:14" x14ac:dyDescent="0.45">
      <c r="A9">
        <v>1000</v>
      </c>
      <c r="B9">
        <v>3</v>
      </c>
      <c r="C9">
        <v>77.103695099999996</v>
      </c>
      <c r="D9">
        <v>76.206884869999996</v>
      </c>
      <c r="E9">
        <v>76.141959369999995</v>
      </c>
      <c r="F9">
        <v>77.103695099999996</v>
      </c>
    </row>
    <row r="10" spans="1:14" x14ac:dyDescent="0.45">
      <c r="A10">
        <v>1010</v>
      </c>
      <c r="B10">
        <v>5</v>
      </c>
      <c r="C10">
        <v>77.088272930000002</v>
      </c>
      <c r="D10">
        <v>78.681660149999999</v>
      </c>
      <c r="E10">
        <v>76.615660809999994</v>
      </c>
      <c r="F10">
        <v>77.088272930000002</v>
      </c>
    </row>
    <row r="11" spans="1:14" ht="18.600000000000001" thickBot="1" x14ac:dyDescent="0.5">
      <c r="A11">
        <v>1010</v>
      </c>
      <c r="B11">
        <v>4</v>
      </c>
      <c r="C11">
        <v>69.130152550000005</v>
      </c>
      <c r="D11">
        <v>68.221056799999999</v>
      </c>
      <c r="E11">
        <v>68.347708999999995</v>
      </c>
      <c r="F11">
        <v>69.130152550000005</v>
      </c>
      <c r="H11" t="s">
        <v>56</v>
      </c>
    </row>
    <row r="12" spans="1:14" x14ac:dyDescent="0.45">
      <c r="A12">
        <v>1010</v>
      </c>
      <c r="B12">
        <v>7</v>
      </c>
      <c r="C12">
        <v>78.522404969999997</v>
      </c>
      <c r="D12">
        <v>78.468315129999993</v>
      </c>
      <c r="E12">
        <v>77.033103690000004</v>
      </c>
      <c r="F12">
        <v>78.522404969999997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35.98351048</v>
      </c>
      <c r="D13">
        <v>78.446524670000002</v>
      </c>
      <c r="E13">
        <v>80.82029052</v>
      </c>
      <c r="F13">
        <v>35.98351048</v>
      </c>
      <c r="H13" t="s">
        <v>63</v>
      </c>
      <c r="I13">
        <v>331.77040978571677</v>
      </c>
      <c r="J13">
        <v>2</v>
      </c>
      <c r="K13">
        <v>165.88520489285838</v>
      </c>
      <c r="L13">
        <v>2.6797296454617219</v>
      </c>
      <c r="M13">
        <v>6.9564714421531559E-2</v>
      </c>
      <c r="N13">
        <v>3.0137168925158462</v>
      </c>
    </row>
    <row r="14" spans="1:14" x14ac:dyDescent="0.45">
      <c r="A14">
        <v>1010</v>
      </c>
      <c r="B14">
        <v>8</v>
      </c>
      <c r="C14">
        <v>68.231560990000006</v>
      </c>
      <c r="D14">
        <v>70.818387959999995</v>
      </c>
      <c r="E14">
        <v>68.687691079999993</v>
      </c>
      <c r="F14">
        <v>68.231560990000006</v>
      </c>
      <c r="H14" t="s">
        <v>64</v>
      </c>
      <c r="I14">
        <v>31013.758343895293</v>
      </c>
      <c r="J14">
        <v>501</v>
      </c>
      <c r="K14">
        <v>61.903709269252083</v>
      </c>
    </row>
    <row r="15" spans="1:14" x14ac:dyDescent="0.45">
      <c r="A15">
        <v>1010</v>
      </c>
      <c r="B15">
        <v>1</v>
      </c>
      <c r="C15">
        <v>79.116923020000002</v>
      </c>
      <c r="D15">
        <v>79.935069560000002</v>
      </c>
      <c r="E15">
        <v>78.05373797</v>
      </c>
      <c r="F15">
        <v>79.116923020000002</v>
      </c>
    </row>
    <row r="16" spans="1:14" ht="18.600000000000001" thickBot="1" x14ac:dyDescent="0.5">
      <c r="A16">
        <v>1010</v>
      </c>
      <c r="B16">
        <v>6</v>
      </c>
      <c r="C16">
        <v>79.336999340000006</v>
      </c>
      <c r="D16">
        <v>82.261974620000004</v>
      </c>
      <c r="E16">
        <v>78.276393949999999</v>
      </c>
      <c r="F16">
        <v>79.336999340000006</v>
      </c>
      <c r="H16" s="3" t="s">
        <v>53</v>
      </c>
      <c r="I16" s="3">
        <v>31345.52875368101</v>
      </c>
      <c r="J16" s="3">
        <v>503</v>
      </c>
      <c r="K16" s="3"/>
      <c r="L16" s="3"/>
      <c r="M16" s="3"/>
      <c r="N16" s="3"/>
    </row>
    <row r="17" spans="1:20" x14ac:dyDescent="0.45">
      <c r="A17">
        <v>1010</v>
      </c>
      <c r="B17">
        <v>3</v>
      </c>
      <c r="C17">
        <v>76.63814137</v>
      </c>
      <c r="D17">
        <v>77.947132769999996</v>
      </c>
      <c r="E17">
        <v>77.572122980000003</v>
      </c>
      <c r="F17">
        <v>76.63814137</v>
      </c>
    </row>
    <row r="18" spans="1:20" x14ac:dyDescent="0.45">
      <c r="A18">
        <v>1020</v>
      </c>
      <c r="B18">
        <v>5</v>
      </c>
      <c r="C18">
        <v>79.328887190000003</v>
      </c>
      <c r="D18">
        <v>78.958341379999993</v>
      </c>
      <c r="E18">
        <v>80.371618589999997</v>
      </c>
      <c r="F18">
        <v>79.328887190000003</v>
      </c>
    </row>
    <row r="19" spans="1:20" x14ac:dyDescent="0.45">
      <c r="A19">
        <v>1020</v>
      </c>
      <c r="B19">
        <v>4</v>
      </c>
      <c r="C19">
        <v>75.583196340000001</v>
      </c>
      <c r="D19">
        <v>72.993100310000003</v>
      </c>
      <c r="E19">
        <v>66.104637400000001</v>
      </c>
      <c r="F19">
        <v>75.583196340000001</v>
      </c>
      <c r="H19" t="s">
        <v>80</v>
      </c>
      <c r="M19" t="s">
        <v>80</v>
      </c>
      <c r="R19" t="s">
        <v>80</v>
      </c>
    </row>
    <row r="20" spans="1:20" ht="18.600000000000001" thickBot="1" x14ac:dyDescent="0.5">
      <c r="A20">
        <v>1020</v>
      </c>
      <c r="B20">
        <v>7</v>
      </c>
      <c r="C20">
        <v>75.873203989999993</v>
      </c>
      <c r="D20">
        <v>85.159738390000001</v>
      </c>
      <c r="E20">
        <v>79.112145029999994</v>
      </c>
      <c r="F20">
        <v>75.873203989999993</v>
      </c>
    </row>
    <row r="21" spans="1:20" x14ac:dyDescent="0.45">
      <c r="A21">
        <v>1020</v>
      </c>
      <c r="B21">
        <v>2</v>
      </c>
      <c r="C21">
        <v>78.648701209999999</v>
      </c>
      <c r="D21">
        <v>82.520296200000004</v>
      </c>
      <c r="E21">
        <v>80.564335700000001</v>
      </c>
      <c r="F21">
        <v>78.648701209999999</v>
      </c>
      <c r="H21" s="4"/>
      <c r="I21" s="4" t="s">
        <v>46</v>
      </c>
      <c r="J21" s="4" t="s">
        <v>47</v>
      </c>
      <c r="M21" s="4"/>
      <c r="N21" s="4" t="s">
        <v>47</v>
      </c>
      <c r="O21" s="4" t="s">
        <v>48</v>
      </c>
      <c r="R21" s="4"/>
      <c r="S21" s="4" t="s">
        <v>48</v>
      </c>
      <c r="T21" s="4" t="s">
        <v>46</v>
      </c>
    </row>
    <row r="22" spans="1:20" x14ac:dyDescent="0.45">
      <c r="A22">
        <v>1020</v>
      </c>
      <c r="B22">
        <v>8</v>
      </c>
      <c r="C22">
        <v>72.305874369999998</v>
      </c>
      <c r="D22">
        <v>66.595237760000003</v>
      </c>
      <c r="E22">
        <v>66.189610549999998</v>
      </c>
      <c r="F22">
        <v>72.305874369999998</v>
      </c>
      <c r="H22" t="s">
        <v>54</v>
      </c>
      <c r="I22">
        <v>73.421447686369063</v>
      </c>
      <c r="J22">
        <v>75.392824216904714</v>
      </c>
      <c r="M22" t="s">
        <v>54</v>
      </c>
      <c r="N22">
        <v>75.392824216904714</v>
      </c>
      <c r="O22">
        <v>74.625061931726165</v>
      </c>
      <c r="R22" t="s">
        <v>54</v>
      </c>
      <c r="S22">
        <v>74.625061931726165</v>
      </c>
      <c r="T22">
        <v>73.421447686369063</v>
      </c>
    </row>
    <row r="23" spans="1:20" x14ac:dyDescent="0.45">
      <c r="A23">
        <v>1020</v>
      </c>
      <c r="B23">
        <v>1</v>
      </c>
      <c r="C23">
        <v>80.256120210000006</v>
      </c>
      <c r="D23">
        <v>75.767487750000001</v>
      </c>
      <c r="E23">
        <v>78.588302709999994</v>
      </c>
      <c r="F23">
        <v>80.256120210000006</v>
      </c>
      <c r="H23" t="s">
        <v>55</v>
      </c>
      <c r="I23">
        <v>95.283878751651216</v>
      </c>
      <c r="J23">
        <v>44.23292006667598</v>
      </c>
      <c r="M23" t="s">
        <v>55</v>
      </c>
      <c r="N23">
        <v>44.23292006667598</v>
      </c>
      <c r="O23">
        <v>46.194328989429486</v>
      </c>
      <c r="R23" t="s">
        <v>55</v>
      </c>
      <c r="S23">
        <v>46.194328989429486</v>
      </c>
      <c r="T23">
        <v>95.283878751651216</v>
      </c>
    </row>
    <row r="24" spans="1:20" x14ac:dyDescent="0.45">
      <c r="A24">
        <v>1020</v>
      </c>
      <c r="B24">
        <v>6</v>
      </c>
      <c r="C24">
        <v>76.589882849999995</v>
      </c>
      <c r="D24">
        <v>90.164155440000002</v>
      </c>
      <c r="E24">
        <v>76.208691520000002</v>
      </c>
      <c r="F24">
        <v>76.589882849999995</v>
      </c>
      <c r="H24" t="s">
        <v>81</v>
      </c>
      <c r="I24">
        <v>168</v>
      </c>
      <c r="J24">
        <v>168</v>
      </c>
      <c r="M24" t="s">
        <v>81</v>
      </c>
      <c r="N24">
        <v>168</v>
      </c>
      <c r="O24">
        <v>168</v>
      </c>
      <c r="R24" t="s">
        <v>81</v>
      </c>
      <c r="S24">
        <v>168</v>
      </c>
      <c r="T24">
        <v>168</v>
      </c>
    </row>
    <row r="25" spans="1:20" x14ac:dyDescent="0.45">
      <c r="A25">
        <v>1020</v>
      </c>
      <c r="B25">
        <v>3</v>
      </c>
      <c r="C25">
        <v>75.0180735</v>
      </c>
      <c r="D25">
        <v>75.279219560000001</v>
      </c>
      <c r="E25">
        <v>76.584908650000003</v>
      </c>
      <c r="F25">
        <v>75.0180735</v>
      </c>
      <c r="H25" t="s">
        <v>82</v>
      </c>
      <c r="I25">
        <v>0.26365783622194411</v>
      </c>
      <c r="M25" t="s">
        <v>82</v>
      </c>
      <c r="N25">
        <v>0.52865903278772952</v>
      </c>
      <c r="R25" t="s">
        <v>82</v>
      </c>
      <c r="S25">
        <v>0.31873327007030999</v>
      </c>
    </row>
    <row r="26" spans="1:20" x14ac:dyDescent="0.45">
      <c r="A26">
        <v>1030</v>
      </c>
      <c r="B26">
        <v>1</v>
      </c>
      <c r="C26">
        <v>76.710137900000007</v>
      </c>
      <c r="D26">
        <v>78.777181569999996</v>
      </c>
      <c r="E26">
        <v>76.202770630000003</v>
      </c>
      <c r="F26">
        <v>76.710137900000007</v>
      </c>
      <c r="H26" t="s">
        <v>83</v>
      </c>
      <c r="I26">
        <v>0</v>
      </c>
      <c r="M26" t="s">
        <v>83</v>
      </c>
      <c r="N26">
        <v>0</v>
      </c>
      <c r="R26" t="s">
        <v>83</v>
      </c>
      <c r="S26">
        <v>0</v>
      </c>
    </row>
    <row r="27" spans="1:20" x14ac:dyDescent="0.45">
      <c r="A27">
        <v>1030</v>
      </c>
      <c r="B27">
        <v>8</v>
      </c>
      <c r="C27">
        <v>68.188745900000001</v>
      </c>
      <c r="D27">
        <v>67.851167320000002</v>
      </c>
      <c r="E27">
        <v>68.17017104</v>
      </c>
      <c r="F27">
        <v>68.188745900000001</v>
      </c>
      <c r="H27" t="s">
        <v>59</v>
      </c>
      <c r="I27">
        <v>167</v>
      </c>
      <c r="M27" t="s">
        <v>59</v>
      </c>
      <c r="N27">
        <v>167</v>
      </c>
      <c r="R27" t="s">
        <v>59</v>
      </c>
      <c r="S27">
        <v>167</v>
      </c>
    </row>
    <row r="28" spans="1:20" x14ac:dyDescent="0.45">
      <c r="A28">
        <v>1030</v>
      </c>
      <c r="B28">
        <v>3</v>
      </c>
      <c r="C28">
        <v>77.642505470000003</v>
      </c>
      <c r="D28">
        <v>84.122574470000004</v>
      </c>
      <c r="E28">
        <v>79.699672649999997</v>
      </c>
      <c r="F28">
        <v>77.642505470000003</v>
      </c>
      <c r="H28" t="s">
        <v>84</v>
      </c>
      <c r="I28">
        <v>-2.4902605509813602</v>
      </c>
      <c r="M28" t="s">
        <v>84</v>
      </c>
      <c r="N28">
        <v>1.5240768595221694</v>
      </c>
      <c r="R28" t="s">
        <v>84</v>
      </c>
      <c r="S28">
        <v>1.5664516796546806</v>
      </c>
    </row>
    <row r="29" spans="1:20" x14ac:dyDescent="0.45">
      <c r="A29">
        <v>1030</v>
      </c>
      <c r="B29">
        <v>6</v>
      </c>
      <c r="C29">
        <v>81.163391989999994</v>
      </c>
      <c r="D29">
        <v>81.273251369999997</v>
      </c>
      <c r="E29">
        <v>79.753531229999993</v>
      </c>
      <c r="F29">
        <v>81.163391989999994</v>
      </c>
      <c r="H29" t="s">
        <v>85</v>
      </c>
      <c r="I29">
        <v>6.8714183082293386E-3</v>
      </c>
      <c r="M29" t="s">
        <v>85</v>
      </c>
      <c r="N29">
        <v>6.469048928515761E-2</v>
      </c>
      <c r="R29" t="s">
        <v>85</v>
      </c>
      <c r="S29">
        <v>5.956790998695824E-2</v>
      </c>
    </row>
    <row r="30" spans="1:20" x14ac:dyDescent="0.45">
      <c r="A30">
        <v>1030</v>
      </c>
      <c r="B30">
        <v>4</v>
      </c>
      <c r="C30">
        <v>67.327101540000001</v>
      </c>
      <c r="D30">
        <v>67.861830850000004</v>
      </c>
      <c r="E30">
        <v>66.102914060000003</v>
      </c>
      <c r="F30">
        <v>67.327101540000001</v>
      </c>
      <c r="H30" t="s">
        <v>86</v>
      </c>
      <c r="I30">
        <v>1.6540291281334114</v>
      </c>
      <c r="M30" t="s">
        <v>86</v>
      </c>
      <c r="N30">
        <v>1.6540291281334114</v>
      </c>
      <c r="R30" t="s">
        <v>86</v>
      </c>
      <c r="S30">
        <v>1.6540291281334114</v>
      </c>
    </row>
    <row r="31" spans="1:20" x14ac:dyDescent="0.45">
      <c r="A31">
        <v>1030</v>
      </c>
      <c r="B31">
        <v>5</v>
      </c>
      <c r="C31">
        <v>77.858932060000001</v>
      </c>
      <c r="D31">
        <v>77.991986080000004</v>
      </c>
      <c r="E31">
        <v>82.029088490000007</v>
      </c>
      <c r="F31">
        <v>77.858932060000001</v>
      </c>
      <c r="H31" t="s">
        <v>87</v>
      </c>
      <c r="I31">
        <v>1.3742836616458677E-2</v>
      </c>
      <c r="M31" t="s">
        <v>87</v>
      </c>
      <c r="N31">
        <v>0.12938097857031522</v>
      </c>
      <c r="R31" t="s">
        <v>87</v>
      </c>
      <c r="S31">
        <v>0.11913581997391648</v>
      </c>
    </row>
    <row r="32" spans="1:20" ht="18.600000000000001" thickBot="1" x14ac:dyDescent="0.5">
      <c r="A32">
        <v>1030</v>
      </c>
      <c r="B32">
        <v>2</v>
      </c>
      <c r="C32">
        <v>76.677460120000006</v>
      </c>
      <c r="D32">
        <v>78.830648600000004</v>
      </c>
      <c r="E32">
        <v>80.249513129999997</v>
      </c>
      <c r="F32">
        <v>76.677460120000006</v>
      </c>
      <c r="H32" s="3" t="s">
        <v>88</v>
      </c>
      <c r="I32" s="3">
        <v>1.9742709570280526</v>
      </c>
      <c r="J32" s="3"/>
      <c r="M32" s="3" t="s">
        <v>88</v>
      </c>
      <c r="N32" s="3">
        <v>1.9742709570280526</v>
      </c>
      <c r="O32" s="3"/>
      <c r="R32" s="3" t="s">
        <v>88</v>
      </c>
      <c r="S32" s="3">
        <v>1.9742709570280526</v>
      </c>
      <c r="T32" s="3"/>
    </row>
    <row r="33" spans="1:6" x14ac:dyDescent="0.45">
      <c r="A33">
        <v>1030</v>
      </c>
      <c r="B33">
        <v>7</v>
      </c>
      <c r="C33">
        <v>76.341096449999995</v>
      </c>
      <c r="D33">
        <v>83.463036290000005</v>
      </c>
      <c r="E33">
        <v>76.482270249999999</v>
      </c>
      <c r="F33">
        <v>76.341096449999995</v>
      </c>
    </row>
    <row r="34" spans="1:6" x14ac:dyDescent="0.45">
      <c r="A34">
        <v>1040</v>
      </c>
      <c r="B34">
        <v>1</v>
      </c>
      <c r="C34">
        <v>76.823546539999995</v>
      </c>
      <c r="D34">
        <v>75.761618819999995</v>
      </c>
      <c r="E34">
        <v>76.419118789999999</v>
      </c>
      <c r="F34">
        <v>76.823546539999995</v>
      </c>
    </row>
    <row r="35" spans="1:6" x14ac:dyDescent="0.45">
      <c r="A35">
        <v>1040</v>
      </c>
      <c r="B35">
        <v>8</v>
      </c>
      <c r="C35">
        <v>67.327244370000003</v>
      </c>
      <c r="D35">
        <v>67.082038510000004</v>
      </c>
      <c r="E35">
        <v>68.424387749999994</v>
      </c>
      <c r="F35">
        <v>67.327244370000003</v>
      </c>
    </row>
    <row r="36" spans="1:6" x14ac:dyDescent="0.45">
      <c r="A36">
        <v>1040</v>
      </c>
      <c r="B36">
        <v>3</v>
      </c>
      <c r="C36">
        <v>74.989280289999996</v>
      </c>
      <c r="D36">
        <v>76.688683879999999</v>
      </c>
      <c r="E36">
        <v>76.852460570000005</v>
      </c>
      <c r="F36">
        <v>74.989280289999996</v>
      </c>
    </row>
    <row r="37" spans="1:6" x14ac:dyDescent="0.45">
      <c r="A37">
        <v>1040</v>
      </c>
      <c r="B37">
        <v>6</v>
      </c>
      <c r="C37">
        <v>35.441003000000002</v>
      </c>
      <c r="D37">
        <v>78.428212669999994</v>
      </c>
      <c r="E37">
        <v>76.571296329999996</v>
      </c>
      <c r="F37">
        <v>35.441003000000002</v>
      </c>
    </row>
    <row r="38" spans="1:6" x14ac:dyDescent="0.45">
      <c r="A38">
        <v>1040</v>
      </c>
      <c r="B38">
        <v>4</v>
      </c>
      <c r="C38">
        <v>67.735846679999995</v>
      </c>
      <c r="D38">
        <v>67.376430369999994</v>
      </c>
      <c r="E38">
        <v>68.363547710000006</v>
      </c>
      <c r="F38">
        <v>67.735846679999995</v>
      </c>
    </row>
    <row r="39" spans="1:6" x14ac:dyDescent="0.45">
      <c r="A39">
        <v>1040</v>
      </c>
      <c r="B39">
        <v>5</v>
      </c>
      <c r="C39">
        <v>77.813792820000003</v>
      </c>
      <c r="D39">
        <v>76.497725029999998</v>
      </c>
      <c r="E39">
        <v>77.530040560000003</v>
      </c>
      <c r="F39">
        <v>77.813792820000003</v>
      </c>
    </row>
    <row r="40" spans="1:6" x14ac:dyDescent="0.45">
      <c r="A40">
        <v>1040</v>
      </c>
      <c r="B40">
        <v>2</v>
      </c>
      <c r="C40">
        <v>78.060950890000001</v>
      </c>
      <c r="D40">
        <v>76.718775840000006</v>
      </c>
      <c r="E40">
        <v>77.171947979999999</v>
      </c>
      <c r="F40">
        <v>78.060950890000001</v>
      </c>
    </row>
    <row r="41" spans="1:6" x14ac:dyDescent="0.45">
      <c r="A41">
        <v>1040</v>
      </c>
      <c r="B41">
        <v>7</v>
      </c>
      <c r="C41">
        <v>78.092316249999996</v>
      </c>
      <c r="D41">
        <v>77.486805469999993</v>
      </c>
      <c r="E41">
        <v>77.47545968</v>
      </c>
      <c r="F41">
        <v>78.092316249999996</v>
      </c>
    </row>
    <row r="42" spans="1:6" x14ac:dyDescent="0.45">
      <c r="A42">
        <v>1050</v>
      </c>
      <c r="B42">
        <v>1</v>
      </c>
      <c r="C42">
        <v>78.365937119999998</v>
      </c>
      <c r="D42">
        <v>77.537247109999996</v>
      </c>
      <c r="E42">
        <v>77.196781150000007</v>
      </c>
      <c r="F42">
        <v>78.365937119999998</v>
      </c>
    </row>
    <row r="43" spans="1:6" x14ac:dyDescent="0.45">
      <c r="A43">
        <v>1050</v>
      </c>
      <c r="B43">
        <v>8</v>
      </c>
      <c r="C43">
        <v>68.768087710000003</v>
      </c>
      <c r="D43">
        <v>67.770950850000006</v>
      </c>
      <c r="E43">
        <v>67.064044809999999</v>
      </c>
      <c r="F43">
        <v>68.768087710000003</v>
      </c>
    </row>
    <row r="44" spans="1:6" x14ac:dyDescent="0.45">
      <c r="A44">
        <v>1050</v>
      </c>
      <c r="B44">
        <v>3</v>
      </c>
      <c r="C44">
        <v>76.134247020000004</v>
      </c>
      <c r="D44">
        <v>77.093995910000004</v>
      </c>
      <c r="E44">
        <v>77.298975589999998</v>
      </c>
      <c r="F44">
        <v>76.134247020000004</v>
      </c>
    </row>
    <row r="45" spans="1:6" x14ac:dyDescent="0.45">
      <c r="A45">
        <v>1050</v>
      </c>
      <c r="B45">
        <v>6</v>
      </c>
      <c r="C45">
        <v>76.186644049999998</v>
      </c>
      <c r="D45">
        <v>76.739517410000005</v>
      </c>
      <c r="E45">
        <v>75.756526829999999</v>
      </c>
      <c r="F45">
        <v>76.186644049999998</v>
      </c>
    </row>
    <row r="46" spans="1:6" x14ac:dyDescent="0.45">
      <c r="A46">
        <v>1050</v>
      </c>
      <c r="B46">
        <v>4</v>
      </c>
      <c r="C46">
        <v>68.012966649999996</v>
      </c>
      <c r="D46">
        <v>72.326975489999995</v>
      </c>
      <c r="E46">
        <v>67.29222197</v>
      </c>
      <c r="F46">
        <v>68.012966649999996</v>
      </c>
    </row>
    <row r="47" spans="1:6" x14ac:dyDescent="0.45">
      <c r="A47">
        <v>1050</v>
      </c>
      <c r="B47">
        <v>5</v>
      </c>
      <c r="C47">
        <v>78.125148240000001</v>
      </c>
      <c r="D47">
        <v>77.660949630000005</v>
      </c>
      <c r="E47">
        <v>78.474109290000001</v>
      </c>
      <c r="F47">
        <v>78.125148240000001</v>
      </c>
    </row>
    <row r="48" spans="1:6" x14ac:dyDescent="0.45">
      <c r="A48">
        <v>1050</v>
      </c>
      <c r="B48">
        <v>2</v>
      </c>
      <c r="C48">
        <v>78.644708370000004</v>
      </c>
      <c r="D48">
        <v>78.556277460000004</v>
      </c>
      <c r="E48">
        <v>79.106912589999993</v>
      </c>
      <c r="F48">
        <v>78.644708370000004</v>
      </c>
    </row>
    <row r="49" spans="1:6" x14ac:dyDescent="0.45">
      <c r="A49">
        <v>1050</v>
      </c>
      <c r="B49">
        <v>7</v>
      </c>
      <c r="C49">
        <v>76.513419600000006</v>
      </c>
      <c r="D49">
        <v>77.645450370000006</v>
      </c>
      <c r="E49">
        <v>77.016894930000007</v>
      </c>
      <c r="F49">
        <v>76.513419600000006</v>
      </c>
    </row>
    <row r="50" spans="1:6" x14ac:dyDescent="0.45">
      <c r="A50">
        <v>1060</v>
      </c>
      <c r="B50">
        <v>5</v>
      </c>
      <c r="C50">
        <v>78.020733390000004</v>
      </c>
      <c r="D50">
        <v>75.360454700000005</v>
      </c>
      <c r="E50">
        <v>74.694457510000007</v>
      </c>
      <c r="F50">
        <v>78.020733390000004</v>
      </c>
    </row>
    <row r="51" spans="1:6" x14ac:dyDescent="0.45">
      <c r="A51">
        <v>1060</v>
      </c>
      <c r="B51">
        <v>4</v>
      </c>
      <c r="C51">
        <v>66.908071460000002</v>
      </c>
      <c r="D51">
        <v>66.174270680000006</v>
      </c>
      <c r="E51">
        <v>66.561095539999997</v>
      </c>
      <c r="F51">
        <v>66.908071460000002</v>
      </c>
    </row>
    <row r="52" spans="1:6" x14ac:dyDescent="0.45">
      <c r="A52">
        <v>1060</v>
      </c>
      <c r="B52">
        <v>7</v>
      </c>
      <c r="C52">
        <v>75.455091890000006</v>
      </c>
      <c r="D52">
        <v>75.619574110000002</v>
      </c>
      <c r="E52">
        <v>75.699466470000004</v>
      </c>
      <c r="F52">
        <v>75.455091890000006</v>
      </c>
    </row>
    <row r="53" spans="1:6" x14ac:dyDescent="0.45">
      <c r="A53">
        <v>1060</v>
      </c>
      <c r="B53">
        <v>2</v>
      </c>
      <c r="C53">
        <v>76.198006199999995</v>
      </c>
      <c r="D53">
        <v>75.171989100000005</v>
      </c>
      <c r="E53">
        <v>74.011217930000001</v>
      </c>
      <c r="F53">
        <v>76.198006199999995</v>
      </c>
    </row>
    <row r="54" spans="1:6" x14ac:dyDescent="0.45">
      <c r="A54">
        <v>1060</v>
      </c>
      <c r="B54">
        <v>8</v>
      </c>
      <c r="C54">
        <v>34.339133560000001</v>
      </c>
      <c r="D54">
        <v>65.8405925</v>
      </c>
      <c r="E54">
        <v>65.172100450000002</v>
      </c>
      <c r="F54">
        <v>34.339133560000001</v>
      </c>
    </row>
    <row r="55" spans="1:6" x14ac:dyDescent="0.45">
      <c r="A55">
        <v>1060</v>
      </c>
      <c r="B55">
        <v>1</v>
      </c>
      <c r="C55">
        <v>77.469222459999997</v>
      </c>
      <c r="D55">
        <v>76.587149890000006</v>
      </c>
      <c r="E55">
        <v>76.433745549999998</v>
      </c>
      <c r="F55">
        <v>77.469222459999997</v>
      </c>
    </row>
    <row r="56" spans="1:6" x14ac:dyDescent="0.45">
      <c r="A56">
        <v>1060</v>
      </c>
      <c r="B56">
        <v>6</v>
      </c>
      <c r="C56">
        <v>77.904801329999998</v>
      </c>
      <c r="D56">
        <v>76.79606106</v>
      </c>
      <c r="E56">
        <v>76.764795140000004</v>
      </c>
      <c r="F56">
        <v>77.904801329999998</v>
      </c>
    </row>
    <row r="57" spans="1:6" x14ac:dyDescent="0.45">
      <c r="A57">
        <v>1060</v>
      </c>
      <c r="B57">
        <v>3</v>
      </c>
      <c r="C57">
        <v>76.121303990000001</v>
      </c>
      <c r="D57">
        <v>76.150552140000002</v>
      </c>
      <c r="E57">
        <v>75.488695050000004</v>
      </c>
      <c r="F57">
        <v>76.121303990000001</v>
      </c>
    </row>
    <row r="58" spans="1:6" x14ac:dyDescent="0.45">
      <c r="A58">
        <v>1070</v>
      </c>
      <c r="B58">
        <v>5</v>
      </c>
      <c r="C58">
        <v>90.621359269999999</v>
      </c>
      <c r="D58">
        <v>78.205882930000001</v>
      </c>
      <c r="E58">
        <v>76.793516510000003</v>
      </c>
      <c r="F58">
        <v>90.621359269999999</v>
      </c>
    </row>
    <row r="59" spans="1:6" x14ac:dyDescent="0.45">
      <c r="A59">
        <v>1070</v>
      </c>
      <c r="B59">
        <v>4</v>
      </c>
      <c r="C59">
        <v>68.608821210000002</v>
      </c>
      <c r="D59">
        <v>70.448398589999996</v>
      </c>
      <c r="E59">
        <v>67.480772479999999</v>
      </c>
      <c r="F59">
        <v>68.608821210000002</v>
      </c>
    </row>
    <row r="60" spans="1:6" x14ac:dyDescent="0.45">
      <c r="A60">
        <v>1070</v>
      </c>
      <c r="B60">
        <v>7</v>
      </c>
      <c r="C60">
        <v>78.721812470000003</v>
      </c>
      <c r="D60">
        <v>76.344231910000005</v>
      </c>
      <c r="E60">
        <v>77.231674240000004</v>
      </c>
      <c r="F60">
        <v>78.721812470000003</v>
      </c>
    </row>
    <row r="61" spans="1:6" x14ac:dyDescent="0.45">
      <c r="A61">
        <v>1070</v>
      </c>
      <c r="B61">
        <v>2</v>
      </c>
      <c r="C61">
        <v>79.205081129999996</v>
      </c>
      <c r="D61">
        <v>83.416433299999994</v>
      </c>
      <c r="E61">
        <v>78.539106570000001</v>
      </c>
      <c r="F61">
        <v>79.205081129999996</v>
      </c>
    </row>
    <row r="62" spans="1:6" x14ac:dyDescent="0.45">
      <c r="A62">
        <v>1070</v>
      </c>
      <c r="B62">
        <v>8</v>
      </c>
      <c r="C62">
        <v>69.922893810000005</v>
      </c>
      <c r="D62">
        <v>68.508969840000006</v>
      </c>
      <c r="E62">
        <v>33.333198099999997</v>
      </c>
      <c r="F62">
        <v>69.922893810000005</v>
      </c>
    </row>
    <row r="63" spans="1:6" x14ac:dyDescent="0.45">
      <c r="A63">
        <v>1070</v>
      </c>
      <c r="B63">
        <v>1</v>
      </c>
      <c r="C63">
        <v>78.758379570000002</v>
      </c>
      <c r="D63">
        <v>84.894126720000003</v>
      </c>
      <c r="E63">
        <v>79.212017020000005</v>
      </c>
      <c r="F63">
        <v>78.758379570000002</v>
      </c>
    </row>
    <row r="64" spans="1:6" x14ac:dyDescent="0.45">
      <c r="A64">
        <v>1070</v>
      </c>
      <c r="B64">
        <v>6</v>
      </c>
      <c r="C64">
        <v>79.137539649999994</v>
      </c>
      <c r="D64">
        <v>78.195584179999997</v>
      </c>
      <c r="E64">
        <v>79.530412130000002</v>
      </c>
      <c r="F64">
        <v>79.137539649999994</v>
      </c>
    </row>
    <row r="65" spans="1:6" x14ac:dyDescent="0.45">
      <c r="A65">
        <v>1070</v>
      </c>
      <c r="B65">
        <v>3</v>
      </c>
      <c r="C65">
        <v>78.684532899999994</v>
      </c>
      <c r="D65">
        <v>76.870208120000001</v>
      </c>
      <c r="E65">
        <v>78.372206059999996</v>
      </c>
      <c r="F65">
        <v>78.684532899999994</v>
      </c>
    </row>
    <row r="66" spans="1:6" x14ac:dyDescent="0.45">
      <c r="A66">
        <v>1080</v>
      </c>
      <c r="B66">
        <v>1</v>
      </c>
      <c r="C66">
        <v>76.803276170000004</v>
      </c>
      <c r="D66">
        <v>77.177955040000001</v>
      </c>
      <c r="E66">
        <v>78.795779060000001</v>
      </c>
      <c r="F66">
        <v>76.803276170000004</v>
      </c>
    </row>
    <row r="67" spans="1:6" x14ac:dyDescent="0.45">
      <c r="A67">
        <v>1080</v>
      </c>
      <c r="B67">
        <v>8</v>
      </c>
      <c r="C67">
        <v>67.716036889999998</v>
      </c>
      <c r="D67">
        <v>68.295904809999996</v>
      </c>
      <c r="E67">
        <v>68.25190834</v>
      </c>
      <c r="F67">
        <v>67.716036889999998</v>
      </c>
    </row>
    <row r="68" spans="1:6" x14ac:dyDescent="0.45">
      <c r="A68">
        <v>1080</v>
      </c>
      <c r="B68">
        <v>3</v>
      </c>
      <c r="C68">
        <v>76.470740890000002</v>
      </c>
      <c r="D68">
        <v>78.873243779999996</v>
      </c>
      <c r="E68">
        <v>77.028822450000007</v>
      </c>
      <c r="F68">
        <v>76.470740890000002</v>
      </c>
    </row>
    <row r="69" spans="1:6" x14ac:dyDescent="0.45">
      <c r="A69">
        <v>1080</v>
      </c>
      <c r="B69">
        <v>6</v>
      </c>
      <c r="C69">
        <v>78.89658781</v>
      </c>
      <c r="D69">
        <v>78.928234649999993</v>
      </c>
      <c r="E69">
        <v>77.306993379999994</v>
      </c>
      <c r="F69">
        <v>78.89658781</v>
      </c>
    </row>
    <row r="70" spans="1:6" x14ac:dyDescent="0.45">
      <c r="A70">
        <v>1080</v>
      </c>
      <c r="B70">
        <v>4</v>
      </c>
      <c r="C70">
        <v>69.009465809999995</v>
      </c>
      <c r="D70">
        <v>67.159492040000003</v>
      </c>
      <c r="E70">
        <v>69.587479009999996</v>
      </c>
      <c r="F70">
        <v>69.009465809999995</v>
      </c>
    </row>
    <row r="71" spans="1:6" x14ac:dyDescent="0.45">
      <c r="A71">
        <v>1080</v>
      </c>
      <c r="B71">
        <v>5</v>
      </c>
      <c r="C71">
        <v>79.882261700000001</v>
      </c>
      <c r="D71">
        <v>77.569747210000003</v>
      </c>
      <c r="E71">
        <v>76.423999879999997</v>
      </c>
      <c r="F71">
        <v>79.882261700000001</v>
      </c>
    </row>
    <row r="72" spans="1:6" x14ac:dyDescent="0.45">
      <c r="A72">
        <v>1080</v>
      </c>
      <c r="B72">
        <v>2</v>
      </c>
      <c r="C72">
        <v>77.515426790000006</v>
      </c>
      <c r="D72">
        <v>78.850075450000006</v>
      </c>
      <c r="E72">
        <v>78.300780020000005</v>
      </c>
      <c r="F72">
        <v>77.515426790000006</v>
      </c>
    </row>
    <row r="73" spans="1:6" x14ac:dyDescent="0.45">
      <c r="A73">
        <v>1080</v>
      </c>
      <c r="B73">
        <v>7</v>
      </c>
      <c r="C73">
        <v>83.090437850000001</v>
      </c>
      <c r="D73">
        <v>77.086533340000003</v>
      </c>
      <c r="E73">
        <v>78.407028350000004</v>
      </c>
      <c r="F73">
        <v>83.090437850000001</v>
      </c>
    </row>
    <row r="74" spans="1:6" x14ac:dyDescent="0.45">
      <c r="A74">
        <v>1090</v>
      </c>
      <c r="B74">
        <v>5</v>
      </c>
      <c r="C74">
        <v>77.1355389</v>
      </c>
      <c r="D74">
        <v>77.177480950000003</v>
      </c>
      <c r="E74">
        <v>76.064356399999994</v>
      </c>
      <c r="F74">
        <v>77.1355389</v>
      </c>
    </row>
    <row r="75" spans="1:6" x14ac:dyDescent="0.45">
      <c r="A75">
        <v>1090</v>
      </c>
      <c r="B75">
        <v>4</v>
      </c>
      <c r="C75">
        <v>66.97031604</v>
      </c>
      <c r="D75">
        <v>68.482113260000006</v>
      </c>
      <c r="E75">
        <v>68.601397509999998</v>
      </c>
      <c r="F75">
        <v>66.97031604</v>
      </c>
    </row>
    <row r="76" spans="1:6" x14ac:dyDescent="0.45">
      <c r="A76">
        <v>1090</v>
      </c>
      <c r="B76">
        <v>7</v>
      </c>
      <c r="C76">
        <v>77.288041190000001</v>
      </c>
      <c r="D76">
        <v>81.508038709999994</v>
      </c>
      <c r="E76">
        <v>77.878669459999998</v>
      </c>
      <c r="F76">
        <v>77.288041190000001</v>
      </c>
    </row>
    <row r="77" spans="1:6" x14ac:dyDescent="0.45">
      <c r="A77">
        <v>1090</v>
      </c>
      <c r="B77">
        <v>2</v>
      </c>
      <c r="C77">
        <v>77.997986769999997</v>
      </c>
      <c r="D77">
        <v>76.798286570000002</v>
      </c>
      <c r="E77">
        <v>81.505467199999998</v>
      </c>
      <c r="F77">
        <v>77.997986769999997</v>
      </c>
    </row>
    <row r="78" spans="1:6" x14ac:dyDescent="0.45">
      <c r="A78">
        <v>1090</v>
      </c>
      <c r="B78">
        <v>8</v>
      </c>
      <c r="C78">
        <v>68.50500658</v>
      </c>
      <c r="D78">
        <v>68.052459679999998</v>
      </c>
      <c r="E78">
        <v>67.250168840000001</v>
      </c>
      <c r="F78">
        <v>68.50500658</v>
      </c>
    </row>
    <row r="79" spans="1:6" x14ac:dyDescent="0.45">
      <c r="A79">
        <v>1090</v>
      </c>
      <c r="B79">
        <v>1</v>
      </c>
      <c r="C79">
        <v>77.8219323</v>
      </c>
      <c r="D79">
        <v>80.005766919999999</v>
      </c>
      <c r="E79">
        <v>76.450476640000005</v>
      </c>
      <c r="F79">
        <v>77.8219323</v>
      </c>
    </row>
    <row r="80" spans="1:6" x14ac:dyDescent="0.45">
      <c r="A80">
        <v>1090</v>
      </c>
      <c r="B80">
        <v>6</v>
      </c>
      <c r="C80">
        <v>77.356043690000007</v>
      </c>
      <c r="D80">
        <v>76.815236659999997</v>
      </c>
      <c r="E80">
        <v>76.143880269999997</v>
      </c>
      <c r="F80">
        <v>77.356043690000007</v>
      </c>
    </row>
    <row r="81" spans="1:6" x14ac:dyDescent="0.45">
      <c r="A81">
        <v>1090</v>
      </c>
      <c r="B81">
        <v>3</v>
      </c>
      <c r="C81">
        <v>76.779909919999994</v>
      </c>
      <c r="D81">
        <v>76.592392369999999</v>
      </c>
      <c r="E81">
        <v>77.144500640000004</v>
      </c>
      <c r="F81">
        <v>76.779909919999994</v>
      </c>
    </row>
    <row r="82" spans="1:6" x14ac:dyDescent="0.45">
      <c r="A82">
        <v>1100</v>
      </c>
      <c r="B82">
        <v>1</v>
      </c>
      <c r="C82">
        <v>77.122418620000005</v>
      </c>
      <c r="D82">
        <v>84.746104950000003</v>
      </c>
      <c r="E82">
        <v>76.167247239999995</v>
      </c>
      <c r="F82">
        <v>77.122418620000005</v>
      </c>
    </row>
    <row r="83" spans="1:6" x14ac:dyDescent="0.45">
      <c r="A83">
        <v>1100</v>
      </c>
      <c r="B83">
        <v>8</v>
      </c>
      <c r="C83">
        <v>66.810040330000007</v>
      </c>
      <c r="D83">
        <v>67.529903009999998</v>
      </c>
      <c r="E83">
        <v>67.818134330000007</v>
      </c>
      <c r="F83">
        <v>66.810040330000007</v>
      </c>
    </row>
    <row r="84" spans="1:6" x14ac:dyDescent="0.45">
      <c r="A84">
        <v>1100</v>
      </c>
      <c r="B84">
        <v>3</v>
      </c>
      <c r="C84">
        <v>76.848900990000004</v>
      </c>
      <c r="D84">
        <v>77.872970109999997</v>
      </c>
      <c r="E84">
        <v>75.431932720000006</v>
      </c>
      <c r="F84">
        <v>76.848900990000004</v>
      </c>
    </row>
    <row r="85" spans="1:6" x14ac:dyDescent="0.45">
      <c r="A85">
        <v>1100</v>
      </c>
      <c r="B85">
        <v>6</v>
      </c>
      <c r="C85">
        <v>75.938583089999995</v>
      </c>
      <c r="D85">
        <v>77.097469939999996</v>
      </c>
      <c r="E85">
        <v>78.147329159999998</v>
      </c>
      <c r="F85">
        <v>75.938583089999995</v>
      </c>
    </row>
    <row r="86" spans="1:6" x14ac:dyDescent="0.45">
      <c r="A86">
        <v>1100</v>
      </c>
      <c r="B86">
        <v>4</v>
      </c>
      <c r="C86">
        <v>67.241880780000002</v>
      </c>
      <c r="D86">
        <v>68.628486039999999</v>
      </c>
      <c r="E86">
        <v>70.73288565</v>
      </c>
      <c r="F86">
        <v>67.241880780000002</v>
      </c>
    </row>
    <row r="87" spans="1:6" x14ac:dyDescent="0.45">
      <c r="A87">
        <v>1100</v>
      </c>
      <c r="B87">
        <v>5</v>
      </c>
      <c r="C87">
        <v>76.914826849999997</v>
      </c>
      <c r="D87">
        <v>75.796363959999994</v>
      </c>
      <c r="E87">
        <v>78.5685912</v>
      </c>
      <c r="F87">
        <v>76.914826849999997</v>
      </c>
    </row>
    <row r="88" spans="1:6" x14ac:dyDescent="0.45">
      <c r="A88">
        <v>1100</v>
      </c>
      <c r="B88">
        <v>2</v>
      </c>
      <c r="C88">
        <v>79.597334579999995</v>
      </c>
      <c r="D88">
        <v>77.637565379999998</v>
      </c>
      <c r="E88">
        <v>78.092301919999997</v>
      </c>
      <c r="F88">
        <v>79.597334579999995</v>
      </c>
    </row>
    <row r="89" spans="1:6" x14ac:dyDescent="0.45">
      <c r="A89">
        <v>1100</v>
      </c>
      <c r="B89">
        <v>7</v>
      </c>
      <c r="C89">
        <v>77.106545109999999</v>
      </c>
      <c r="D89">
        <v>76.842601540000004</v>
      </c>
      <c r="E89">
        <v>76.938859070000007</v>
      </c>
      <c r="F89">
        <v>77.106545109999999</v>
      </c>
    </row>
    <row r="90" spans="1:6" x14ac:dyDescent="0.45">
      <c r="A90">
        <v>1110</v>
      </c>
      <c r="B90">
        <v>5</v>
      </c>
      <c r="C90">
        <v>77.795287369999997</v>
      </c>
      <c r="D90">
        <v>77.829953230000001</v>
      </c>
      <c r="E90">
        <v>76.26159217</v>
      </c>
      <c r="F90">
        <v>77.795287369999997</v>
      </c>
    </row>
    <row r="91" spans="1:6" x14ac:dyDescent="0.45">
      <c r="A91">
        <v>1110</v>
      </c>
      <c r="B91">
        <v>4</v>
      </c>
      <c r="C91">
        <v>69.902570859999997</v>
      </c>
      <c r="D91">
        <v>66.827515969999993</v>
      </c>
      <c r="E91">
        <v>67.843805959999997</v>
      </c>
      <c r="F91">
        <v>69.902570859999997</v>
      </c>
    </row>
    <row r="92" spans="1:6" x14ac:dyDescent="0.45">
      <c r="A92">
        <v>1110</v>
      </c>
      <c r="B92">
        <v>7</v>
      </c>
      <c r="C92">
        <v>76.800225729999994</v>
      </c>
      <c r="D92">
        <v>78.238636760000006</v>
      </c>
      <c r="E92">
        <v>77.899613639999998</v>
      </c>
      <c r="F92">
        <v>76.800225729999994</v>
      </c>
    </row>
    <row r="93" spans="1:6" x14ac:dyDescent="0.45">
      <c r="A93">
        <v>1110</v>
      </c>
      <c r="B93">
        <v>2</v>
      </c>
      <c r="C93">
        <v>78.372306390000006</v>
      </c>
      <c r="D93">
        <v>77.672527790000004</v>
      </c>
      <c r="E93">
        <v>77.118309999999994</v>
      </c>
      <c r="F93">
        <v>78.372306390000006</v>
      </c>
    </row>
    <row r="94" spans="1:6" x14ac:dyDescent="0.45">
      <c r="A94">
        <v>1110</v>
      </c>
      <c r="B94">
        <v>8</v>
      </c>
      <c r="C94">
        <v>67.938782040000007</v>
      </c>
      <c r="D94">
        <v>34.672273169999997</v>
      </c>
      <c r="E94">
        <v>68.857877759999994</v>
      </c>
      <c r="F94">
        <v>67.938782040000007</v>
      </c>
    </row>
    <row r="95" spans="1:6" x14ac:dyDescent="0.45">
      <c r="A95">
        <v>1110</v>
      </c>
      <c r="B95">
        <v>1</v>
      </c>
      <c r="C95">
        <v>78.500384100000005</v>
      </c>
      <c r="D95">
        <v>79.400151480000005</v>
      </c>
      <c r="E95">
        <v>77.334393000000006</v>
      </c>
      <c r="F95">
        <v>78.500384100000005</v>
      </c>
    </row>
    <row r="96" spans="1:6" x14ac:dyDescent="0.45">
      <c r="A96">
        <v>1110</v>
      </c>
      <c r="B96">
        <v>6</v>
      </c>
      <c r="C96">
        <v>77.00385086</v>
      </c>
      <c r="D96">
        <v>78.752666550000001</v>
      </c>
      <c r="E96">
        <v>78.874658969999999</v>
      </c>
      <c r="F96">
        <v>77.00385086</v>
      </c>
    </row>
    <row r="97" spans="1:6" x14ac:dyDescent="0.45">
      <c r="A97">
        <v>1110</v>
      </c>
      <c r="B97">
        <v>3</v>
      </c>
      <c r="C97">
        <v>76.991384749999995</v>
      </c>
      <c r="D97">
        <v>78.294533799999996</v>
      </c>
      <c r="E97">
        <v>77.858009289999998</v>
      </c>
      <c r="F97">
        <v>76.991384749999995</v>
      </c>
    </row>
    <row r="98" spans="1:6" x14ac:dyDescent="0.45">
      <c r="A98">
        <v>1120</v>
      </c>
      <c r="B98">
        <v>1</v>
      </c>
      <c r="C98">
        <v>77.037375909999994</v>
      </c>
      <c r="D98">
        <v>76.230709709999999</v>
      </c>
      <c r="E98">
        <v>75.661049480000003</v>
      </c>
      <c r="F98">
        <v>77.037375909999994</v>
      </c>
    </row>
    <row r="99" spans="1:6" x14ac:dyDescent="0.45">
      <c r="A99">
        <v>1120</v>
      </c>
      <c r="B99">
        <v>8</v>
      </c>
      <c r="C99">
        <v>67.910335790000005</v>
      </c>
      <c r="D99">
        <v>65.654513379999997</v>
      </c>
      <c r="E99">
        <v>66.028302449999998</v>
      </c>
      <c r="F99">
        <v>67.910335790000005</v>
      </c>
    </row>
    <row r="100" spans="1:6" x14ac:dyDescent="0.45">
      <c r="A100">
        <v>1120</v>
      </c>
      <c r="B100">
        <v>3</v>
      </c>
      <c r="C100">
        <v>38.999334599999997</v>
      </c>
      <c r="D100">
        <v>75.716010990000001</v>
      </c>
      <c r="E100">
        <v>75.032233509999998</v>
      </c>
      <c r="F100">
        <v>38.999334599999997</v>
      </c>
    </row>
    <row r="101" spans="1:6" x14ac:dyDescent="0.45">
      <c r="A101">
        <v>1120</v>
      </c>
      <c r="B101">
        <v>6</v>
      </c>
      <c r="C101">
        <v>75.782379469999995</v>
      </c>
      <c r="D101">
        <v>77.551761720000002</v>
      </c>
      <c r="E101">
        <v>75.386843220000003</v>
      </c>
      <c r="F101">
        <v>75.782379469999995</v>
      </c>
    </row>
    <row r="102" spans="1:6" x14ac:dyDescent="0.45">
      <c r="A102">
        <v>1120</v>
      </c>
      <c r="B102">
        <v>4</v>
      </c>
      <c r="C102">
        <v>66.194325390000003</v>
      </c>
      <c r="D102">
        <v>67.446045609999999</v>
      </c>
      <c r="E102">
        <v>66.492350079999994</v>
      </c>
      <c r="F102">
        <v>66.194325390000003</v>
      </c>
    </row>
    <row r="103" spans="1:6" x14ac:dyDescent="0.45">
      <c r="A103">
        <v>1120</v>
      </c>
      <c r="B103">
        <v>5</v>
      </c>
      <c r="C103">
        <v>77.818759920000005</v>
      </c>
      <c r="D103">
        <v>76.285229099999995</v>
      </c>
      <c r="E103">
        <v>76.315510329999995</v>
      </c>
      <c r="F103">
        <v>77.818759920000005</v>
      </c>
    </row>
    <row r="104" spans="1:6" x14ac:dyDescent="0.45">
      <c r="A104">
        <v>1120</v>
      </c>
      <c r="B104">
        <v>2</v>
      </c>
      <c r="C104">
        <v>77.000843450000005</v>
      </c>
      <c r="D104">
        <v>78.815442520000005</v>
      </c>
      <c r="E104">
        <v>76.169283649999997</v>
      </c>
      <c r="F104">
        <v>77.000843450000005</v>
      </c>
    </row>
    <row r="105" spans="1:6" x14ac:dyDescent="0.45">
      <c r="A105">
        <v>1120</v>
      </c>
      <c r="B105">
        <v>7</v>
      </c>
      <c r="C105">
        <v>82.965747969999995</v>
      </c>
      <c r="D105">
        <v>75.602789880000003</v>
      </c>
      <c r="E105">
        <v>77.101575339999997</v>
      </c>
      <c r="F105">
        <v>82.965747969999995</v>
      </c>
    </row>
    <row r="106" spans="1:6" x14ac:dyDescent="0.45">
      <c r="A106">
        <v>1130</v>
      </c>
      <c r="B106">
        <v>5</v>
      </c>
      <c r="C106">
        <v>76.070740580000006</v>
      </c>
      <c r="D106">
        <v>75.723350809999999</v>
      </c>
      <c r="E106">
        <v>75.917372290000003</v>
      </c>
      <c r="F106">
        <v>76.070740580000006</v>
      </c>
    </row>
    <row r="107" spans="1:6" x14ac:dyDescent="0.45">
      <c r="A107">
        <v>1130</v>
      </c>
      <c r="B107">
        <v>4</v>
      </c>
      <c r="C107">
        <v>65.212980569999999</v>
      </c>
      <c r="D107">
        <v>65.026554739999995</v>
      </c>
      <c r="E107">
        <v>65.348842050000002</v>
      </c>
      <c r="F107">
        <v>65.212980569999999</v>
      </c>
    </row>
    <row r="108" spans="1:6" x14ac:dyDescent="0.45">
      <c r="A108">
        <v>1130</v>
      </c>
      <c r="B108">
        <v>7</v>
      </c>
      <c r="C108">
        <v>74.386808900000005</v>
      </c>
      <c r="D108">
        <v>75.027395330000004</v>
      </c>
      <c r="E108">
        <v>75.537636180000007</v>
      </c>
      <c r="F108">
        <v>74.386808900000005</v>
      </c>
    </row>
    <row r="109" spans="1:6" x14ac:dyDescent="0.45">
      <c r="A109">
        <v>1130</v>
      </c>
      <c r="B109">
        <v>2</v>
      </c>
      <c r="C109">
        <v>75.027856119999996</v>
      </c>
      <c r="D109">
        <v>74.777230590000002</v>
      </c>
      <c r="E109">
        <v>75.439563289999995</v>
      </c>
      <c r="F109">
        <v>75.027856119999996</v>
      </c>
    </row>
    <row r="110" spans="1:6" x14ac:dyDescent="0.45">
      <c r="A110">
        <v>1130</v>
      </c>
      <c r="B110">
        <v>8</v>
      </c>
      <c r="C110">
        <v>67.092462780000005</v>
      </c>
      <c r="D110">
        <v>65.462134270000007</v>
      </c>
      <c r="E110">
        <v>67.488343549999996</v>
      </c>
      <c r="F110">
        <v>67.092462780000005</v>
      </c>
    </row>
    <row r="111" spans="1:6" x14ac:dyDescent="0.45">
      <c r="A111">
        <v>1130</v>
      </c>
      <c r="B111">
        <v>1</v>
      </c>
      <c r="C111">
        <v>74.559842110000005</v>
      </c>
      <c r="D111">
        <v>74.986614200000005</v>
      </c>
      <c r="E111">
        <v>75.223760279999993</v>
      </c>
      <c r="F111">
        <v>74.559842110000005</v>
      </c>
    </row>
    <row r="112" spans="1:6" x14ac:dyDescent="0.45">
      <c r="A112">
        <v>1130</v>
      </c>
      <c r="B112">
        <v>6</v>
      </c>
      <c r="C112">
        <v>74.576271050000003</v>
      </c>
      <c r="D112">
        <v>76.947088210000004</v>
      </c>
      <c r="E112">
        <v>75.631960280000001</v>
      </c>
      <c r="F112">
        <v>74.576271050000003</v>
      </c>
    </row>
    <row r="113" spans="1:6" x14ac:dyDescent="0.45">
      <c r="A113">
        <v>1130</v>
      </c>
      <c r="B113">
        <v>3</v>
      </c>
      <c r="C113">
        <v>74.445155249999999</v>
      </c>
      <c r="D113">
        <v>75.419497460000002</v>
      </c>
      <c r="E113">
        <v>74.623720419999998</v>
      </c>
      <c r="F113">
        <v>74.445155249999999</v>
      </c>
    </row>
    <row r="114" spans="1:6" x14ac:dyDescent="0.45">
      <c r="A114">
        <v>1140</v>
      </c>
      <c r="B114">
        <v>1</v>
      </c>
      <c r="C114">
        <v>76.10582024</v>
      </c>
      <c r="D114">
        <v>79.909501120000002</v>
      </c>
      <c r="E114">
        <v>76.792421439999998</v>
      </c>
      <c r="F114">
        <v>76.10582024</v>
      </c>
    </row>
    <row r="115" spans="1:6" x14ac:dyDescent="0.45">
      <c r="A115">
        <v>1140</v>
      </c>
      <c r="B115">
        <v>8</v>
      </c>
      <c r="C115">
        <v>67.159309879999995</v>
      </c>
      <c r="D115">
        <v>73.346315630000007</v>
      </c>
      <c r="E115">
        <v>72.050330279999997</v>
      </c>
      <c r="F115">
        <v>67.159309879999995</v>
      </c>
    </row>
    <row r="116" spans="1:6" x14ac:dyDescent="0.45">
      <c r="A116">
        <v>1140</v>
      </c>
      <c r="B116">
        <v>3</v>
      </c>
      <c r="C116">
        <v>75.757108489999993</v>
      </c>
      <c r="D116">
        <v>77.737684799999997</v>
      </c>
      <c r="E116">
        <v>74.707705259999997</v>
      </c>
      <c r="F116">
        <v>75.757108489999993</v>
      </c>
    </row>
    <row r="117" spans="1:6" x14ac:dyDescent="0.45">
      <c r="A117">
        <v>1140</v>
      </c>
      <c r="B117">
        <v>6</v>
      </c>
      <c r="C117">
        <v>78.055940230000004</v>
      </c>
      <c r="D117">
        <v>76.373312220000003</v>
      </c>
      <c r="E117">
        <v>78.406475220000004</v>
      </c>
      <c r="F117">
        <v>78.055940230000004</v>
      </c>
    </row>
    <row r="118" spans="1:6" x14ac:dyDescent="0.45">
      <c r="A118">
        <v>1140</v>
      </c>
      <c r="B118">
        <v>4</v>
      </c>
      <c r="C118">
        <v>66.16968876</v>
      </c>
      <c r="D118">
        <v>68.626415890000004</v>
      </c>
      <c r="E118">
        <v>67.37073848</v>
      </c>
      <c r="F118">
        <v>66.16968876</v>
      </c>
    </row>
    <row r="119" spans="1:6" x14ac:dyDescent="0.45">
      <c r="A119">
        <v>1140</v>
      </c>
      <c r="B119">
        <v>5</v>
      </c>
      <c r="C119">
        <v>78.595677929999994</v>
      </c>
      <c r="D119">
        <v>77.702602189999993</v>
      </c>
      <c r="E119">
        <v>76.667080650000003</v>
      </c>
      <c r="F119">
        <v>78.595677929999994</v>
      </c>
    </row>
    <row r="120" spans="1:6" x14ac:dyDescent="0.45">
      <c r="A120">
        <v>1140</v>
      </c>
      <c r="B120">
        <v>2</v>
      </c>
      <c r="C120">
        <v>80.74566428</v>
      </c>
      <c r="D120">
        <v>79.095490249999997</v>
      </c>
      <c r="E120">
        <v>76.356538509999993</v>
      </c>
      <c r="F120">
        <v>80.74566428</v>
      </c>
    </row>
    <row r="121" spans="1:6" x14ac:dyDescent="0.45">
      <c r="A121">
        <v>1140</v>
      </c>
      <c r="B121">
        <v>7</v>
      </c>
      <c r="C121">
        <v>76.628494770000003</v>
      </c>
      <c r="D121">
        <v>76.809264659999997</v>
      </c>
      <c r="E121">
        <v>75.860138840000005</v>
      </c>
      <c r="F121">
        <v>76.628494770000003</v>
      </c>
    </row>
    <row r="122" spans="1:6" x14ac:dyDescent="0.45">
      <c r="A122">
        <v>1150</v>
      </c>
      <c r="B122">
        <v>5</v>
      </c>
      <c r="C122">
        <v>77.302247449999996</v>
      </c>
      <c r="D122">
        <v>76.040286699999996</v>
      </c>
      <c r="E122">
        <v>75.473687209999994</v>
      </c>
      <c r="F122">
        <v>77.302247449999996</v>
      </c>
    </row>
    <row r="123" spans="1:6" x14ac:dyDescent="0.45">
      <c r="A123">
        <v>1150</v>
      </c>
      <c r="B123">
        <v>4</v>
      </c>
      <c r="C123">
        <v>66.865709980000005</v>
      </c>
      <c r="D123">
        <v>66.219043139999997</v>
      </c>
      <c r="E123">
        <v>40.032378639999997</v>
      </c>
      <c r="F123">
        <v>66.865709980000005</v>
      </c>
    </row>
    <row r="124" spans="1:6" x14ac:dyDescent="0.45">
      <c r="A124">
        <v>1150</v>
      </c>
      <c r="B124">
        <v>7</v>
      </c>
      <c r="C124">
        <v>76.857564409999995</v>
      </c>
      <c r="D124">
        <v>75.489755619999997</v>
      </c>
      <c r="E124">
        <v>76.433809710000006</v>
      </c>
      <c r="F124">
        <v>76.857564409999995</v>
      </c>
    </row>
    <row r="125" spans="1:6" x14ac:dyDescent="0.45">
      <c r="A125">
        <v>1150</v>
      </c>
      <c r="B125">
        <v>2</v>
      </c>
      <c r="C125">
        <v>41.555999309999997</v>
      </c>
      <c r="D125">
        <v>75.529614109999997</v>
      </c>
      <c r="E125">
        <v>76.459736300000003</v>
      </c>
      <c r="F125">
        <v>41.555999309999997</v>
      </c>
    </row>
    <row r="126" spans="1:6" x14ac:dyDescent="0.45">
      <c r="A126">
        <v>1150</v>
      </c>
      <c r="B126">
        <v>8</v>
      </c>
      <c r="C126">
        <v>66.129251139999994</v>
      </c>
      <c r="D126">
        <v>66.895613269999998</v>
      </c>
      <c r="E126">
        <v>35.130554910000001</v>
      </c>
      <c r="F126">
        <v>66.129251139999994</v>
      </c>
    </row>
    <row r="127" spans="1:6" x14ac:dyDescent="0.45">
      <c r="A127">
        <v>1150</v>
      </c>
      <c r="B127">
        <v>1</v>
      </c>
      <c r="C127">
        <v>75.336429120000005</v>
      </c>
      <c r="D127">
        <v>76.14916083</v>
      </c>
      <c r="E127">
        <v>76.124659320000006</v>
      </c>
      <c r="F127">
        <v>75.336429120000005</v>
      </c>
    </row>
    <row r="128" spans="1:6" x14ac:dyDescent="0.45">
      <c r="A128">
        <v>1150</v>
      </c>
      <c r="B128">
        <v>6</v>
      </c>
      <c r="C128">
        <v>76.724884180000004</v>
      </c>
      <c r="D128">
        <v>76.409228639999995</v>
      </c>
      <c r="E128">
        <v>75.73769102</v>
      </c>
      <c r="F128">
        <v>76.724884180000004</v>
      </c>
    </row>
    <row r="129" spans="1:6" x14ac:dyDescent="0.45">
      <c r="A129">
        <v>1150</v>
      </c>
      <c r="B129">
        <v>3</v>
      </c>
      <c r="C129">
        <v>76.096663509999999</v>
      </c>
      <c r="D129">
        <v>76.211388740000004</v>
      </c>
      <c r="E129">
        <v>75.112216959999998</v>
      </c>
      <c r="F129">
        <v>76.096663509999999</v>
      </c>
    </row>
    <row r="130" spans="1:6" x14ac:dyDescent="0.45">
      <c r="A130">
        <v>1160</v>
      </c>
      <c r="B130">
        <v>5</v>
      </c>
      <c r="C130">
        <v>78.131056860000001</v>
      </c>
      <c r="D130">
        <v>78.488691979999999</v>
      </c>
      <c r="E130">
        <v>77.00628931</v>
      </c>
      <c r="F130">
        <v>78.131056860000001</v>
      </c>
    </row>
    <row r="131" spans="1:6" x14ac:dyDescent="0.45">
      <c r="A131">
        <v>1160</v>
      </c>
      <c r="B131">
        <v>4</v>
      </c>
      <c r="C131">
        <v>67.18812312</v>
      </c>
      <c r="D131">
        <v>65.722534899999999</v>
      </c>
      <c r="E131">
        <v>67.319794139999999</v>
      </c>
      <c r="F131">
        <v>67.18812312</v>
      </c>
    </row>
    <row r="132" spans="1:6" x14ac:dyDescent="0.45">
      <c r="A132">
        <v>1160</v>
      </c>
      <c r="B132">
        <v>7</v>
      </c>
      <c r="C132">
        <v>77.514186820000006</v>
      </c>
      <c r="D132">
        <v>77.083342540000004</v>
      </c>
      <c r="E132">
        <v>77.339468170000004</v>
      </c>
      <c r="F132">
        <v>77.514186820000006</v>
      </c>
    </row>
    <row r="133" spans="1:6" x14ac:dyDescent="0.45">
      <c r="A133">
        <v>1160</v>
      </c>
      <c r="B133">
        <v>2</v>
      </c>
      <c r="C133">
        <v>77.945767090000004</v>
      </c>
      <c r="D133">
        <v>77.172878359999999</v>
      </c>
      <c r="E133">
        <v>76.210595139999995</v>
      </c>
      <c r="F133">
        <v>77.945767090000004</v>
      </c>
    </row>
    <row r="134" spans="1:6" x14ac:dyDescent="0.45">
      <c r="A134">
        <v>1160</v>
      </c>
      <c r="B134">
        <v>8</v>
      </c>
      <c r="C134">
        <v>33.750385049999998</v>
      </c>
      <c r="D134">
        <v>68.316603000000001</v>
      </c>
      <c r="E134">
        <v>68.174429439999997</v>
      </c>
      <c r="F134">
        <v>33.750385049999998</v>
      </c>
    </row>
    <row r="135" spans="1:6" x14ac:dyDescent="0.45">
      <c r="A135">
        <v>1160</v>
      </c>
      <c r="B135">
        <v>1</v>
      </c>
      <c r="C135">
        <v>76.239555989999999</v>
      </c>
      <c r="D135">
        <v>76.66793543</v>
      </c>
      <c r="E135">
        <v>76.230121049999994</v>
      </c>
      <c r="F135">
        <v>76.239555989999999</v>
      </c>
    </row>
    <row r="136" spans="1:6" x14ac:dyDescent="0.45">
      <c r="A136">
        <v>1160</v>
      </c>
      <c r="B136">
        <v>6</v>
      </c>
      <c r="C136">
        <v>77.7451504</v>
      </c>
      <c r="D136">
        <v>78.09481031</v>
      </c>
      <c r="E136">
        <v>77.889627149999995</v>
      </c>
      <c r="F136">
        <v>77.7451504</v>
      </c>
    </row>
    <row r="137" spans="1:6" x14ac:dyDescent="0.45">
      <c r="A137">
        <v>1160</v>
      </c>
      <c r="B137">
        <v>3</v>
      </c>
      <c r="C137">
        <v>77.531495730000003</v>
      </c>
      <c r="D137">
        <v>76.605844930000004</v>
      </c>
      <c r="E137">
        <v>75.667421210000001</v>
      </c>
      <c r="F137">
        <v>77.531495730000003</v>
      </c>
    </row>
    <row r="138" spans="1:6" x14ac:dyDescent="0.45">
      <c r="A138">
        <v>1170</v>
      </c>
      <c r="B138">
        <v>1</v>
      </c>
      <c r="C138">
        <v>74.494148260000003</v>
      </c>
      <c r="D138">
        <v>75.200320590000004</v>
      </c>
      <c r="E138">
        <v>75.326018750000003</v>
      </c>
      <c r="F138">
        <v>74.494148260000003</v>
      </c>
    </row>
    <row r="139" spans="1:6" x14ac:dyDescent="0.45">
      <c r="A139">
        <v>1170</v>
      </c>
      <c r="B139">
        <v>8</v>
      </c>
      <c r="C139">
        <v>69.322053800000006</v>
      </c>
      <c r="D139">
        <v>66.630968159999995</v>
      </c>
      <c r="E139">
        <v>68.013396810000003</v>
      </c>
      <c r="F139">
        <v>69.322053800000006</v>
      </c>
    </row>
    <row r="140" spans="1:6" x14ac:dyDescent="0.45">
      <c r="A140">
        <v>1170</v>
      </c>
      <c r="B140">
        <v>3</v>
      </c>
      <c r="C140">
        <v>77.512553830000002</v>
      </c>
      <c r="D140">
        <v>74.789839999999998</v>
      </c>
      <c r="E140">
        <v>77.257420580000002</v>
      </c>
      <c r="F140">
        <v>77.512553830000002</v>
      </c>
    </row>
    <row r="141" spans="1:6" x14ac:dyDescent="0.45">
      <c r="A141">
        <v>1170</v>
      </c>
      <c r="B141">
        <v>6</v>
      </c>
      <c r="C141">
        <v>77.196202630000002</v>
      </c>
      <c r="D141">
        <v>76.897164950000004</v>
      </c>
      <c r="E141">
        <v>75.727528160000006</v>
      </c>
      <c r="F141">
        <v>77.196202630000002</v>
      </c>
    </row>
    <row r="142" spans="1:6" x14ac:dyDescent="0.45">
      <c r="A142">
        <v>1170</v>
      </c>
      <c r="B142">
        <v>4</v>
      </c>
      <c r="C142">
        <v>66.690965239999997</v>
      </c>
      <c r="D142">
        <v>66.759303250000002</v>
      </c>
      <c r="E142">
        <v>66.210421859999997</v>
      </c>
      <c r="F142">
        <v>66.690965239999997</v>
      </c>
    </row>
    <row r="143" spans="1:6" x14ac:dyDescent="0.45">
      <c r="A143">
        <v>1170</v>
      </c>
      <c r="B143">
        <v>5</v>
      </c>
      <c r="C143">
        <v>77.888031290000001</v>
      </c>
      <c r="D143">
        <v>77.954305869999999</v>
      </c>
      <c r="E143">
        <v>74.913935940000002</v>
      </c>
      <c r="F143">
        <v>77.888031290000001</v>
      </c>
    </row>
    <row r="144" spans="1:6" x14ac:dyDescent="0.45">
      <c r="A144">
        <v>1170</v>
      </c>
      <c r="B144">
        <v>2</v>
      </c>
      <c r="C144">
        <v>77.022917210000003</v>
      </c>
      <c r="D144">
        <v>78.320459670000005</v>
      </c>
      <c r="E144">
        <v>77.680604880000004</v>
      </c>
      <c r="F144">
        <v>77.022917210000003</v>
      </c>
    </row>
    <row r="145" spans="1:6" x14ac:dyDescent="0.45">
      <c r="A145">
        <v>1170</v>
      </c>
      <c r="B145">
        <v>7</v>
      </c>
      <c r="C145">
        <v>75.453469119999994</v>
      </c>
      <c r="D145">
        <v>76.893384040000001</v>
      </c>
      <c r="E145">
        <v>76.95264607</v>
      </c>
      <c r="F145">
        <v>75.453469119999994</v>
      </c>
    </row>
    <row r="146" spans="1:6" x14ac:dyDescent="0.45">
      <c r="A146">
        <v>1180</v>
      </c>
      <c r="B146">
        <v>5</v>
      </c>
      <c r="C146">
        <v>76.54864121</v>
      </c>
      <c r="D146">
        <v>77.264739399999996</v>
      </c>
      <c r="E146">
        <v>76.438961620000001</v>
      </c>
      <c r="F146">
        <v>76.54864121</v>
      </c>
    </row>
    <row r="147" spans="1:6" x14ac:dyDescent="0.45">
      <c r="A147">
        <v>1180</v>
      </c>
      <c r="B147">
        <v>4</v>
      </c>
      <c r="C147">
        <v>67.933013900000006</v>
      </c>
      <c r="D147">
        <v>65.651214749999994</v>
      </c>
      <c r="E147">
        <v>66.366277179999997</v>
      </c>
      <c r="F147">
        <v>67.933013900000006</v>
      </c>
    </row>
    <row r="148" spans="1:6" x14ac:dyDescent="0.45">
      <c r="A148">
        <v>1180</v>
      </c>
      <c r="B148">
        <v>7</v>
      </c>
      <c r="C148">
        <v>38.166062840000002</v>
      </c>
      <c r="D148">
        <v>75.370527789999997</v>
      </c>
      <c r="E148">
        <v>75.390951419999993</v>
      </c>
      <c r="F148">
        <v>38.166062840000002</v>
      </c>
    </row>
    <row r="149" spans="1:6" x14ac:dyDescent="0.45">
      <c r="A149">
        <v>1180</v>
      </c>
      <c r="B149">
        <v>2</v>
      </c>
      <c r="C149">
        <v>75.56216526</v>
      </c>
      <c r="D149">
        <v>76.19606709</v>
      </c>
      <c r="E149">
        <v>77.040915440000006</v>
      </c>
      <c r="F149">
        <v>75.56216526</v>
      </c>
    </row>
    <row r="150" spans="1:6" x14ac:dyDescent="0.45">
      <c r="A150">
        <v>1180</v>
      </c>
      <c r="B150">
        <v>8</v>
      </c>
      <c r="C150">
        <v>66.341941730000002</v>
      </c>
      <c r="D150">
        <v>66.725693079999999</v>
      </c>
      <c r="E150">
        <v>66.82406177</v>
      </c>
      <c r="F150">
        <v>66.341941730000002</v>
      </c>
    </row>
    <row r="151" spans="1:6" x14ac:dyDescent="0.45">
      <c r="A151">
        <v>1180</v>
      </c>
      <c r="B151">
        <v>1</v>
      </c>
      <c r="C151">
        <v>75.158547299999995</v>
      </c>
      <c r="D151">
        <v>74.885239249999998</v>
      </c>
      <c r="E151">
        <v>76.187751349999999</v>
      </c>
      <c r="F151">
        <v>75.158547299999995</v>
      </c>
    </row>
    <row r="152" spans="1:6" x14ac:dyDescent="0.45">
      <c r="A152">
        <v>1180</v>
      </c>
      <c r="B152">
        <v>6</v>
      </c>
      <c r="C152">
        <v>38.33286159</v>
      </c>
      <c r="D152">
        <v>77.20428029</v>
      </c>
      <c r="E152">
        <v>75.57325281</v>
      </c>
      <c r="F152">
        <v>38.33286159</v>
      </c>
    </row>
    <row r="153" spans="1:6" x14ac:dyDescent="0.45">
      <c r="A153">
        <v>1180</v>
      </c>
      <c r="B153">
        <v>3</v>
      </c>
      <c r="C153">
        <v>74.8069354</v>
      </c>
      <c r="D153">
        <v>75.504281930000005</v>
      </c>
      <c r="E153">
        <v>74.001936369999996</v>
      </c>
      <c r="F153">
        <v>74.8069354</v>
      </c>
    </row>
    <row r="154" spans="1:6" x14ac:dyDescent="0.45">
      <c r="A154">
        <v>1190</v>
      </c>
      <c r="B154">
        <v>1</v>
      </c>
      <c r="C154">
        <v>81.641970720000003</v>
      </c>
      <c r="D154">
        <v>80.605160889999993</v>
      </c>
      <c r="E154">
        <v>80.88154634</v>
      </c>
      <c r="F154">
        <v>81.641970720000003</v>
      </c>
    </row>
    <row r="155" spans="1:6" x14ac:dyDescent="0.45">
      <c r="A155">
        <v>1190</v>
      </c>
      <c r="B155">
        <v>8</v>
      </c>
      <c r="C155">
        <v>77.498575299999999</v>
      </c>
      <c r="D155">
        <v>84.955159069999993</v>
      </c>
      <c r="E155">
        <v>83.972681449999996</v>
      </c>
      <c r="F155">
        <v>77.498575299999999</v>
      </c>
    </row>
    <row r="156" spans="1:6" x14ac:dyDescent="0.45">
      <c r="A156">
        <v>1190</v>
      </c>
      <c r="B156">
        <v>3</v>
      </c>
      <c r="C156">
        <v>74.848602790000001</v>
      </c>
      <c r="D156">
        <v>83.820838600000002</v>
      </c>
      <c r="E156">
        <v>78.139623499999999</v>
      </c>
      <c r="F156">
        <v>74.848602790000001</v>
      </c>
    </row>
    <row r="157" spans="1:6" x14ac:dyDescent="0.45">
      <c r="A157">
        <v>1190</v>
      </c>
      <c r="B157">
        <v>6</v>
      </c>
      <c r="C157">
        <v>37.307914369999999</v>
      </c>
      <c r="D157">
        <v>87.185856959999995</v>
      </c>
      <c r="E157">
        <v>79.663558289999997</v>
      </c>
      <c r="F157">
        <v>37.307914369999999</v>
      </c>
    </row>
    <row r="158" spans="1:6" x14ac:dyDescent="0.45">
      <c r="A158">
        <v>1190</v>
      </c>
      <c r="B158">
        <v>4</v>
      </c>
      <c r="C158">
        <v>78.137262849999999</v>
      </c>
      <c r="D158">
        <v>85.67585742</v>
      </c>
      <c r="E158">
        <v>78.664615879999999</v>
      </c>
      <c r="F158">
        <v>78.137262849999999</v>
      </c>
    </row>
    <row r="159" spans="1:6" x14ac:dyDescent="0.45">
      <c r="A159">
        <v>1190</v>
      </c>
      <c r="B159">
        <v>5</v>
      </c>
      <c r="C159">
        <v>83.563834830000005</v>
      </c>
      <c r="D159">
        <v>82.30807351</v>
      </c>
      <c r="E159">
        <v>77.275834680000003</v>
      </c>
      <c r="F159">
        <v>83.563834830000005</v>
      </c>
    </row>
    <row r="160" spans="1:6" x14ac:dyDescent="0.45">
      <c r="A160">
        <v>1190</v>
      </c>
      <c r="B160">
        <v>2</v>
      </c>
      <c r="C160">
        <v>77.772878890000001</v>
      </c>
      <c r="D160">
        <v>81.42787878</v>
      </c>
      <c r="E160">
        <v>84.094508020000006</v>
      </c>
      <c r="F160">
        <v>77.772878890000001</v>
      </c>
    </row>
    <row r="161" spans="1:6" x14ac:dyDescent="0.45">
      <c r="A161">
        <v>1190</v>
      </c>
      <c r="B161">
        <v>7</v>
      </c>
      <c r="C161">
        <v>85.55646059</v>
      </c>
      <c r="D161">
        <v>77.812083360000003</v>
      </c>
      <c r="E161">
        <v>78.489316869999996</v>
      </c>
      <c r="F161">
        <v>85.55646059</v>
      </c>
    </row>
    <row r="162" spans="1:6" x14ac:dyDescent="0.45">
      <c r="A162">
        <v>1200</v>
      </c>
      <c r="B162">
        <v>5</v>
      </c>
      <c r="C162">
        <v>81.078662919999999</v>
      </c>
      <c r="D162">
        <v>81.477152189999998</v>
      </c>
      <c r="E162">
        <v>82.557789029999995</v>
      </c>
      <c r="F162">
        <v>81.078662919999999</v>
      </c>
    </row>
    <row r="163" spans="1:6" x14ac:dyDescent="0.45">
      <c r="A163">
        <v>1200</v>
      </c>
      <c r="B163">
        <v>4</v>
      </c>
      <c r="C163">
        <v>78.691438599999998</v>
      </c>
      <c r="D163">
        <v>77.521317179999997</v>
      </c>
      <c r="E163">
        <v>78.451130480000003</v>
      </c>
      <c r="F163">
        <v>78.691438599999998</v>
      </c>
    </row>
    <row r="164" spans="1:6" x14ac:dyDescent="0.45">
      <c r="A164">
        <v>1200</v>
      </c>
      <c r="B164">
        <v>7</v>
      </c>
      <c r="C164">
        <v>75.191529369999998</v>
      </c>
      <c r="D164">
        <v>78.269062579999996</v>
      </c>
      <c r="E164">
        <v>77.653379459999996</v>
      </c>
      <c r="F164">
        <v>75.191529369999998</v>
      </c>
    </row>
    <row r="165" spans="1:6" x14ac:dyDescent="0.45">
      <c r="A165">
        <v>1200</v>
      </c>
      <c r="B165">
        <v>2</v>
      </c>
      <c r="C165">
        <v>81.698509779999995</v>
      </c>
      <c r="D165">
        <v>36.657786940000001</v>
      </c>
      <c r="E165">
        <v>82.838671250000004</v>
      </c>
      <c r="F165">
        <v>81.698509779999995</v>
      </c>
    </row>
    <row r="166" spans="1:6" x14ac:dyDescent="0.45">
      <c r="A166">
        <v>1200</v>
      </c>
      <c r="B166">
        <v>8</v>
      </c>
      <c r="C166">
        <v>77.949085769999996</v>
      </c>
      <c r="D166">
        <v>79.603138400000006</v>
      </c>
      <c r="E166">
        <v>79.945657190000006</v>
      </c>
      <c r="F166">
        <v>77.949085769999996</v>
      </c>
    </row>
    <row r="167" spans="1:6" x14ac:dyDescent="0.45">
      <c r="A167">
        <v>1200</v>
      </c>
      <c r="B167">
        <v>1</v>
      </c>
      <c r="C167">
        <v>78.577395899999999</v>
      </c>
      <c r="D167">
        <v>79.189030329999994</v>
      </c>
      <c r="E167">
        <v>79.885005059999997</v>
      </c>
      <c r="F167">
        <v>78.577395899999999</v>
      </c>
    </row>
    <row r="168" spans="1:6" x14ac:dyDescent="0.45">
      <c r="A168">
        <v>1200</v>
      </c>
      <c r="B168">
        <v>6</v>
      </c>
      <c r="C168">
        <v>79.058692919999999</v>
      </c>
      <c r="D168">
        <v>79.945850780000001</v>
      </c>
      <c r="E168">
        <v>79.986091819999999</v>
      </c>
      <c r="F168">
        <v>79.058692919999999</v>
      </c>
    </row>
    <row r="169" spans="1:6" x14ac:dyDescent="0.45">
      <c r="A169">
        <v>1200</v>
      </c>
      <c r="B169">
        <v>3</v>
      </c>
      <c r="C169">
        <v>74.761177559999993</v>
      </c>
      <c r="D169">
        <v>76.542540779999996</v>
      </c>
      <c r="E169">
        <v>76.373843379999997</v>
      </c>
      <c r="F169">
        <v>74.761177559999993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5B66-8B98-437E-9214-456B3A7219C1}">
  <dimension ref="A1:N169"/>
  <sheetViews>
    <sheetView workbookViewId="0">
      <selection activeCell="Q17" sqref="Q17"/>
    </sheetView>
  </sheetViews>
  <sheetFormatPr defaultRowHeight="18" x14ac:dyDescent="0.45"/>
  <sheetData>
    <row r="1" spans="1:14" x14ac:dyDescent="0.4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46</v>
      </c>
    </row>
    <row r="2" spans="1:14" x14ac:dyDescent="0.45">
      <c r="A2">
        <v>1000</v>
      </c>
      <c r="B2">
        <v>5</v>
      </c>
      <c r="C2">
        <v>2.4334077999999999</v>
      </c>
      <c r="D2">
        <v>3.6965658000000001</v>
      </c>
      <c r="E2">
        <v>1.6186579999999999</v>
      </c>
      <c r="F2">
        <v>2.4334077999999999</v>
      </c>
      <c r="H2" t="s">
        <v>49</v>
      </c>
    </row>
    <row r="3" spans="1:14" x14ac:dyDescent="0.45">
      <c r="A3">
        <v>1000</v>
      </c>
      <c r="B3">
        <v>4</v>
      </c>
      <c r="C3">
        <v>0.14687800000000001</v>
      </c>
      <c r="D3">
        <v>2.6981000000000002E-2</v>
      </c>
      <c r="E3">
        <v>1.1495E-2</v>
      </c>
      <c r="F3">
        <v>0.14687800000000001</v>
      </c>
    </row>
    <row r="4" spans="1:14" ht="18.600000000000001" thickBot="1" x14ac:dyDescent="0.5">
      <c r="A4">
        <v>1000</v>
      </c>
      <c r="B4">
        <v>7</v>
      </c>
      <c r="C4">
        <v>0.58168399999999998</v>
      </c>
      <c r="D4">
        <v>0.111869</v>
      </c>
      <c r="E4">
        <v>0.28746899999999997</v>
      </c>
      <c r="F4">
        <v>0.58168399999999998</v>
      </c>
      <c r="H4" t="s">
        <v>50</v>
      </c>
    </row>
    <row r="5" spans="1:14" x14ac:dyDescent="0.45">
      <c r="A5">
        <v>1000</v>
      </c>
      <c r="B5">
        <v>2</v>
      </c>
      <c r="C5">
        <v>3.8156652000000002</v>
      </c>
      <c r="D5">
        <v>3.3259325</v>
      </c>
      <c r="E5">
        <v>1.655594</v>
      </c>
      <c r="F5">
        <v>3.8156652000000002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</row>
    <row r="6" spans="1:14" x14ac:dyDescent="0.45">
      <c r="A6">
        <v>1000</v>
      </c>
      <c r="B6">
        <v>8</v>
      </c>
      <c r="C6">
        <v>0.317334</v>
      </c>
      <c r="D6">
        <v>0.49901800000000002</v>
      </c>
      <c r="E6">
        <v>0.46106399999999997</v>
      </c>
      <c r="F6">
        <v>0.317334</v>
      </c>
      <c r="H6" t="s">
        <v>46</v>
      </c>
      <c r="I6">
        <v>168</v>
      </c>
      <c r="J6">
        <v>279.20573048478002</v>
      </c>
      <c r="K6">
        <v>1.6619388719332144</v>
      </c>
      <c r="L6">
        <v>2.0089242870188238</v>
      </c>
    </row>
    <row r="7" spans="1:14" x14ac:dyDescent="0.45">
      <c r="A7">
        <v>1000</v>
      </c>
      <c r="B7">
        <v>1</v>
      </c>
      <c r="C7">
        <v>2.2689319999999999</v>
      </c>
      <c r="D7">
        <v>1.695695</v>
      </c>
      <c r="E7">
        <v>1.7941670000000001</v>
      </c>
      <c r="F7">
        <v>2.2689319999999999</v>
      </c>
      <c r="H7" t="s">
        <v>47</v>
      </c>
      <c r="I7">
        <v>168</v>
      </c>
      <c r="J7">
        <v>293.36671895390003</v>
      </c>
      <c r="K7">
        <v>1.7462304699636906</v>
      </c>
      <c r="L7">
        <v>2.5356656996260312</v>
      </c>
    </row>
    <row r="8" spans="1:14" ht="18.600000000000001" thickBot="1" x14ac:dyDescent="0.5">
      <c r="A8">
        <v>1000</v>
      </c>
      <c r="B8">
        <v>6</v>
      </c>
      <c r="C8">
        <v>2.3593980000000001</v>
      </c>
      <c r="D8">
        <v>0.93291409999999997</v>
      </c>
      <c r="E8">
        <v>1.4653659999999999</v>
      </c>
      <c r="F8">
        <v>2.3593980000000001</v>
      </c>
      <c r="H8" s="3" t="s">
        <v>48</v>
      </c>
      <c r="I8" s="3">
        <v>168</v>
      </c>
      <c r="J8" s="3">
        <v>247.73566475999991</v>
      </c>
      <c r="K8" s="3">
        <v>1.4746170521428565</v>
      </c>
      <c r="L8" s="3">
        <v>1.9679832511441384</v>
      </c>
    </row>
    <row r="9" spans="1:14" x14ac:dyDescent="0.45">
      <c r="A9">
        <v>1000</v>
      </c>
      <c r="B9">
        <v>3</v>
      </c>
      <c r="C9">
        <v>0.502054</v>
      </c>
      <c r="D9">
        <v>0.51590000000000003</v>
      </c>
      <c r="E9">
        <v>0.34653299999999998</v>
      </c>
      <c r="F9">
        <v>0.502054</v>
      </c>
    </row>
    <row r="10" spans="1:14" x14ac:dyDescent="0.45">
      <c r="A10">
        <v>1010</v>
      </c>
      <c r="B10">
        <v>5</v>
      </c>
      <c r="C10">
        <v>1.9850540000000001</v>
      </c>
      <c r="D10">
        <v>2.6655910999999999</v>
      </c>
      <c r="E10">
        <v>0.138852</v>
      </c>
      <c r="F10">
        <v>1.9850540000000001</v>
      </c>
    </row>
    <row r="11" spans="1:14" ht="18.600000000000001" thickBot="1" x14ac:dyDescent="0.5">
      <c r="A11">
        <v>1010</v>
      </c>
      <c r="B11">
        <v>4</v>
      </c>
      <c r="C11">
        <v>3.1066793000000001</v>
      </c>
      <c r="D11">
        <v>2.0559999999999998E-2</v>
      </c>
      <c r="E11">
        <v>5.7224999999999998E-2</v>
      </c>
      <c r="F11">
        <v>3.1066793000000001</v>
      </c>
      <c r="H11" t="s">
        <v>56</v>
      </c>
    </row>
    <row r="12" spans="1:14" x14ac:dyDescent="0.45">
      <c r="A12">
        <v>1010</v>
      </c>
      <c r="B12">
        <v>7</v>
      </c>
      <c r="C12">
        <v>0.62043700000000002</v>
      </c>
      <c r="D12">
        <v>0.248693</v>
      </c>
      <c r="E12">
        <v>0.17641499999999999</v>
      </c>
      <c r="F12">
        <v>0.62043700000000002</v>
      </c>
      <c r="H12" s="4" t="s">
        <v>57</v>
      </c>
      <c r="I12" s="4" t="s">
        <v>58</v>
      </c>
      <c r="J12" s="4" t="s">
        <v>59</v>
      </c>
      <c r="K12" s="4" t="s">
        <v>55</v>
      </c>
      <c r="L12" s="4" t="s">
        <v>60</v>
      </c>
      <c r="M12" s="4" t="s">
        <v>61</v>
      </c>
      <c r="N12" s="4" t="s">
        <v>62</v>
      </c>
    </row>
    <row r="13" spans="1:14" x14ac:dyDescent="0.45">
      <c r="A13">
        <v>1010</v>
      </c>
      <c r="B13">
        <v>2</v>
      </c>
      <c r="C13">
        <v>0.111808</v>
      </c>
      <c r="D13">
        <v>2.0292308000000001</v>
      </c>
      <c r="E13">
        <v>2.2950168999999998</v>
      </c>
      <c r="F13">
        <v>0.111808</v>
      </c>
      <c r="H13" t="s">
        <v>63</v>
      </c>
      <c r="I13">
        <v>6.4942296388701379</v>
      </c>
      <c r="J13">
        <v>2</v>
      </c>
      <c r="K13">
        <v>3.247114819435069</v>
      </c>
      <c r="L13">
        <v>1.4957750343261209</v>
      </c>
      <c r="M13">
        <v>0.2250737893572361</v>
      </c>
      <c r="N13">
        <v>3.0137168925158462</v>
      </c>
    </row>
    <row r="14" spans="1:14" x14ac:dyDescent="0.45">
      <c r="A14">
        <v>1010</v>
      </c>
      <c r="B14">
        <v>8</v>
      </c>
      <c r="C14">
        <v>2.4281397</v>
      </c>
      <c r="D14">
        <v>0.27100200000000002</v>
      </c>
      <c r="E14">
        <v>0.71069199999999999</v>
      </c>
      <c r="F14">
        <v>2.4281397</v>
      </c>
      <c r="H14" t="s">
        <v>64</v>
      </c>
      <c r="I14">
        <v>1087.5997307107616</v>
      </c>
      <c r="J14">
        <v>501</v>
      </c>
      <c r="K14">
        <v>2.1708577459296641</v>
      </c>
    </row>
    <row r="15" spans="1:14" x14ac:dyDescent="0.45">
      <c r="A15">
        <v>1010</v>
      </c>
      <c r="B15">
        <v>1</v>
      </c>
      <c r="C15">
        <v>3.2020240000000002</v>
      </c>
      <c r="D15">
        <v>3.9671189999999998</v>
      </c>
      <c r="E15">
        <v>2.044511</v>
      </c>
      <c r="F15">
        <v>3.2020240000000002</v>
      </c>
    </row>
    <row r="16" spans="1:14" ht="18.600000000000001" thickBot="1" x14ac:dyDescent="0.5">
      <c r="A16">
        <v>1010</v>
      </c>
      <c r="B16">
        <v>6</v>
      </c>
      <c r="C16">
        <v>1.4806790000000001</v>
      </c>
      <c r="D16">
        <v>1.1248689999999999</v>
      </c>
      <c r="E16">
        <v>1.576274</v>
      </c>
      <c r="F16">
        <v>1.4806790000000001</v>
      </c>
      <c r="H16" s="3" t="s">
        <v>53</v>
      </c>
      <c r="I16" s="3">
        <v>1094.0939603496317</v>
      </c>
      <c r="J16" s="3">
        <v>503</v>
      </c>
      <c r="K16" s="3"/>
      <c r="L16" s="3"/>
      <c r="M16" s="3"/>
      <c r="N16" s="3"/>
    </row>
    <row r="17" spans="1:6" x14ac:dyDescent="0.45">
      <c r="A17">
        <v>1010</v>
      </c>
      <c r="B17">
        <v>3</v>
      </c>
      <c r="C17">
        <v>0.960005</v>
      </c>
      <c r="D17">
        <v>0.48503299999999999</v>
      </c>
      <c r="E17">
        <v>0.42196499999999998</v>
      </c>
      <c r="F17">
        <v>0.960005</v>
      </c>
    </row>
    <row r="18" spans="1:6" x14ac:dyDescent="0.45">
      <c r="A18">
        <v>1020</v>
      </c>
      <c r="B18">
        <v>5</v>
      </c>
      <c r="C18">
        <v>3.7226971999999998</v>
      </c>
      <c r="D18">
        <v>5.8995829999999998</v>
      </c>
      <c r="E18">
        <v>5.704243</v>
      </c>
      <c r="F18">
        <v>3.7226971999999998</v>
      </c>
    </row>
    <row r="19" spans="1:6" x14ac:dyDescent="0.45">
      <c r="A19">
        <v>1020</v>
      </c>
      <c r="B19">
        <v>4</v>
      </c>
      <c r="C19">
        <v>4.0649759999999997</v>
      </c>
      <c r="D19">
        <v>1.4953909999999999</v>
      </c>
      <c r="E19">
        <v>1.4720009999999999</v>
      </c>
      <c r="F19">
        <v>4.0649759999999997</v>
      </c>
    </row>
    <row r="20" spans="1:6" x14ac:dyDescent="0.45">
      <c r="A20">
        <v>1020</v>
      </c>
      <c r="B20">
        <v>7</v>
      </c>
      <c r="C20">
        <v>1.0350250000000001</v>
      </c>
      <c r="D20">
        <v>5.7325179999999998</v>
      </c>
      <c r="E20">
        <v>1.490945</v>
      </c>
      <c r="F20">
        <v>1.0350250000000001</v>
      </c>
    </row>
    <row r="21" spans="1:6" x14ac:dyDescent="0.45">
      <c r="A21">
        <v>1020</v>
      </c>
      <c r="B21">
        <v>2</v>
      </c>
      <c r="C21">
        <v>5.6902299999999997</v>
      </c>
      <c r="D21">
        <v>5.4449540000000001</v>
      </c>
      <c r="E21">
        <v>5.1980870000000001</v>
      </c>
      <c r="F21">
        <v>5.6902299999999997</v>
      </c>
    </row>
    <row r="22" spans="1:6" x14ac:dyDescent="0.45">
      <c r="A22">
        <v>1020</v>
      </c>
      <c r="B22">
        <v>8</v>
      </c>
      <c r="C22">
        <v>5.8342359999999998</v>
      </c>
      <c r="D22">
        <v>0.78937900000000005</v>
      </c>
      <c r="E22">
        <v>1.4985550000000001</v>
      </c>
      <c r="F22">
        <v>5.8342359999999998</v>
      </c>
    </row>
    <row r="23" spans="1:6" x14ac:dyDescent="0.45">
      <c r="A23">
        <v>1020</v>
      </c>
      <c r="B23">
        <v>1</v>
      </c>
      <c r="C23">
        <v>0.40311239999999998</v>
      </c>
      <c r="D23">
        <v>4.2423729999999997</v>
      </c>
      <c r="E23">
        <v>3.545372</v>
      </c>
      <c r="F23">
        <v>0.40311239999999998</v>
      </c>
    </row>
    <row r="24" spans="1:6" x14ac:dyDescent="0.45">
      <c r="A24">
        <v>1020</v>
      </c>
      <c r="B24">
        <v>6</v>
      </c>
      <c r="C24">
        <v>3.288351</v>
      </c>
      <c r="D24">
        <v>1.161365</v>
      </c>
      <c r="E24">
        <v>3.8876529999999998</v>
      </c>
      <c r="F24">
        <v>3.288351</v>
      </c>
    </row>
    <row r="25" spans="1:6" x14ac:dyDescent="0.45">
      <c r="A25">
        <v>1020</v>
      </c>
      <c r="B25">
        <v>3</v>
      </c>
      <c r="C25">
        <v>1.3610819999999999</v>
      </c>
      <c r="D25">
        <v>1.497296</v>
      </c>
      <c r="E25">
        <v>1.489819</v>
      </c>
      <c r="F25">
        <v>1.3610819999999999</v>
      </c>
    </row>
    <row r="26" spans="1:6" x14ac:dyDescent="0.45">
      <c r="A26">
        <v>1030</v>
      </c>
      <c r="B26">
        <v>1</v>
      </c>
      <c r="C26">
        <v>2.1439110000000001</v>
      </c>
      <c r="D26">
        <v>2.052502</v>
      </c>
      <c r="E26">
        <v>0.81232729999999997</v>
      </c>
      <c r="F26">
        <v>2.1439110000000001</v>
      </c>
    </row>
    <row r="27" spans="1:6" x14ac:dyDescent="0.45">
      <c r="A27">
        <v>1030</v>
      </c>
      <c r="B27">
        <v>8</v>
      </c>
      <c r="C27">
        <v>2.7721952000000001</v>
      </c>
      <c r="D27">
        <v>4.4581569999999999</v>
      </c>
      <c r="E27">
        <v>0.66266400000000003</v>
      </c>
      <c r="F27">
        <v>2.7721952000000001</v>
      </c>
    </row>
    <row r="28" spans="1:6" x14ac:dyDescent="0.45">
      <c r="A28">
        <v>1030</v>
      </c>
      <c r="B28">
        <v>3</v>
      </c>
      <c r="C28">
        <v>0.67281599999999997</v>
      </c>
      <c r="D28">
        <v>1.038133</v>
      </c>
      <c r="E28">
        <v>0.85000100000000001</v>
      </c>
      <c r="F28">
        <v>0.67281599999999997</v>
      </c>
    </row>
    <row r="29" spans="1:6" x14ac:dyDescent="0.45">
      <c r="A29">
        <v>1030</v>
      </c>
      <c r="B29">
        <v>6</v>
      </c>
      <c r="C29">
        <v>2.5567799999999998</v>
      </c>
      <c r="D29">
        <v>3.886771</v>
      </c>
      <c r="E29">
        <v>3.0570550000000001</v>
      </c>
      <c r="F29">
        <v>2.5567799999999998</v>
      </c>
    </row>
    <row r="30" spans="1:6" x14ac:dyDescent="0.45">
      <c r="A30">
        <v>1030</v>
      </c>
      <c r="B30">
        <v>4</v>
      </c>
      <c r="C30">
        <v>1.1997819999999999</v>
      </c>
      <c r="D30">
        <v>1.144037</v>
      </c>
      <c r="E30">
        <v>4.1083069999999999</v>
      </c>
      <c r="F30">
        <v>1.1997819999999999</v>
      </c>
    </row>
    <row r="31" spans="1:6" x14ac:dyDescent="0.45">
      <c r="A31">
        <v>1030</v>
      </c>
      <c r="B31">
        <v>5</v>
      </c>
      <c r="C31">
        <v>2.6132830999999999</v>
      </c>
      <c r="D31">
        <v>2.9657172799999998</v>
      </c>
      <c r="E31">
        <v>1.271252</v>
      </c>
      <c r="F31">
        <v>2.6132830999999999</v>
      </c>
    </row>
    <row r="32" spans="1:6" x14ac:dyDescent="0.45">
      <c r="A32">
        <v>1030</v>
      </c>
      <c r="B32">
        <v>2</v>
      </c>
      <c r="C32">
        <v>3.1387177999999998</v>
      </c>
      <c r="D32">
        <v>3.6697080999999998</v>
      </c>
      <c r="E32">
        <v>3.3100163</v>
      </c>
      <c r="F32">
        <v>3.1387177999999998</v>
      </c>
    </row>
    <row r="33" spans="1:6" x14ac:dyDescent="0.45">
      <c r="A33">
        <v>1030</v>
      </c>
      <c r="B33">
        <v>7</v>
      </c>
      <c r="C33">
        <v>1.282823</v>
      </c>
      <c r="D33">
        <v>1.0381309999999999</v>
      </c>
      <c r="E33">
        <v>1.2923789999999999</v>
      </c>
      <c r="F33">
        <v>1.282823</v>
      </c>
    </row>
    <row r="34" spans="1:6" x14ac:dyDescent="0.45">
      <c r="A34">
        <v>1040</v>
      </c>
      <c r="B34">
        <v>1</v>
      </c>
      <c r="C34">
        <v>1.603243</v>
      </c>
      <c r="D34">
        <v>0.17979349999999999</v>
      </c>
      <c r="E34">
        <v>1.8965320000000001</v>
      </c>
      <c r="F34">
        <v>1.603243</v>
      </c>
    </row>
    <row r="35" spans="1:6" x14ac:dyDescent="0.45">
      <c r="A35">
        <v>1040</v>
      </c>
      <c r="B35">
        <v>8</v>
      </c>
      <c r="C35">
        <v>0.621286</v>
      </c>
      <c r="D35">
        <v>0.836866</v>
      </c>
      <c r="E35">
        <v>0.850796</v>
      </c>
      <c r="F35">
        <v>0.621286</v>
      </c>
    </row>
    <row r="36" spans="1:6" x14ac:dyDescent="0.45">
      <c r="A36">
        <v>1040</v>
      </c>
      <c r="B36">
        <v>3</v>
      </c>
      <c r="C36">
        <v>1.498062</v>
      </c>
      <c r="D36">
        <v>1.498024</v>
      </c>
      <c r="E36">
        <v>0.47589500000000001</v>
      </c>
      <c r="F36">
        <v>1.498062</v>
      </c>
    </row>
    <row r="37" spans="1:6" x14ac:dyDescent="0.45">
      <c r="A37">
        <v>1040</v>
      </c>
      <c r="B37">
        <v>6</v>
      </c>
      <c r="C37">
        <v>0.23846300000000001</v>
      </c>
      <c r="D37">
        <v>0.87295290000000003</v>
      </c>
      <c r="E37">
        <v>0.1401307</v>
      </c>
      <c r="F37">
        <v>0.23846300000000001</v>
      </c>
    </row>
    <row r="38" spans="1:6" x14ac:dyDescent="0.45">
      <c r="A38">
        <v>1040</v>
      </c>
      <c r="B38">
        <v>4</v>
      </c>
      <c r="C38">
        <v>2.3866508999999998</v>
      </c>
      <c r="D38">
        <v>2.4968138999999998</v>
      </c>
      <c r="E38">
        <v>2.6930888999999998</v>
      </c>
      <c r="F38">
        <v>2.3866508999999998</v>
      </c>
    </row>
    <row r="39" spans="1:6" x14ac:dyDescent="0.45">
      <c r="A39">
        <v>1040</v>
      </c>
      <c r="B39">
        <v>5</v>
      </c>
      <c r="C39">
        <v>1.1711469999999999</v>
      </c>
      <c r="D39">
        <v>0.76364600000000005</v>
      </c>
      <c r="E39">
        <v>0.58482199999999995</v>
      </c>
      <c r="F39">
        <v>1.1711469999999999</v>
      </c>
    </row>
    <row r="40" spans="1:6" x14ac:dyDescent="0.45">
      <c r="A40">
        <v>1040</v>
      </c>
      <c r="B40">
        <v>2</v>
      </c>
      <c r="C40">
        <v>0.27035799999999999</v>
      </c>
      <c r="D40">
        <v>1.197635</v>
      </c>
      <c r="E40">
        <v>0.74995500000000004</v>
      </c>
      <c r="F40">
        <v>0.27035799999999999</v>
      </c>
    </row>
    <row r="41" spans="1:6" x14ac:dyDescent="0.45">
      <c r="A41">
        <v>1040</v>
      </c>
      <c r="B41">
        <v>7</v>
      </c>
      <c r="C41">
        <v>1.0333E-2</v>
      </c>
      <c r="D41">
        <v>0.37295</v>
      </c>
      <c r="E41">
        <v>0.60512500000000002</v>
      </c>
      <c r="F41">
        <v>1.0333E-2</v>
      </c>
    </row>
    <row r="42" spans="1:6" x14ac:dyDescent="0.45">
      <c r="A42">
        <v>1050</v>
      </c>
      <c r="B42">
        <v>1</v>
      </c>
      <c r="C42">
        <v>3.4890189999999999</v>
      </c>
      <c r="D42">
        <v>1.3995150000000001</v>
      </c>
      <c r="E42">
        <v>3.8110689999999998</v>
      </c>
      <c r="F42">
        <v>3.4890189999999999</v>
      </c>
    </row>
    <row r="43" spans="1:6" x14ac:dyDescent="0.45">
      <c r="A43">
        <v>1050</v>
      </c>
      <c r="B43">
        <v>8</v>
      </c>
      <c r="C43">
        <v>4.5599230000000004</v>
      </c>
      <c r="D43">
        <v>4.1610209999999999</v>
      </c>
      <c r="E43">
        <v>0.97180800000000001</v>
      </c>
      <c r="F43">
        <v>4.5599230000000004</v>
      </c>
    </row>
    <row r="44" spans="1:6" x14ac:dyDescent="0.45">
      <c r="A44">
        <v>1050</v>
      </c>
      <c r="B44">
        <v>3</v>
      </c>
      <c r="C44">
        <v>1.1508689999999999</v>
      </c>
      <c r="D44">
        <v>1.166498</v>
      </c>
      <c r="E44">
        <v>1.2672410000000001</v>
      </c>
      <c r="F44">
        <v>1.1508689999999999</v>
      </c>
    </row>
    <row r="45" spans="1:6" x14ac:dyDescent="0.45">
      <c r="A45">
        <v>1050</v>
      </c>
      <c r="B45">
        <v>6</v>
      </c>
      <c r="C45">
        <v>3.8539690000000002</v>
      </c>
      <c r="D45">
        <v>4.4843209999999996</v>
      </c>
      <c r="E45">
        <v>3.3397130000000002</v>
      </c>
      <c r="F45">
        <v>3.8539690000000002</v>
      </c>
    </row>
    <row r="46" spans="1:6" x14ac:dyDescent="0.45">
      <c r="A46">
        <v>1050</v>
      </c>
      <c r="B46">
        <v>4</v>
      </c>
      <c r="C46">
        <v>4.6001729999999998</v>
      </c>
      <c r="D46">
        <v>4.6247290000000003</v>
      </c>
      <c r="E46">
        <v>4.0179349999999996</v>
      </c>
      <c r="F46">
        <v>4.6001729999999998</v>
      </c>
    </row>
    <row r="47" spans="1:6" x14ac:dyDescent="0.45">
      <c r="A47">
        <v>1050</v>
      </c>
      <c r="B47">
        <v>5</v>
      </c>
      <c r="C47">
        <v>4.7338800000000001</v>
      </c>
      <c r="D47">
        <v>3.2933444999999999</v>
      </c>
      <c r="E47">
        <v>3.552651</v>
      </c>
      <c r="F47">
        <v>4.7338800000000001</v>
      </c>
    </row>
    <row r="48" spans="1:6" x14ac:dyDescent="0.45">
      <c r="A48">
        <v>1050</v>
      </c>
      <c r="B48">
        <v>2</v>
      </c>
      <c r="C48">
        <v>4.8521299999999998</v>
      </c>
      <c r="D48">
        <v>5.1409969999999996</v>
      </c>
      <c r="E48">
        <v>5.3097719999999997</v>
      </c>
      <c r="F48">
        <v>4.8521299999999998</v>
      </c>
    </row>
    <row r="49" spans="1:6" x14ac:dyDescent="0.45">
      <c r="A49">
        <v>1050</v>
      </c>
      <c r="B49">
        <v>7</v>
      </c>
      <c r="C49">
        <v>1.496316</v>
      </c>
      <c r="D49">
        <v>1.498178</v>
      </c>
      <c r="E49">
        <v>1.499681</v>
      </c>
      <c r="F49">
        <v>1.496316</v>
      </c>
    </row>
    <row r="50" spans="1:6" x14ac:dyDescent="0.45">
      <c r="A50">
        <v>1060</v>
      </c>
      <c r="B50">
        <v>5</v>
      </c>
      <c r="C50">
        <v>0</v>
      </c>
      <c r="D50">
        <v>0</v>
      </c>
      <c r="E50">
        <v>1.9257E-2</v>
      </c>
      <c r="F50">
        <v>0</v>
      </c>
    </row>
    <row r="51" spans="1:6" x14ac:dyDescent="0.45">
      <c r="A51">
        <v>1060</v>
      </c>
      <c r="B51">
        <v>4</v>
      </c>
      <c r="C51">
        <v>0.36456</v>
      </c>
      <c r="D51">
        <v>8.1638000000000002E-2</v>
      </c>
      <c r="E51">
        <v>2.085E-3</v>
      </c>
      <c r="F51">
        <v>0.36456</v>
      </c>
    </row>
    <row r="52" spans="1:6" x14ac:dyDescent="0.45">
      <c r="A52">
        <v>1060</v>
      </c>
      <c r="B52">
        <v>7</v>
      </c>
      <c r="C52">
        <v>0.126168</v>
      </c>
      <c r="D52">
        <v>8.4611000000000006E-2</v>
      </c>
      <c r="E52">
        <v>0.203934</v>
      </c>
      <c r="F52">
        <v>0.126168</v>
      </c>
    </row>
    <row r="53" spans="1:6" x14ac:dyDescent="0.45">
      <c r="A53">
        <v>1060</v>
      </c>
      <c r="B53">
        <v>2</v>
      </c>
      <c r="C53">
        <v>0.78567500000000001</v>
      </c>
      <c r="D53">
        <v>0.38814199999999999</v>
      </c>
      <c r="E53">
        <v>0.15979599999999999</v>
      </c>
      <c r="F53">
        <v>0.78567500000000001</v>
      </c>
    </row>
    <row r="54" spans="1:6" x14ac:dyDescent="0.45">
      <c r="A54">
        <v>1060</v>
      </c>
      <c r="B54">
        <v>8</v>
      </c>
      <c r="C54">
        <v>0.31462600000000002</v>
      </c>
      <c r="D54">
        <v>1.3594630000000001</v>
      </c>
      <c r="E54">
        <v>1.5128969999999999</v>
      </c>
      <c r="F54">
        <v>0.31462600000000002</v>
      </c>
    </row>
    <row r="55" spans="1:6" x14ac:dyDescent="0.45">
      <c r="A55">
        <v>1060</v>
      </c>
      <c r="B55">
        <v>1</v>
      </c>
      <c r="C55" s="5">
        <v>8.1647800000000005E-6</v>
      </c>
      <c r="D55">
        <v>0</v>
      </c>
      <c r="E55">
        <v>0.29689660000000001</v>
      </c>
      <c r="F55" s="5">
        <v>8.1647800000000005E-6</v>
      </c>
    </row>
    <row r="56" spans="1:6" x14ac:dyDescent="0.45">
      <c r="A56">
        <v>1060</v>
      </c>
      <c r="B56">
        <v>6</v>
      </c>
      <c r="C56">
        <v>0.18400059999999999</v>
      </c>
      <c r="D56">
        <v>0</v>
      </c>
      <c r="E56">
        <v>0</v>
      </c>
      <c r="F56">
        <v>0.18400059999999999</v>
      </c>
    </row>
    <row r="57" spans="1:6" x14ac:dyDescent="0.45">
      <c r="A57">
        <v>1060</v>
      </c>
      <c r="B57">
        <v>3</v>
      </c>
      <c r="C57">
        <v>1.3051299999999999</v>
      </c>
      <c r="D57">
        <v>0.28061999999999998</v>
      </c>
      <c r="E57">
        <v>0.44388100000000003</v>
      </c>
      <c r="F57">
        <v>1.3051299999999999</v>
      </c>
    </row>
    <row r="58" spans="1:6" x14ac:dyDescent="0.45">
      <c r="A58">
        <v>1070</v>
      </c>
      <c r="B58">
        <v>5</v>
      </c>
      <c r="C58">
        <v>3.7921914000000001</v>
      </c>
      <c r="D58">
        <v>0.21241599999999999</v>
      </c>
      <c r="E58">
        <v>0.112388</v>
      </c>
      <c r="F58">
        <v>3.7921914000000001</v>
      </c>
    </row>
    <row r="59" spans="1:6" x14ac:dyDescent="0.45">
      <c r="A59">
        <v>1070</v>
      </c>
      <c r="B59">
        <v>4</v>
      </c>
      <c r="C59">
        <v>0.49628499999999998</v>
      </c>
      <c r="D59">
        <v>0.876552</v>
      </c>
      <c r="E59">
        <v>0.29626599999999997</v>
      </c>
      <c r="F59">
        <v>0.49628499999999998</v>
      </c>
    </row>
    <row r="60" spans="1:6" x14ac:dyDescent="0.45">
      <c r="A60">
        <v>1070</v>
      </c>
      <c r="B60">
        <v>7</v>
      </c>
      <c r="C60">
        <v>0.404447</v>
      </c>
      <c r="D60">
        <v>0.63668599999999997</v>
      </c>
      <c r="E60">
        <v>0.51236700000000002</v>
      </c>
      <c r="F60">
        <v>0.404447</v>
      </c>
    </row>
    <row r="61" spans="1:6" x14ac:dyDescent="0.45">
      <c r="A61">
        <v>1070</v>
      </c>
      <c r="B61">
        <v>2</v>
      </c>
      <c r="C61">
        <v>0.23172100000000001</v>
      </c>
      <c r="D61">
        <v>4.9524939999999997</v>
      </c>
      <c r="E61">
        <v>0.417848</v>
      </c>
      <c r="F61">
        <v>0.23172100000000001</v>
      </c>
    </row>
    <row r="62" spans="1:6" x14ac:dyDescent="0.45">
      <c r="A62">
        <v>1070</v>
      </c>
      <c r="B62">
        <v>8</v>
      </c>
      <c r="C62">
        <v>3.6082456000000001</v>
      </c>
      <c r="D62">
        <v>0.55559700000000001</v>
      </c>
      <c r="E62">
        <v>0.29313</v>
      </c>
      <c r="F62">
        <v>3.6082456000000001</v>
      </c>
    </row>
    <row r="63" spans="1:6" x14ac:dyDescent="0.45">
      <c r="A63">
        <v>1070</v>
      </c>
      <c r="B63">
        <v>1</v>
      </c>
      <c r="C63">
        <v>0.1157</v>
      </c>
      <c r="D63">
        <v>0.40343590000000001</v>
      </c>
      <c r="E63">
        <v>2.3942480000000002</v>
      </c>
      <c r="F63">
        <v>0.1157</v>
      </c>
    </row>
    <row r="64" spans="1:6" x14ac:dyDescent="0.45">
      <c r="A64">
        <v>1070</v>
      </c>
      <c r="B64">
        <v>6</v>
      </c>
      <c r="C64">
        <v>0.1091524</v>
      </c>
      <c r="D64">
        <v>0.73406680000000002</v>
      </c>
      <c r="E64">
        <v>0.23812040000000001</v>
      </c>
      <c r="F64">
        <v>0.1091524</v>
      </c>
    </row>
    <row r="65" spans="1:6" x14ac:dyDescent="0.45">
      <c r="A65">
        <v>1070</v>
      </c>
      <c r="B65">
        <v>3</v>
      </c>
      <c r="C65">
        <v>1.115324</v>
      </c>
      <c r="D65">
        <v>0.32746700000000001</v>
      </c>
      <c r="E65">
        <v>0.110705</v>
      </c>
      <c r="F65">
        <v>1.115324</v>
      </c>
    </row>
    <row r="66" spans="1:6" x14ac:dyDescent="0.45">
      <c r="A66">
        <v>1080</v>
      </c>
      <c r="B66">
        <v>1</v>
      </c>
      <c r="C66">
        <v>2.9266350000000001</v>
      </c>
      <c r="D66" s="5">
        <v>3.0239400000000001E-5</v>
      </c>
      <c r="E66">
        <v>3.2861370000000001</v>
      </c>
      <c r="F66">
        <v>2.9266350000000001</v>
      </c>
    </row>
    <row r="67" spans="1:6" x14ac:dyDescent="0.45">
      <c r="A67">
        <v>1080</v>
      </c>
      <c r="B67">
        <v>8</v>
      </c>
      <c r="C67">
        <v>3.5862942000000002</v>
      </c>
      <c r="D67">
        <v>3.8193353000000001</v>
      </c>
      <c r="E67">
        <v>2.6602119000000002</v>
      </c>
      <c r="F67">
        <v>3.5862942000000002</v>
      </c>
    </row>
    <row r="68" spans="1:6" x14ac:dyDescent="0.45">
      <c r="A68">
        <v>1080</v>
      </c>
      <c r="B68">
        <v>3</v>
      </c>
      <c r="C68">
        <v>0.38573099999999999</v>
      </c>
      <c r="D68">
        <v>0.95315499999999997</v>
      </c>
      <c r="E68">
        <v>1.45862</v>
      </c>
      <c r="F68">
        <v>0.38573099999999999</v>
      </c>
    </row>
    <row r="69" spans="1:6" x14ac:dyDescent="0.45">
      <c r="A69">
        <v>1080</v>
      </c>
      <c r="B69">
        <v>6</v>
      </c>
      <c r="C69">
        <v>1.7724059999999999</v>
      </c>
      <c r="D69">
        <v>1.6627339999999999</v>
      </c>
      <c r="E69">
        <v>0.88766310000000004</v>
      </c>
      <c r="F69">
        <v>1.7724059999999999</v>
      </c>
    </row>
    <row r="70" spans="1:6" x14ac:dyDescent="0.45">
      <c r="A70">
        <v>1080</v>
      </c>
      <c r="B70">
        <v>4</v>
      </c>
      <c r="C70">
        <v>2.8602880000000002</v>
      </c>
      <c r="D70">
        <v>3.8624980999999998</v>
      </c>
      <c r="E70">
        <v>1.385489</v>
      </c>
      <c r="F70">
        <v>2.8602880000000002</v>
      </c>
    </row>
    <row r="71" spans="1:6" x14ac:dyDescent="0.45">
      <c r="A71">
        <v>1080</v>
      </c>
      <c r="B71">
        <v>5</v>
      </c>
      <c r="C71">
        <v>1.0242979999999999</v>
      </c>
      <c r="D71">
        <v>0.53829000000000005</v>
      </c>
      <c r="E71">
        <v>0.11447</v>
      </c>
      <c r="F71">
        <v>1.0242979999999999</v>
      </c>
    </row>
    <row r="72" spans="1:6" x14ac:dyDescent="0.45">
      <c r="A72">
        <v>1080</v>
      </c>
      <c r="B72">
        <v>2</v>
      </c>
      <c r="C72">
        <v>0.18517900000000001</v>
      </c>
      <c r="D72">
        <v>0.70575399999999999</v>
      </c>
      <c r="E72">
        <v>1.048996</v>
      </c>
      <c r="F72">
        <v>0.18517900000000001</v>
      </c>
    </row>
    <row r="73" spans="1:6" x14ac:dyDescent="0.45">
      <c r="A73">
        <v>1080</v>
      </c>
      <c r="B73">
        <v>7</v>
      </c>
      <c r="C73">
        <v>0.48674000000000001</v>
      </c>
      <c r="D73">
        <v>9.5305000000000001E-2</v>
      </c>
      <c r="E73">
        <v>0.52187899999999998</v>
      </c>
      <c r="F73">
        <v>0.48674000000000001</v>
      </c>
    </row>
    <row r="74" spans="1:6" x14ac:dyDescent="0.45">
      <c r="A74">
        <v>1090</v>
      </c>
      <c r="B74">
        <v>5</v>
      </c>
      <c r="C74">
        <v>0.86256200000000005</v>
      </c>
      <c r="D74">
        <v>0.27218199999999998</v>
      </c>
      <c r="E74">
        <v>1.127383</v>
      </c>
      <c r="F74">
        <v>0.86256200000000005</v>
      </c>
    </row>
    <row r="75" spans="1:6" x14ac:dyDescent="0.45">
      <c r="A75">
        <v>1090</v>
      </c>
      <c r="B75">
        <v>4</v>
      </c>
      <c r="C75">
        <v>2.2889122999999998</v>
      </c>
      <c r="D75">
        <v>3.7167496999999998</v>
      </c>
      <c r="E75">
        <v>0.95189900000000005</v>
      </c>
      <c r="F75">
        <v>2.2889122999999998</v>
      </c>
    </row>
    <row r="76" spans="1:6" x14ac:dyDescent="0.45">
      <c r="A76">
        <v>1090</v>
      </c>
      <c r="B76">
        <v>7</v>
      </c>
      <c r="C76">
        <v>3.3252999999999998E-2</v>
      </c>
      <c r="D76">
        <v>2.2078E-2</v>
      </c>
      <c r="E76">
        <v>0.310197</v>
      </c>
      <c r="F76">
        <v>3.3252999999999998E-2</v>
      </c>
    </row>
    <row r="77" spans="1:6" x14ac:dyDescent="0.45">
      <c r="A77">
        <v>1090</v>
      </c>
      <c r="B77">
        <v>2</v>
      </c>
      <c r="C77">
        <v>1.9956370000000001</v>
      </c>
      <c r="D77">
        <v>2.8291281000000001</v>
      </c>
      <c r="E77">
        <v>2.0287986</v>
      </c>
      <c r="F77">
        <v>1.9956370000000001</v>
      </c>
    </row>
    <row r="78" spans="1:6" x14ac:dyDescent="0.45">
      <c r="A78">
        <v>1090</v>
      </c>
      <c r="B78">
        <v>8</v>
      </c>
      <c r="C78">
        <v>0.31701600000000002</v>
      </c>
      <c r="D78">
        <v>1.9215249999999999</v>
      </c>
      <c r="E78">
        <v>3.2660358999999999</v>
      </c>
      <c r="F78">
        <v>0.31701600000000002</v>
      </c>
    </row>
    <row r="79" spans="1:6" x14ac:dyDescent="0.45">
      <c r="A79">
        <v>1090</v>
      </c>
      <c r="B79">
        <v>1</v>
      </c>
      <c r="C79">
        <v>1.289901</v>
      </c>
      <c r="D79">
        <v>3.033204</v>
      </c>
      <c r="E79">
        <v>1.5490489999999999</v>
      </c>
      <c r="F79">
        <v>1.289901</v>
      </c>
    </row>
    <row r="80" spans="1:6" x14ac:dyDescent="0.45">
      <c r="A80">
        <v>1090</v>
      </c>
      <c r="B80">
        <v>6</v>
      </c>
      <c r="C80">
        <v>1.4275100000000001</v>
      </c>
      <c r="D80">
        <v>1.12704</v>
      </c>
      <c r="E80">
        <v>1.330716</v>
      </c>
      <c r="F80">
        <v>1.4275100000000001</v>
      </c>
    </row>
    <row r="81" spans="1:6" x14ac:dyDescent="0.45">
      <c r="A81">
        <v>1090</v>
      </c>
      <c r="B81">
        <v>3</v>
      </c>
      <c r="C81">
        <v>0.50363599999999997</v>
      </c>
      <c r="D81">
        <v>0.60005299999999995</v>
      </c>
      <c r="E81">
        <v>0.59401199999999998</v>
      </c>
      <c r="F81">
        <v>0.50363599999999997</v>
      </c>
    </row>
    <row r="82" spans="1:6" x14ac:dyDescent="0.45">
      <c r="A82">
        <v>1100</v>
      </c>
      <c r="B82">
        <v>1</v>
      </c>
      <c r="C82">
        <v>1.5383279999999999</v>
      </c>
      <c r="D82">
        <v>2.708596</v>
      </c>
      <c r="E82">
        <v>2.1549990000000001</v>
      </c>
      <c r="F82">
        <v>1.5383279999999999</v>
      </c>
    </row>
    <row r="83" spans="1:6" x14ac:dyDescent="0.45">
      <c r="A83">
        <v>1100</v>
      </c>
      <c r="B83">
        <v>8</v>
      </c>
      <c r="C83">
        <v>4.0891120000000001</v>
      </c>
      <c r="D83">
        <v>5.4598209999999998</v>
      </c>
      <c r="E83">
        <v>3.1281926000000002</v>
      </c>
      <c r="F83">
        <v>4.0891120000000001</v>
      </c>
    </row>
    <row r="84" spans="1:6" x14ac:dyDescent="0.45">
      <c r="A84">
        <v>1100</v>
      </c>
      <c r="B84">
        <v>3</v>
      </c>
      <c r="C84">
        <v>0.26342599999999999</v>
      </c>
      <c r="D84">
        <v>0.379413</v>
      </c>
      <c r="E84">
        <v>0.77765300000000004</v>
      </c>
      <c r="F84">
        <v>0.26342599999999999</v>
      </c>
    </row>
    <row r="85" spans="1:6" x14ac:dyDescent="0.45">
      <c r="A85">
        <v>1100</v>
      </c>
      <c r="B85">
        <v>6</v>
      </c>
      <c r="C85">
        <v>2.2541479999999998</v>
      </c>
      <c r="D85">
        <v>1.403219</v>
      </c>
      <c r="E85">
        <v>0.85101059999999995</v>
      </c>
      <c r="F85">
        <v>2.2541479999999998</v>
      </c>
    </row>
    <row r="86" spans="1:6" x14ac:dyDescent="0.45">
      <c r="A86">
        <v>1100</v>
      </c>
      <c r="B86">
        <v>4</v>
      </c>
      <c r="C86">
        <v>9.8291000000000003E-2</v>
      </c>
      <c r="D86">
        <v>4.5505979999999999</v>
      </c>
      <c r="E86">
        <v>3.4146318</v>
      </c>
      <c r="F86">
        <v>9.8291000000000003E-2</v>
      </c>
    </row>
    <row r="87" spans="1:6" x14ac:dyDescent="0.45">
      <c r="A87">
        <v>1100</v>
      </c>
      <c r="B87">
        <v>5</v>
      </c>
      <c r="C87">
        <v>0.96989899999999996</v>
      </c>
      <c r="D87">
        <v>0.206596</v>
      </c>
      <c r="E87">
        <v>1.826214</v>
      </c>
      <c r="F87">
        <v>0.96989899999999996</v>
      </c>
    </row>
    <row r="88" spans="1:6" x14ac:dyDescent="0.45">
      <c r="A88">
        <v>1100</v>
      </c>
      <c r="B88">
        <v>2</v>
      </c>
      <c r="C88">
        <v>3.1703342999999999</v>
      </c>
      <c r="D88">
        <v>2.9837018199999998</v>
      </c>
      <c r="E88">
        <v>3.2148536000000001</v>
      </c>
      <c r="F88">
        <v>3.1703342999999999</v>
      </c>
    </row>
    <row r="89" spans="1:6" x14ac:dyDescent="0.45">
      <c r="A89">
        <v>1100</v>
      </c>
      <c r="B89">
        <v>7</v>
      </c>
      <c r="C89">
        <v>0.404059</v>
      </c>
      <c r="D89">
        <v>0.27487200000000001</v>
      </c>
      <c r="E89">
        <v>0.99037900000000001</v>
      </c>
      <c r="F89">
        <v>0.404059</v>
      </c>
    </row>
    <row r="90" spans="1:6" x14ac:dyDescent="0.45">
      <c r="A90">
        <v>1110</v>
      </c>
      <c r="B90">
        <v>5</v>
      </c>
      <c r="C90">
        <v>0.54667399999999999</v>
      </c>
      <c r="D90">
        <v>3.0146331399999999</v>
      </c>
      <c r="E90">
        <v>0.96767300000000001</v>
      </c>
      <c r="F90">
        <v>0.54667399999999999</v>
      </c>
    </row>
    <row r="91" spans="1:6" x14ac:dyDescent="0.45">
      <c r="A91">
        <v>1110</v>
      </c>
      <c r="B91">
        <v>4</v>
      </c>
      <c r="C91">
        <v>1.6410370000000001</v>
      </c>
      <c r="D91">
        <v>0.106836</v>
      </c>
      <c r="E91">
        <v>0.32367099999999999</v>
      </c>
      <c r="F91">
        <v>1.6410370000000001</v>
      </c>
    </row>
    <row r="92" spans="1:6" x14ac:dyDescent="0.45">
      <c r="A92">
        <v>1110</v>
      </c>
      <c r="B92">
        <v>7</v>
      </c>
      <c r="C92">
        <v>1.5990999999999998E-2</v>
      </c>
      <c r="D92">
        <v>7.7349000000000001E-2</v>
      </c>
      <c r="E92">
        <v>0.37602400000000002</v>
      </c>
      <c r="F92">
        <v>1.5990999999999998E-2</v>
      </c>
    </row>
    <row r="93" spans="1:6" x14ac:dyDescent="0.45">
      <c r="A93">
        <v>1110</v>
      </c>
      <c r="B93">
        <v>2</v>
      </c>
      <c r="C93">
        <v>3.0794574199999998</v>
      </c>
      <c r="D93">
        <v>2.2187668999999999</v>
      </c>
      <c r="E93">
        <v>1.533207</v>
      </c>
      <c r="F93">
        <v>3.0794574199999998</v>
      </c>
    </row>
    <row r="94" spans="1:6" x14ac:dyDescent="0.45">
      <c r="A94">
        <v>1110</v>
      </c>
      <c r="B94">
        <v>8</v>
      </c>
      <c r="C94">
        <v>0.45389400000000002</v>
      </c>
      <c r="D94">
        <v>6.2600000000000004E-4</v>
      </c>
      <c r="E94">
        <v>0.50947500000000001</v>
      </c>
      <c r="F94">
        <v>0.45389400000000002</v>
      </c>
    </row>
    <row r="95" spans="1:6" x14ac:dyDescent="0.45">
      <c r="A95">
        <v>1110</v>
      </c>
      <c r="B95">
        <v>1</v>
      </c>
      <c r="C95">
        <v>0.43062650000000002</v>
      </c>
      <c r="D95">
        <v>8.5869680000000004E-2</v>
      </c>
      <c r="E95">
        <v>0.51011640000000003</v>
      </c>
      <c r="F95">
        <v>0.43062650000000002</v>
      </c>
    </row>
    <row r="96" spans="1:6" x14ac:dyDescent="0.45">
      <c r="A96">
        <v>1110</v>
      </c>
      <c r="B96">
        <v>6</v>
      </c>
      <c r="C96">
        <v>0.53627309999999995</v>
      </c>
      <c r="D96">
        <v>0.1485631</v>
      </c>
      <c r="E96">
        <v>2.296217</v>
      </c>
      <c r="F96">
        <v>0.53627309999999995</v>
      </c>
    </row>
    <row r="97" spans="1:6" x14ac:dyDescent="0.45">
      <c r="A97">
        <v>1110</v>
      </c>
      <c r="B97">
        <v>3</v>
      </c>
      <c r="C97">
        <v>0.70525199999999999</v>
      </c>
      <c r="D97">
        <v>0.45261200000000001</v>
      </c>
      <c r="E97">
        <v>0.29803600000000002</v>
      </c>
      <c r="F97">
        <v>0.70525199999999999</v>
      </c>
    </row>
    <row r="98" spans="1:6" x14ac:dyDescent="0.45">
      <c r="A98">
        <v>1120</v>
      </c>
      <c r="B98">
        <v>1</v>
      </c>
      <c r="C98">
        <v>2.7388409999999999</v>
      </c>
      <c r="D98">
        <v>1.1774340000000001</v>
      </c>
      <c r="E98">
        <v>1.4320600000000001</v>
      </c>
      <c r="F98">
        <v>2.7388409999999999</v>
      </c>
    </row>
    <row r="99" spans="1:6" x14ac:dyDescent="0.45">
      <c r="A99">
        <v>1120</v>
      </c>
      <c r="B99">
        <v>8</v>
      </c>
      <c r="C99">
        <v>2.8502415000000001</v>
      </c>
      <c r="D99">
        <v>1.7071590000000001</v>
      </c>
      <c r="E99">
        <v>2.9748339399999999</v>
      </c>
      <c r="F99">
        <v>2.8502415000000001</v>
      </c>
    </row>
    <row r="100" spans="1:6" x14ac:dyDescent="0.45">
      <c r="A100">
        <v>1120</v>
      </c>
      <c r="B100">
        <v>3</v>
      </c>
      <c r="C100">
        <v>5.1709999999999999E-2</v>
      </c>
      <c r="D100">
        <v>0.69828900000000005</v>
      </c>
      <c r="E100">
        <v>0.20652000000000001</v>
      </c>
      <c r="F100">
        <v>5.1709999999999999E-2</v>
      </c>
    </row>
    <row r="101" spans="1:6" x14ac:dyDescent="0.45">
      <c r="A101">
        <v>1120</v>
      </c>
      <c r="B101">
        <v>6</v>
      </c>
      <c r="C101">
        <v>2.3392789999999999</v>
      </c>
      <c r="D101">
        <v>2.4724149999999998</v>
      </c>
      <c r="E101">
        <v>1.3878870000000001</v>
      </c>
      <c r="F101">
        <v>2.3392789999999999</v>
      </c>
    </row>
    <row r="102" spans="1:6" x14ac:dyDescent="0.45">
      <c r="A102">
        <v>1120</v>
      </c>
      <c r="B102">
        <v>4</v>
      </c>
      <c r="C102">
        <v>1.721182</v>
      </c>
      <c r="D102">
        <v>3.101404</v>
      </c>
      <c r="E102">
        <v>2.7475893</v>
      </c>
      <c r="F102">
        <v>1.721182</v>
      </c>
    </row>
    <row r="103" spans="1:6" x14ac:dyDescent="0.45">
      <c r="A103">
        <v>1120</v>
      </c>
      <c r="B103">
        <v>5</v>
      </c>
      <c r="C103">
        <v>1.6389910000000001</v>
      </c>
      <c r="D103">
        <v>3.5649492999999999</v>
      </c>
      <c r="E103">
        <v>1.1462E-2</v>
      </c>
      <c r="F103">
        <v>1.6389910000000001</v>
      </c>
    </row>
    <row r="104" spans="1:6" x14ac:dyDescent="0.45">
      <c r="A104">
        <v>1120</v>
      </c>
      <c r="B104">
        <v>2</v>
      </c>
      <c r="C104">
        <v>0.32672099999999998</v>
      </c>
      <c r="D104">
        <v>1.866193</v>
      </c>
      <c r="E104">
        <v>0.74567700000000003</v>
      </c>
      <c r="F104">
        <v>0.32672099999999998</v>
      </c>
    </row>
    <row r="105" spans="1:6" x14ac:dyDescent="0.45">
      <c r="A105">
        <v>1120</v>
      </c>
      <c r="B105">
        <v>7</v>
      </c>
      <c r="C105">
        <v>6.6142999999999993E-2</v>
      </c>
      <c r="D105">
        <v>0.53404799999999997</v>
      </c>
      <c r="E105">
        <v>0.41051500000000002</v>
      </c>
      <c r="F105">
        <v>6.6142999999999993E-2</v>
      </c>
    </row>
    <row r="106" spans="1:6" x14ac:dyDescent="0.45">
      <c r="A106">
        <v>1130</v>
      </c>
      <c r="B106">
        <v>5</v>
      </c>
      <c r="C106">
        <v>2.0458151999999998</v>
      </c>
      <c r="D106">
        <v>1.6844710000000001</v>
      </c>
      <c r="E106">
        <v>3.1748441999999999</v>
      </c>
      <c r="F106">
        <v>2.0458151999999998</v>
      </c>
    </row>
    <row r="107" spans="1:6" x14ac:dyDescent="0.45">
      <c r="A107">
        <v>1130</v>
      </c>
      <c r="B107">
        <v>4</v>
      </c>
      <c r="C107">
        <v>4.2739560000000001</v>
      </c>
      <c r="D107">
        <v>2.9579000000000001E-2</v>
      </c>
      <c r="E107">
        <v>6.7272999999999999E-2</v>
      </c>
      <c r="F107">
        <v>4.2739560000000001</v>
      </c>
    </row>
    <row r="108" spans="1:6" x14ac:dyDescent="0.45">
      <c r="A108">
        <v>1130</v>
      </c>
      <c r="B108">
        <v>7</v>
      </c>
      <c r="C108">
        <v>0.55218699999999998</v>
      </c>
      <c r="D108">
        <v>4.5379000000000003E-2</v>
      </c>
      <c r="E108">
        <v>0.177924</v>
      </c>
      <c r="F108">
        <v>0.55218699999999998</v>
      </c>
    </row>
    <row r="109" spans="1:6" x14ac:dyDescent="0.45">
      <c r="A109">
        <v>1130</v>
      </c>
      <c r="B109">
        <v>2</v>
      </c>
      <c r="C109">
        <v>1.7960149999999999</v>
      </c>
      <c r="D109">
        <v>3.2993874999999999</v>
      </c>
      <c r="E109">
        <v>0.34701300000000002</v>
      </c>
      <c r="F109">
        <v>1.7960149999999999</v>
      </c>
    </row>
    <row r="110" spans="1:6" x14ac:dyDescent="0.45">
      <c r="A110">
        <v>1130</v>
      </c>
      <c r="B110">
        <v>8</v>
      </c>
      <c r="C110">
        <v>0.23097599999999999</v>
      </c>
      <c r="D110">
        <v>2.7662631000000002</v>
      </c>
      <c r="E110">
        <v>2.6959897000000002</v>
      </c>
      <c r="F110">
        <v>0.23097599999999999</v>
      </c>
    </row>
    <row r="111" spans="1:6" x14ac:dyDescent="0.45">
      <c r="A111">
        <v>1130</v>
      </c>
      <c r="B111">
        <v>1</v>
      </c>
      <c r="C111">
        <v>2.6860369999999998</v>
      </c>
      <c r="D111">
        <v>1.9181330000000001</v>
      </c>
      <c r="E111">
        <v>1.7935950000000001</v>
      </c>
      <c r="F111">
        <v>2.6860369999999998</v>
      </c>
    </row>
    <row r="112" spans="1:6" x14ac:dyDescent="0.45">
      <c r="A112">
        <v>1130</v>
      </c>
      <c r="B112">
        <v>6</v>
      </c>
      <c r="C112">
        <v>2.4087070000000002</v>
      </c>
      <c r="D112">
        <v>0.8305498</v>
      </c>
      <c r="E112">
        <v>3.0762619999999998</v>
      </c>
      <c r="F112">
        <v>2.4087070000000002</v>
      </c>
    </row>
    <row r="113" spans="1:6" x14ac:dyDescent="0.45">
      <c r="A113">
        <v>1130</v>
      </c>
      <c r="B113">
        <v>3</v>
      </c>
      <c r="C113">
        <v>0.86109400000000003</v>
      </c>
      <c r="D113">
        <v>0.77184600000000003</v>
      </c>
      <c r="E113">
        <v>0.50848800000000005</v>
      </c>
      <c r="F113">
        <v>0.86109400000000003</v>
      </c>
    </row>
    <row r="114" spans="1:6" x14ac:dyDescent="0.45">
      <c r="A114">
        <v>1140</v>
      </c>
      <c r="B114">
        <v>1</v>
      </c>
      <c r="C114">
        <v>3.3047599999999999</v>
      </c>
      <c r="D114">
        <v>2.2084570000000001</v>
      </c>
      <c r="E114">
        <v>0.15626029999999999</v>
      </c>
      <c r="F114">
        <v>3.3047599999999999</v>
      </c>
    </row>
    <row r="115" spans="1:6" x14ac:dyDescent="0.45">
      <c r="A115">
        <v>1140</v>
      </c>
      <c r="B115">
        <v>8</v>
      </c>
      <c r="C115">
        <v>4.0833690000000002</v>
      </c>
      <c r="D115">
        <v>2.7049356000000002</v>
      </c>
      <c r="E115">
        <v>8.7180999999999995E-2</v>
      </c>
      <c r="F115">
        <v>4.0833690000000002</v>
      </c>
    </row>
    <row r="116" spans="1:6" x14ac:dyDescent="0.45">
      <c r="A116">
        <v>1140</v>
      </c>
      <c r="B116">
        <v>3</v>
      </c>
      <c r="C116">
        <v>0.23307800000000001</v>
      </c>
      <c r="D116">
        <v>1.6603019999999999</v>
      </c>
      <c r="E116">
        <v>0.15776399999999999</v>
      </c>
      <c r="F116">
        <v>0.23307800000000001</v>
      </c>
    </row>
    <row r="117" spans="1:6" x14ac:dyDescent="0.45">
      <c r="A117">
        <v>1140</v>
      </c>
      <c r="B117">
        <v>6</v>
      </c>
      <c r="C117">
        <v>3.5018470000000002</v>
      </c>
      <c r="D117">
        <v>3.2333850000000002</v>
      </c>
      <c r="E117">
        <v>5.6146950000000001E-2</v>
      </c>
      <c r="F117">
        <v>3.5018470000000002</v>
      </c>
    </row>
    <row r="118" spans="1:6" x14ac:dyDescent="0.45">
      <c r="A118">
        <v>1140</v>
      </c>
      <c r="B118">
        <v>4</v>
      </c>
      <c r="C118">
        <v>0.41510399999999997</v>
      </c>
      <c r="D118">
        <v>2.97694671</v>
      </c>
      <c r="E118">
        <v>1.187362</v>
      </c>
      <c r="F118">
        <v>0.41510399999999997</v>
      </c>
    </row>
    <row r="119" spans="1:6" x14ac:dyDescent="0.45">
      <c r="A119">
        <v>1140</v>
      </c>
      <c r="B119">
        <v>5</v>
      </c>
      <c r="C119">
        <v>4.1637899999999997</v>
      </c>
      <c r="D119">
        <v>3.5560475999999999</v>
      </c>
      <c r="E119">
        <v>2.6275208999999999</v>
      </c>
      <c r="F119">
        <v>4.1637899999999997</v>
      </c>
    </row>
    <row r="120" spans="1:6" x14ac:dyDescent="0.45">
      <c r="A120">
        <v>1140</v>
      </c>
      <c r="B120">
        <v>2</v>
      </c>
      <c r="C120">
        <v>0.74169399999999996</v>
      </c>
      <c r="D120">
        <v>4.1749359999999998</v>
      </c>
      <c r="E120">
        <v>3.8461186000000001</v>
      </c>
      <c r="F120">
        <v>0.74169399999999996</v>
      </c>
    </row>
    <row r="121" spans="1:6" x14ac:dyDescent="0.45">
      <c r="A121">
        <v>1140</v>
      </c>
      <c r="B121">
        <v>7</v>
      </c>
      <c r="C121">
        <v>0.39852799999999999</v>
      </c>
      <c r="D121">
        <v>1.203684</v>
      </c>
      <c r="E121">
        <v>1.499349</v>
      </c>
      <c r="F121">
        <v>0.39852799999999999</v>
      </c>
    </row>
    <row r="122" spans="1:6" x14ac:dyDescent="0.45">
      <c r="A122">
        <v>1150</v>
      </c>
      <c r="B122">
        <v>5</v>
      </c>
      <c r="C122">
        <v>0.122499</v>
      </c>
      <c r="D122">
        <v>0.13572400000000001</v>
      </c>
      <c r="E122">
        <v>0.16786300000000001</v>
      </c>
      <c r="F122">
        <v>0.122499</v>
      </c>
    </row>
    <row r="123" spans="1:6" x14ac:dyDescent="0.45">
      <c r="A123">
        <v>1150</v>
      </c>
      <c r="B123">
        <v>4</v>
      </c>
      <c r="C123">
        <v>2.565858</v>
      </c>
      <c r="D123">
        <v>0.31885799999999997</v>
      </c>
      <c r="E123">
        <v>2.6694124000000001</v>
      </c>
      <c r="F123">
        <v>2.565858</v>
      </c>
    </row>
    <row r="124" spans="1:6" x14ac:dyDescent="0.45">
      <c r="A124">
        <v>1150</v>
      </c>
      <c r="B124">
        <v>7</v>
      </c>
      <c r="C124">
        <v>0.23247699999999999</v>
      </c>
      <c r="D124">
        <v>0.26539800000000002</v>
      </c>
      <c r="E124">
        <v>3.5902999999999997E-2</v>
      </c>
      <c r="F124">
        <v>0.23247699999999999</v>
      </c>
    </row>
    <row r="125" spans="1:6" x14ac:dyDescent="0.45">
      <c r="A125">
        <v>1150</v>
      </c>
      <c r="B125">
        <v>2</v>
      </c>
      <c r="C125">
        <v>8.7631000000000001E-2</v>
      </c>
      <c r="D125">
        <v>0.19914399999999999</v>
      </c>
      <c r="E125">
        <v>0.12225800000000001</v>
      </c>
      <c r="F125">
        <v>8.7631000000000001E-2</v>
      </c>
    </row>
    <row r="126" spans="1:6" x14ac:dyDescent="0.45">
      <c r="A126">
        <v>1150</v>
      </c>
      <c r="B126">
        <v>8</v>
      </c>
      <c r="C126">
        <v>2.2066146999999998</v>
      </c>
      <c r="D126">
        <v>3.2292597000000001</v>
      </c>
      <c r="E126">
        <v>2.3855816000000001</v>
      </c>
      <c r="F126">
        <v>2.2066146999999998</v>
      </c>
    </row>
    <row r="127" spans="1:6" x14ac:dyDescent="0.45">
      <c r="A127">
        <v>1150</v>
      </c>
      <c r="B127">
        <v>1</v>
      </c>
      <c r="C127">
        <v>2.0610110000000001</v>
      </c>
      <c r="D127">
        <v>0.82262950000000001</v>
      </c>
      <c r="E127">
        <v>1.951916</v>
      </c>
      <c r="F127">
        <v>2.0610110000000001</v>
      </c>
    </row>
    <row r="128" spans="1:6" x14ac:dyDescent="0.45">
      <c r="A128">
        <v>1150</v>
      </c>
      <c r="B128">
        <v>6</v>
      </c>
      <c r="C128">
        <v>1.506049</v>
      </c>
      <c r="D128">
        <v>0.77342109999999997</v>
      </c>
      <c r="E128">
        <v>1.8951260000000001</v>
      </c>
      <c r="F128">
        <v>1.506049</v>
      </c>
    </row>
    <row r="129" spans="1:6" x14ac:dyDescent="0.45">
      <c r="A129">
        <v>1150</v>
      </c>
      <c r="B129">
        <v>3</v>
      </c>
      <c r="C129">
        <v>4.394E-2</v>
      </c>
      <c r="D129">
        <v>9.5088000000000006E-2</v>
      </c>
      <c r="E129">
        <v>3.8899000000000003E-2</v>
      </c>
      <c r="F129">
        <v>4.394E-2</v>
      </c>
    </row>
    <row r="130" spans="1:6" x14ac:dyDescent="0.45">
      <c r="A130">
        <v>1160</v>
      </c>
      <c r="B130">
        <v>5</v>
      </c>
      <c r="C130">
        <v>3.5499090999999998</v>
      </c>
      <c r="D130">
        <v>4.1282670000000001</v>
      </c>
      <c r="E130">
        <v>3.7584444000000001</v>
      </c>
      <c r="F130">
        <v>3.5499090999999998</v>
      </c>
    </row>
    <row r="131" spans="1:6" x14ac:dyDescent="0.45">
      <c r="A131">
        <v>1160</v>
      </c>
      <c r="B131">
        <v>4</v>
      </c>
      <c r="C131">
        <v>5.8209559999999998</v>
      </c>
      <c r="D131">
        <v>0.36794900000000003</v>
      </c>
      <c r="E131">
        <v>5.0556970000000003</v>
      </c>
      <c r="F131">
        <v>5.8209559999999998</v>
      </c>
    </row>
    <row r="132" spans="1:6" x14ac:dyDescent="0.45">
      <c r="A132">
        <v>1160</v>
      </c>
      <c r="B132">
        <v>7</v>
      </c>
      <c r="C132">
        <v>2.8198000000000001E-2</v>
      </c>
      <c r="D132">
        <v>0.94290399999999996</v>
      </c>
      <c r="E132">
        <v>0.48041699999999998</v>
      </c>
      <c r="F132">
        <v>2.8198000000000001E-2</v>
      </c>
    </row>
    <row r="133" spans="1:6" x14ac:dyDescent="0.45">
      <c r="A133">
        <v>1160</v>
      </c>
      <c r="B133">
        <v>2</v>
      </c>
      <c r="C133">
        <v>1.563536</v>
      </c>
      <c r="D133">
        <v>1.9326700000000001</v>
      </c>
      <c r="E133">
        <v>0.40625499999999998</v>
      </c>
      <c r="F133">
        <v>1.563536</v>
      </c>
    </row>
    <row r="134" spans="1:6" x14ac:dyDescent="0.45">
      <c r="A134">
        <v>1160</v>
      </c>
      <c r="B134">
        <v>8</v>
      </c>
      <c r="C134">
        <v>1.8008109999999999</v>
      </c>
      <c r="D134">
        <v>2.3237692000000001</v>
      </c>
      <c r="E134">
        <v>3.6468107000000001</v>
      </c>
      <c r="F134">
        <v>1.8008109999999999</v>
      </c>
    </row>
    <row r="135" spans="1:6" x14ac:dyDescent="0.45">
      <c r="A135">
        <v>1160</v>
      </c>
      <c r="B135">
        <v>1</v>
      </c>
      <c r="C135">
        <v>3.7013660000000002</v>
      </c>
      <c r="D135">
        <v>4.1603070000000004</v>
      </c>
      <c r="E135">
        <v>3.271811</v>
      </c>
      <c r="F135">
        <v>3.7013660000000002</v>
      </c>
    </row>
    <row r="136" spans="1:6" x14ac:dyDescent="0.45">
      <c r="A136">
        <v>1160</v>
      </c>
      <c r="B136">
        <v>6</v>
      </c>
      <c r="C136">
        <v>1.039126</v>
      </c>
      <c r="D136">
        <v>3.3870719999999999</v>
      </c>
      <c r="E136">
        <v>0.8900496</v>
      </c>
      <c r="F136">
        <v>1.039126</v>
      </c>
    </row>
    <row r="137" spans="1:6" x14ac:dyDescent="0.45">
      <c r="A137">
        <v>1160</v>
      </c>
      <c r="B137">
        <v>3</v>
      </c>
      <c r="C137">
        <v>1.1330769999999999</v>
      </c>
      <c r="D137">
        <v>0.68236699999999995</v>
      </c>
      <c r="E137">
        <v>0.75683299999999998</v>
      </c>
      <c r="F137">
        <v>1.1330769999999999</v>
      </c>
    </row>
    <row r="138" spans="1:6" x14ac:dyDescent="0.45">
      <c r="A138">
        <v>1170</v>
      </c>
      <c r="B138">
        <v>1</v>
      </c>
      <c r="C138">
        <v>1.332284</v>
      </c>
      <c r="D138">
        <v>2.3269150000000001</v>
      </c>
      <c r="E138">
        <v>1.374118</v>
      </c>
      <c r="F138">
        <v>1.332284</v>
      </c>
    </row>
    <row r="139" spans="1:6" x14ac:dyDescent="0.45">
      <c r="A139">
        <v>1170</v>
      </c>
      <c r="B139">
        <v>8</v>
      </c>
      <c r="C139">
        <v>2.3168511000000001</v>
      </c>
      <c r="D139">
        <v>3.1685170999999999</v>
      </c>
      <c r="E139">
        <v>3.8602824</v>
      </c>
      <c r="F139">
        <v>2.3168511000000001</v>
      </c>
    </row>
    <row r="140" spans="1:6" x14ac:dyDescent="0.45">
      <c r="A140">
        <v>1170</v>
      </c>
      <c r="B140">
        <v>3</v>
      </c>
      <c r="C140">
        <v>2.0727473999999999</v>
      </c>
      <c r="D140">
        <v>1.115907</v>
      </c>
      <c r="E140">
        <v>0.43205900000000003</v>
      </c>
      <c r="F140">
        <v>2.0727473999999999</v>
      </c>
    </row>
    <row r="141" spans="1:6" x14ac:dyDescent="0.45">
      <c r="A141">
        <v>1170</v>
      </c>
      <c r="B141">
        <v>6</v>
      </c>
      <c r="C141">
        <v>2.2247270000000001</v>
      </c>
      <c r="D141">
        <v>1.8355680000000001</v>
      </c>
      <c r="E141">
        <v>8.1504670000000001E-2</v>
      </c>
      <c r="F141">
        <v>2.2247270000000001</v>
      </c>
    </row>
    <row r="142" spans="1:6" x14ac:dyDescent="0.45">
      <c r="A142">
        <v>1170</v>
      </c>
      <c r="B142">
        <v>4</v>
      </c>
      <c r="C142">
        <v>1.941173</v>
      </c>
      <c r="D142">
        <v>0.44780300000000001</v>
      </c>
      <c r="E142">
        <v>1.852514</v>
      </c>
      <c r="F142">
        <v>1.941173</v>
      </c>
    </row>
    <row r="143" spans="1:6" x14ac:dyDescent="0.45">
      <c r="A143">
        <v>1170</v>
      </c>
      <c r="B143">
        <v>5</v>
      </c>
      <c r="C143">
        <v>2.2124313</v>
      </c>
      <c r="D143">
        <v>4.0745380000000004</v>
      </c>
      <c r="E143">
        <v>0.24149200000000001</v>
      </c>
      <c r="F143">
        <v>2.2124313</v>
      </c>
    </row>
    <row r="144" spans="1:6" x14ac:dyDescent="0.45">
      <c r="A144">
        <v>1170</v>
      </c>
      <c r="B144">
        <v>2</v>
      </c>
      <c r="C144">
        <v>3.8660296000000001</v>
      </c>
      <c r="D144">
        <v>4.8257279999999998</v>
      </c>
      <c r="E144">
        <v>4.1841249999999999</v>
      </c>
      <c r="F144">
        <v>3.8660296000000001</v>
      </c>
    </row>
    <row r="145" spans="1:6" x14ac:dyDescent="0.45">
      <c r="A145">
        <v>1170</v>
      </c>
      <c r="B145">
        <v>7</v>
      </c>
      <c r="C145">
        <v>1.301893</v>
      </c>
      <c r="D145">
        <v>1.693481</v>
      </c>
      <c r="E145">
        <v>0.58622099999999999</v>
      </c>
      <c r="F145">
        <v>1.301893</v>
      </c>
    </row>
    <row r="146" spans="1:6" x14ac:dyDescent="0.45">
      <c r="A146">
        <v>1180</v>
      </c>
      <c r="B146">
        <v>5</v>
      </c>
      <c r="C146">
        <v>8.8000000000000005E-3</v>
      </c>
      <c r="D146">
        <v>1.3517250000000001</v>
      </c>
      <c r="E146">
        <v>3.2404128999999999</v>
      </c>
      <c r="F146">
        <v>8.8000000000000005E-3</v>
      </c>
    </row>
    <row r="147" spans="1:6" x14ac:dyDescent="0.45">
      <c r="A147">
        <v>1180</v>
      </c>
      <c r="B147">
        <v>4</v>
      </c>
      <c r="C147">
        <v>0.28034799999999999</v>
      </c>
      <c r="D147">
        <v>0.27960800000000002</v>
      </c>
      <c r="E147">
        <v>0.95236299999999996</v>
      </c>
      <c r="F147">
        <v>0.28034799999999999</v>
      </c>
    </row>
    <row r="148" spans="1:6" x14ac:dyDescent="0.45">
      <c r="A148">
        <v>1180</v>
      </c>
      <c r="B148">
        <v>7</v>
      </c>
      <c r="C148">
        <v>0.29891800000000002</v>
      </c>
      <c r="D148">
        <v>0.17041700000000001</v>
      </c>
      <c r="E148">
        <v>0.20602699999999999</v>
      </c>
      <c r="F148">
        <v>0.29891800000000002</v>
      </c>
    </row>
    <row r="149" spans="1:6" x14ac:dyDescent="0.45">
      <c r="A149">
        <v>1180</v>
      </c>
      <c r="B149">
        <v>2</v>
      </c>
      <c r="C149">
        <v>0.84735899999999997</v>
      </c>
      <c r="D149">
        <v>1.490329</v>
      </c>
      <c r="E149">
        <v>2.3178266999999999</v>
      </c>
      <c r="F149">
        <v>0.84735899999999997</v>
      </c>
    </row>
    <row r="150" spans="1:6" x14ac:dyDescent="0.45">
      <c r="A150">
        <v>1180</v>
      </c>
      <c r="B150">
        <v>8</v>
      </c>
      <c r="C150">
        <v>0.808693</v>
      </c>
      <c r="D150">
        <v>0.79933299999999996</v>
      </c>
      <c r="E150">
        <v>0.122323</v>
      </c>
      <c r="F150">
        <v>0.808693</v>
      </c>
    </row>
    <row r="151" spans="1:6" x14ac:dyDescent="0.45">
      <c r="A151">
        <v>1180</v>
      </c>
      <c r="B151">
        <v>1</v>
      </c>
      <c r="C151">
        <v>1.803571</v>
      </c>
      <c r="D151">
        <v>2.6912929999999999</v>
      </c>
      <c r="E151">
        <v>0.96583039999999998</v>
      </c>
      <c r="F151">
        <v>1.803571</v>
      </c>
    </row>
    <row r="152" spans="1:6" x14ac:dyDescent="0.45">
      <c r="A152">
        <v>1180</v>
      </c>
      <c r="B152">
        <v>6</v>
      </c>
      <c r="C152">
        <v>0.70833460000000004</v>
      </c>
      <c r="D152">
        <v>2.5112549999999998</v>
      </c>
      <c r="E152">
        <v>1.800044</v>
      </c>
      <c r="F152">
        <v>0.70833460000000004</v>
      </c>
    </row>
    <row r="153" spans="1:6" x14ac:dyDescent="0.45">
      <c r="A153">
        <v>1180</v>
      </c>
      <c r="B153">
        <v>3</v>
      </c>
      <c r="C153">
        <v>0.53164</v>
      </c>
      <c r="D153">
        <v>0.94506000000000001</v>
      </c>
      <c r="E153">
        <v>0.90220999999999996</v>
      </c>
      <c r="F153">
        <v>0.53164</v>
      </c>
    </row>
    <row r="154" spans="1:6" x14ac:dyDescent="0.45">
      <c r="A154">
        <v>1190</v>
      </c>
      <c r="B154">
        <v>1</v>
      </c>
      <c r="C154">
        <v>0.41932970000000003</v>
      </c>
      <c r="D154" s="5">
        <v>1.4844999999999999E-6</v>
      </c>
      <c r="E154">
        <v>1.023957</v>
      </c>
      <c r="F154">
        <v>0.41932970000000003</v>
      </c>
    </row>
    <row r="155" spans="1:6" x14ac:dyDescent="0.45">
      <c r="A155">
        <v>1190</v>
      </c>
      <c r="B155">
        <v>8</v>
      </c>
      <c r="C155">
        <v>0.40271000000000001</v>
      </c>
      <c r="D155">
        <v>0.783744</v>
      </c>
      <c r="E155">
        <v>2.5486038999999998</v>
      </c>
      <c r="F155">
        <v>0.40271000000000001</v>
      </c>
    </row>
    <row r="156" spans="1:6" x14ac:dyDescent="0.45">
      <c r="A156">
        <v>1190</v>
      </c>
      <c r="B156">
        <v>3</v>
      </c>
      <c r="C156">
        <v>2.6804003000000001</v>
      </c>
      <c r="D156">
        <v>0.63145300000000004</v>
      </c>
      <c r="E156">
        <v>0.25475900000000001</v>
      </c>
      <c r="F156">
        <v>2.6804003000000001</v>
      </c>
    </row>
    <row r="157" spans="1:6" x14ac:dyDescent="0.45">
      <c r="A157">
        <v>1190</v>
      </c>
      <c r="B157">
        <v>6</v>
      </c>
      <c r="C157">
        <v>0.45148909999999998</v>
      </c>
      <c r="D157">
        <v>3.041328</v>
      </c>
      <c r="E157">
        <v>0.4698986</v>
      </c>
      <c r="F157">
        <v>0.45148909999999998</v>
      </c>
    </row>
    <row r="158" spans="1:6" x14ac:dyDescent="0.45">
      <c r="A158">
        <v>1190</v>
      </c>
      <c r="B158">
        <v>4</v>
      </c>
      <c r="C158">
        <v>0.64471900000000004</v>
      </c>
      <c r="D158">
        <v>0.14183100000000001</v>
      </c>
      <c r="E158">
        <v>0.28162300000000001</v>
      </c>
      <c r="F158">
        <v>0.64471900000000004</v>
      </c>
    </row>
    <row r="159" spans="1:6" x14ac:dyDescent="0.45">
      <c r="A159">
        <v>1190</v>
      </c>
      <c r="B159">
        <v>5</v>
      </c>
      <c r="C159">
        <v>2.7332557</v>
      </c>
      <c r="D159">
        <v>7.2053000000000006E-2</v>
      </c>
      <c r="E159">
        <v>0.66796800000000001</v>
      </c>
      <c r="F159">
        <v>2.7332557</v>
      </c>
    </row>
    <row r="160" spans="1:6" x14ac:dyDescent="0.45">
      <c r="A160">
        <v>1190</v>
      </c>
      <c r="B160">
        <v>2</v>
      </c>
      <c r="C160">
        <v>0.25420999999999999</v>
      </c>
      <c r="D160">
        <v>5.3897079999999997</v>
      </c>
      <c r="E160">
        <v>0.19204199999999999</v>
      </c>
      <c r="F160">
        <v>0.25420999999999999</v>
      </c>
    </row>
    <row r="161" spans="1:6" x14ac:dyDescent="0.45">
      <c r="A161">
        <v>1190</v>
      </c>
      <c r="B161">
        <v>7</v>
      </c>
      <c r="C161">
        <v>2.6951122000000001</v>
      </c>
      <c r="D161">
        <v>9.5799999999999998E-4</v>
      </c>
      <c r="E161">
        <v>2.0986000000000001E-2</v>
      </c>
      <c r="F161">
        <v>2.6951122000000001</v>
      </c>
    </row>
    <row r="162" spans="1:6" x14ac:dyDescent="0.45">
      <c r="A162">
        <v>1200</v>
      </c>
      <c r="B162">
        <v>5</v>
      </c>
      <c r="C162">
        <v>3.1829596000000002</v>
      </c>
      <c r="D162">
        <v>4.9538529999999996</v>
      </c>
      <c r="E162">
        <v>5.9199200000000003</v>
      </c>
      <c r="F162">
        <v>3.1829596000000002</v>
      </c>
    </row>
    <row r="163" spans="1:6" x14ac:dyDescent="0.45">
      <c r="A163">
        <v>1200</v>
      </c>
      <c r="B163">
        <v>4</v>
      </c>
      <c r="C163">
        <v>1.0798209999999999</v>
      </c>
      <c r="D163">
        <v>2.6570000000000001E-3</v>
      </c>
      <c r="E163">
        <v>9.9501999999999993E-2</v>
      </c>
      <c r="F163">
        <v>1.0798209999999999</v>
      </c>
    </row>
    <row r="164" spans="1:6" x14ac:dyDescent="0.45">
      <c r="A164">
        <v>1200</v>
      </c>
      <c r="B164">
        <v>7</v>
      </c>
      <c r="C164">
        <v>1.0460609999999999</v>
      </c>
      <c r="D164">
        <v>0.90910199999999997</v>
      </c>
      <c r="E164">
        <v>0.36785000000000001</v>
      </c>
      <c r="F164">
        <v>1.0460609999999999</v>
      </c>
    </row>
    <row r="165" spans="1:6" x14ac:dyDescent="0.45">
      <c r="A165">
        <v>1200</v>
      </c>
      <c r="B165">
        <v>2</v>
      </c>
      <c r="C165">
        <v>2.3627197999999998</v>
      </c>
      <c r="D165">
        <v>4.0852539999999999</v>
      </c>
      <c r="E165">
        <v>5.1673359999999997</v>
      </c>
      <c r="F165">
        <v>2.3627197999999998</v>
      </c>
    </row>
    <row r="166" spans="1:6" x14ac:dyDescent="0.45">
      <c r="A166">
        <v>1200</v>
      </c>
      <c r="B166">
        <v>8</v>
      </c>
      <c r="C166">
        <v>2.0667000000000001E-2</v>
      </c>
      <c r="D166">
        <v>1.096E-3</v>
      </c>
      <c r="E166">
        <v>0.41247099999999998</v>
      </c>
      <c r="F166">
        <v>2.0667000000000001E-2</v>
      </c>
    </row>
    <row r="167" spans="1:6" x14ac:dyDescent="0.45">
      <c r="A167">
        <v>1200</v>
      </c>
      <c r="B167">
        <v>1</v>
      </c>
      <c r="C167">
        <v>3.883508</v>
      </c>
      <c r="D167">
        <v>4.2838779999999996</v>
      </c>
      <c r="E167">
        <v>4.3226310000000003</v>
      </c>
      <c r="F167">
        <v>3.883508</v>
      </c>
    </row>
    <row r="168" spans="1:6" x14ac:dyDescent="0.45">
      <c r="A168">
        <v>1200</v>
      </c>
      <c r="B168">
        <v>6</v>
      </c>
      <c r="C168">
        <v>2.9972880000000002</v>
      </c>
      <c r="D168">
        <v>3.6474630000000001</v>
      </c>
      <c r="E168">
        <v>3.2888299999999999</v>
      </c>
      <c r="F168">
        <v>2.9972880000000002</v>
      </c>
    </row>
    <row r="169" spans="1:6" x14ac:dyDescent="0.45">
      <c r="A169">
        <v>1200</v>
      </c>
      <c r="B169">
        <v>3</v>
      </c>
      <c r="C169">
        <v>1.1705019999999999</v>
      </c>
      <c r="D169">
        <v>1.4992449999999999</v>
      </c>
      <c r="E169">
        <v>1.4831049999999999</v>
      </c>
      <c r="F169">
        <v>1.1705019999999999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RawData</vt:lpstr>
      <vt:lpstr>Table</vt:lpstr>
      <vt:lpstr>Q1</vt:lpstr>
      <vt:lpstr>Q2</vt:lpstr>
      <vt:lpstr>Q3</vt:lpstr>
      <vt:lpstr>Q4</vt:lpstr>
      <vt:lpstr>Q5</vt:lpstr>
      <vt:lpstr>Q6</vt:lpstr>
      <vt:lpstr>PvelRC</vt:lpstr>
      <vt:lpstr>PadegRC</vt:lpstr>
      <vt:lpstr>PlenRC</vt:lpstr>
      <vt:lpstr>Pav2-0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2023-03-02T20:58:26Z</dcterms:created>
  <dcterms:modified xsi:type="dcterms:W3CDTF">2023-03-02T20:59:28Z</dcterms:modified>
</cp:coreProperties>
</file>